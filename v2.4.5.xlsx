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대시보드" sheetId="1" r:id="rId5"/>
    <sheet state="visible" name="01_일별로그" sheetId="2" r:id="rId6"/>
    <sheet state="visible" name="02_룰북" sheetId="3" r:id="rId7"/>
    <sheet state="visible" name="03_포지션" sheetId="4" r:id="rId8"/>
    <sheet state="visible" name="04_매매일지" sheetId="5" r:id="rId9"/>
    <sheet state="visible" name="05_뷰트래커" sheetId="6" r:id="rId10"/>
    <sheet state="visible" name="06_월간결산" sheetId="7" r:id="rId11"/>
    <sheet state="visible" name="08_차트" sheetId="8" r:id="rId12"/>
    <sheet state="visible" name="09_CF_원금" sheetId="9" r:id="rId13"/>
    <sheet state="visible" name="10_생각노트" sheetId="10" r:id="rId14"/>
    <sheet state="visible" name="99_사용법" sheetId="11" r:id="rId15"/>
  </sheets>
  <definedNames>
    <definedName hidden="1" localSheetId="1" name="_xlnm._FilterDatabase">'01_일별로그'!$A$4:$R$276</definedName>
    <definedName hidden="1" localSheetId="3" name="_xlnm._FilterDatabase">'03_포지션'!$A$16:$S$25</definedName>
    <definedName hidden="1" localSheetId="5" name="_xlnm._FilterDatabase">'05_뷰트래커'!$A$18:$H$218</definedName>
  </definedNames>
  <calcPr/>
</workbook>
</file>

<file path=xl/sharedStrings.xml><?xml version="1.0" encoding="utf-8"?>
<sst xmlns="http://schemas.openxmlformats.org/spreadsheetml/2006/main" count="863" uniqueCount="667">
  <si>
    <t>① 일별 로그  —  왼쪽이 볼 것, 가운데가 넣을 것, 오른쪽이 계산용</t>
  </si>
  <si>
    <t>매일 넣는 건 S~V(국장 총평가·국장/미장/ISA 순자산) 4칸 + 감정뿐입니다.  W~Y(예수금·실질Expo)는 비워두면 전일 값을 이어받고, 실질Expo는 명목 변동에 레버ETF 2배를 반영해 자동 보정됩니다.</t>
  </si>
  <si>
    <t>날짜</t>
  </si>
  <si>
    <t>순자산
(Asset)</t>
  </si>
  <si>
    <t>직전 기록
대비 손익</t>
  </si>
  <si>
    <t>누적손익</t>
  </si>
  <si>
    <t>순자산
MDD</t>
  </si>
  <si>
    <t>청산까지
여력</t>
  </si>
  <si>
    <t>신용잔고</t>
  </si>
  <si>
    <t>내재
레버리지</t>
  </si>
  <si>
    <t>총차입</t>
  </si>
  <si>
    <t>★차입÷연봉</t>
  </si>
  <si>
    <t>차입비중</t>
  </si>
  <si>
    <t>현금비중</t>
  </si>
  <si>
    <t>국장 손익</t>
  </si>
  <si>
    <t>미장 손익</t>
  </si>
  <si>
    <t>ISA 손익</t>
  </si>
  <si>
    <t>감정
(Fear↔Greed)</t>
  </si>
  <si>
    <t>위반 키워드</t>
  </si>
  <si>
    <t>메모</t>
  </si>
  <si>
    <t>국장 총평가
(입력)</t>
  </si>
  <si>
    <t>국장 순자산
(입력)</t>
  </si>
  <si>
    <t>미장 순자산
(입력)</t>
  </si>
  <si>
    <t>ISA 순자산
(입력)</t>
  </si>
  <si>
    <t>예수금 합계
(이월)</t>
  </si>
  <si>
    <t>실질 주식Expo
(이월·스케일)</t>
  </si>
  <si>
    <t>국장 실질Expo
(이월·스케일)</t>
  </si>
  <si>
    <t>총평가(명목)</t>
  </si>
  <si>
    <t>국장 원금</t>
  </si>
  <si>
    <t>미장 원금</t>
  </si>
  <si>
    <t>ISA 원금</t>
  </si>
  <si>
    <t>외부투입원금</t>
  </si>
  <si>
    <t>순자산 전고점</t>
  </si>
  <si>
    <t>NQ100</t>
  </si>
  <si>
    <t>누적손익(과거)</t>
  </si>
  <si>
    <t>국장손익(과거)</t>
  </si>
  <si>
    <t>미장손익(과거)</t>
  </si>
  <si>
    <t>ISA손익(과거)</t>
  </si>
  <si>
    <t>월키</t>
  </si>
  <si>
    <t>감정점수</t>
  </si>
  <si>
    <t>국장 조정세, 미국 AI 반등 기대</t>
  </si>
  <si>
    <t>폭락장 속 포트 파괴 &amp; 패닉바잉 (하이닉스)</t>
  </si>
  <si>
    <t>반등세 속 무지성 포모 바잉</t>
  </si>
  <si>
    <t>과잉확신 속 신용투자 &amp; 패닉바잉 물타기 (알테오젠)</t>
  </si>
  <si>
    <t>무리한 현금소진/레버리지로 계좌 악화</t>
  </si>
  <si>
    <t>'25년 마감</t>
  </si>
  <si>
    <t>③ 포지션 &amp; 계좌 현황  —  ★ 주말·거래일에 여기를 갱신합니다 (노란칸만 입력)</t>
  </si>
  <si>
    <t>② 룰북  —  내 원칙을 '숫자'로 바꾼 것. 기준값은 내가 정한다.</t>
  </si>
  <si>
    <t>주 1회(주말) + 거래한 날만 전체 갱신하면 됩니다. 평일 리스크 지표는 01_일별로그에 키인하는 숫자로 계산됩니다.</t>
  </si>
  <si>
    <t>Ⅰ. 매일 자동 판정되는 규칙</t>
  </si>
  <si>
    <t>① 계좌별 입력 (매일)</t>
  </si>
  <si>
    <t>ID</t>
  </si>
  <si>
    <t>규칙 (내 원칙)</t>
  </si>
  <si>
    <t>측정지표</t>
  </si>
  <si>
    <t>기준값
(입력)</t>
  </si>
  <si>
    <t>경고값
(입력)</t>
  </si>
  <si>
    <t>현재값</t>
  </si>
  <si>
    <t>신호</t>
  </si>
  <si>
    <t>위반 시 행동</t>
  </si>
  <si>
    <t>원칙 출처</t>
  </si>
  <si>
    <t>키워드
(일별로그 Q열)</t>
  </si>
  <si>
    <t>R01</t>
  </si>
  <si>
    <t>내 돈(순수 Equity)의 몇 배로 베팅하고 있는가 — 레버리지 총량</t>
  </si>
  <si>
    <t>실질 레버리지 배수 (Equity 대비)</t>
  </si>
  <si>
    <t>① 오늘의 리스크 대시보드</t>
  </si>
  <si>
    <t>초과분만큼 레버·신용 축소. 이 숫자 하나가 레버리지의 전부다</t>
  </si>
  <si>
    <t>과레버리지</t>
  </si>
  <si>
    <t>R02</t>
  </si>
  <si>
    <t>몇 % 더 빠지면 반대매매인가</t>
  </si>
  <si>
    <t>청산까지 하락여력</t>
  </si>
  <si>
    <t>Ⅰ. 한눈에 보는 상태</t>
  </si>
  <si>
    <t>Ⅸ. 리스크 추이 (01_일별로그 자동)</t>
  </si>
  <si>
    <t>계좌 순자산 (Asset, 대출포함)</t>
  </si>
  <si>
    <t>★ 실질 누적 순손익</t>
  </si>
  <si>
    <t>실질 주식 Exposure</t>
  </si>
  <si>
    <t>실질 레버리지</t>
  </si>
  <si>
    <t>담보비율</t>
  </si>
  <si>
    <t>청산까지 여력</t>
  </si>
  <si>
    <t>위반</t>
  </si>
  <si>
    <t>기한초과 체크</t>
  </si>
  <si>
    <t>한 자리면 비상사태. 반등을 기다리는 건 전략이 아니다 (대원칙 11)</t>
  </si>
  <si>
    <t>청산임박</t>
  </si>
  <si>
    <t>R03</t>
  </si>
  <si>
    <t>현금도 포지션이다. 현금은 생명줄</t>
  </si>
  <si>
    <t>현금 비중</t>
  </si>
  <si>
    <t>기준 미달 시 신규 매수 금지</t>
  </si>
  <si>
    <t>현금고갈</t>
  </si>
  <si>
    <t>R04</t>
  </si>
  <si>
    <t>손절가를 정했고, 지키고 있는가</t>
  </si>
  <si>
    <t>손절 관리 위반 종목 수 (미입력+하회)</t>
  </si>
  <si>
    <t>미입력이면 즉시 기입, 하회면 즉시 집행. 둘 다 '손절이 없는' 상태다</t>
  </si>
  <si>
    <t>손절방치</t>
  </si>
  <si>
    <t>R05</t>
  </si>
  <si>
    <t>전 종목이 동시에 손절선에 닿으면 자기자본의 몇 %가 사라지는가</t>
  </si>
  <si>
    <t>전종목 손절 시 총손실 ÷ 순수 자기자본</t>
  </si>
  <si>
    <t>총평가 − 신용</t>
  </si>
  <si>
    <t>표면손익 − 강의비 − 세금  (Ⅳ와 동일)</t>
  </si>
  <si>
    <t>레버ETF 배수 반영</t>
  </si>
  <si>
    <t>Expo ÷ 순수 자기자본</t>
  </si>
  <si>
    <t>국장 기준</t>
  </si>
  <si>
    <t>몇 % 더 빠지면 청산</t>
  </si>
  <si>
    <t>룰북 🔴</t>
  </si>
  <si>
    <t>룰북 체크리스트</t>
  </si>
  <si>
    <t>이미 손절선 아래인 종목은 이 계산에서 0으로 잡힙니다 — 하회 종목이 있으면 숫자가 아니라 그 사실이 위험입니다</t>
  </si>
  <si>
    <t>한방리스크</t>
  </si>
  <si>
    <t>Ⅱ. 계좌별 현황</t>
  </si>
  <si>
    <t>R06</t>
  </si>
  <si>
    <t>한 섹터에 계좌 전체가 걸려 있지 않은가</t>
  </si>
  <si>
    <t>단일 섹터 최대비중</t>
  </si>
  <si>
    <t>계좌</t>
  </si>
  <si>
    <t>평가금액(명목)</t>
  </si>
  <si>
    <t>신용</t>
  </si>
  <si>
    <t>순자산 (Equity)</t>
  </si>
  <si>
    <t>누적 원금</t>
  </si>
  <si>
    <t>누적 손익</t>
  </si>
  <si>
    <t>수익률</t>
  </si>
  <si>
    <t>비고</t>
  </si>
  <si>
    <t>국장</t>
  </si>
  <si>
    <t>종목을 나눠도 전부 반도체면 분산이 아니다</t>
  </si>
  <si>
    <t>섹터쏠림</t>
  </si>
  <si>
    <t>R07</t>
  </si>
  <si>
    <t>기조에 맞는 레버ETF 상한을 지키고 있는가</t>
  </si>
  <si>
    <t>레버ETF 명목 ÷ 계좌 순자산</t>
  </si>
  <si>
    <t>미장</t>
  </si>
  <si>
    <t>'26.4~7월 −5.6억의 주범. 기조가 상한을 정하고, 초과분은 X2부터 줄인다</t>
  </si>
  <si>
    <t>레버ETF과다</t>
  </si>
  <si>
    <t>ISA</t>
  </si>
  <si>
    <t>R08</t>
  </si>
  <si>
    <t>빚은 연봉 대비 감당 가능한 범위 안에</t>
  </si>
  <si>
    <t>총차입 ÷ 연봉</t>
  </si>
  <si>
    <t>상환 능력의 문제. 레버리지 배수와는 다른 축이다</t>
  </si>
  <si>
    <t>빚과다</t>
  </si>
  <si>
    <t>R09</t>
  </si>
  <si>
    <t>전문가 컨센서스와 내 포지션이 반대로 가고 있지 않은가</t>
  </si>
  <si>
    <t>컨센서스 − 포지션 기조 갭 (p)</t>
  </si>
  <si>
    <t>합계</t>
  </si>
  <si>
    <t>갭이 벌어지면 내가 맞거나, 포지션에 취해 있거나 — 근거를 한 줄 적기 전엔 늘리지 않는다</t>
  </si>
  <si>
    <t>컨센서스역행</t>
  </si>
  <si>
    <t>위반(🔴) 개수</t>
  </si>
  <si>
    <t>주의(🟡) 개수</t>
  </si>
  <si>
    <t>Ⅱ. 주기별 체크리스트</t>
  </si>
  <si>
    <t>주기</t>
  </si>
  <si>
    <t>체크 항목</t>
  </si>
  <si>
    <t>주기
(일)</t>
  </si>
  <si>
    <t>최근 확인일
(입력)</t>
  </si>
  <si>
    <t>다음 예정일</t>
  </si>
  <si>
    <t>D-Day</t>
  </si>
  <si>
    <t>상태</t>
  </si>
  <si>
    <t>W1</t>
  </si>
  <si>
    <t>주간</t>
  </si>
  <si>
    <t>전문가 뷰 3소스 기록 + 내 기조 갱신 (05_뷰트래커 Ⅰ·Ⅲ)</t>
  </si>
  <si>
    <t>W2</t>
  </si>
  <si>
    <t>03_포지션 전체 갱신 + 종목별 논리 점검 (펀더멘탈 훼손이면 매도)</t>
  </si>
  <si>
    <t>W3</t>
  </si>
  <si>
    <t>이번 주 위반·매매일지 리뷰 (01_일별로그 P열 / 04_매매일지)</t>
  </si>
  <si>
    <t>W4</t>
  </si>
  <si>
    <t>벤치마크 대비 성과 + 다음 주 이벤트 확인</t>
  </si>
  <si>
    <t>M1</t>
  </si>
  <si>
    <t>월간</t>
  </si>
  <si>
    <t>신용·대출 이자 + 해외주식 실현이익 입력 (09_CF Ⅳ·Ⅴ)</t>
  </si>
  <si>
    <t>M2</t>
  </si>
  <si>
    <t>월간결산 — 규칙 준수율과 '이자 차감 후 손익' 확인</t>
  </si>
  <si>
    <t>M3</t>
  </si>
  <si>
    <t>감정 분포 확인 (01_일별로그 P열) + 10_생각노트 Ⅲ 훑어보기 + 배운 것 1줄 룰북 반영</t>
  </si>
  <si>
    <t>M4</t>
  </si>
  <si>
    <t>10_생각노트 Ⅰ 개선 아이디어 백로그 점검 — 이번 달에 반영할 것 고르기</t>
  </si>
  <si>
    <t>Q1</t>
  </si>
  <si>
    <t>분기</t>
  </si>
  <si>
    <t>컨센서스와 갈렸던 구간 되짚기 — 내 기조가 혼자 튀었을 때 결과는 어땠나 (05_뷰트래커 Ⅱ·Ⅲ)</t>
  </si>
  <si>
    <t>Q2</t>
  </si>
  <si>
    <t>대원칙 재작성 + 10_생각노트 Ⅱ '잊지 말아야 할 것' 전부 다시 읽기</t>
  </si>
  <si>
    <t>Q3</t>
  </si>
  <si>
    <t>계좌별 원금 대사 + 목표 재설정 (벤치마크는 나스닥이다)</t>
  </si>
  <si>
    <t>기한초과 / 미확인 항목 수</t>
  </si>
  <si>
    <t>Ⅲ. 대원칙 (매일 아침 한 번 읽는다)</t>
  </si>
  <si>
    <t>1. 현생을 살자. 돈보다 중요한 건 시간이고 청춘이다.</t>
  </si>
  <si>
    <t>2. 방향성 베팅을 지양한다. 인버스 &amp; 개별 종목 전량 레버리지는 금지.</t>
  </si>
  <si>
    <t>3. 조급함을 주의하라. 벤치마크는 나스닥이다.</t>
  </si>
  <si>
    <t>4. 탐욕을 멀리하라. 만족할 수익이 났을 때 일부라도 즉시 실현하는 습관을 들여라.</t>
  </si>
  <si>
    <t>5. 현금도 포지션이다. 현금은 나의 생명줄이다.</t>
  </si>
  <si>
    <t>6. 신용도 결국 남의 돈이다. 이자는 매달 나가는 확정 손실이다.</t>
  </si>
  <si>
    <t>7. 계좌 고점은 내 돈이 아니다.</t>
  </si>
  <si>
    <t>8. 일이 터진 후 대응하면 늦다. 사후 대응은 '리스크 관리' 차원에서만.</t>
  </si>
  <si>
    <t>9. 한 사람의 뷰에 계좌를 걸지 마라. 최소 3개 소스, 그리고 누가 맞았는지 기록한다.</t>
  </si>
  <si>
    <t>10. 기조를 먼저 정하고, 그 기조에 맞는 레버ETF 상한을 숫자로 못 박는다.</t>
  </si>
  <si>
    <t>11. 운에 계좌를 시험하지 마라. 살아남았을 때 그것이 실력이었는지 운이었는지 반드시 구분하라.</t>
  </si>
  <si>
    <t>12. 한 번의 패배가 계좌를 죽이지 않게 하라. 익스포저는 계좌의 일부만, 손절컷은 반드시. (도익이형)</t>
  </si>
  <si>
    <t>13. 수익 국면이 가장 위험하다. 수익에 무뎌지는 순간이 바로 디레버리징 타이밍이다.</t>
  </si>
  <si>
    <t>14. 시장을 존중하라. 남의 계좌와 비교하지 말고, 두 사람 말만 듣지 마라.</t>
  </si>
  <si>
    <t>15. 회복에는 순서가 있다. 청산 리스크 제거 → 손절 집행 → 차입 정리 → 현금 확보 → 분산 회복. 앞 단계가 끝나기 전에 다음으로 넘어가지 않는다.</t>
  </si>
  <si>
    <t>Ⅲ. 차입 현황   —   배율이 먼저, 금액은 그 다음</t>
  </si>
  <si>
    <t>★ 총차입 ÷ 연봉</t>
  </si>
  <si>
    <t>★ 증권차입 ÷ 연봉</t>
  </si>
  <si>
    <t>총 차입</t>
  </si>
  <si>
    <t>증권사 신용</t>
  </si>
  <si>
    <t>내재 레버리지</t>
  </si>
  <si>
    <t>증권 차입</t>
  </si>
  <si>
    <t>회사대출</t>
  </si>
  <si>
    <t>연봉(세전)</t>
  </si>
  <si>
    <t>Ⅳ. 비용 차감 후 실질 손익  —  신용이자는 이미 예수금에서 빠져나가 손익에 반영되어 있으므로 여기서 또 빼지 않습니다</t>
  </si>
  <si>
    <t>표면 누적손익</t>
  </si>
  <si>
    <t>(참고) 누적 지급이자</t>
  </si>
  <si>
    <t>(−) 누적 강의·구독비</t>
  </si>
  <si>
    <t>(−) 해외주식 예상 세액</t>
  </si>
  <si>
    <t>실질 수익률</t>
  </si>
  <si>
    <t>표면 손익에 이미 반영 (차감 X)</t>
  </si>
  <si>
    <t>↑ 차감하지 않음. 규모만 인지</t>
  </si>
  <si>
    <t>실제 지출</t>
  </si>
  <si>
    <t>미실현 부채 — 차감함</t>
  </si>
  <si>
    <t>표면 − 강의비 − 세금</t>
  </si>
  <si>
    <t>Ⅴ. 이번 주 투자 기조  (05_뷰트래커 Ⅰ에서 갱신)</t>
  </si>
  <si>
    <t>내 기조</t>
  </si>
  <si>
    <t>레버ETF 상한</t>
  </si>
  <si>
    <t>현재 레버ETF</t>
  </si>
  <si>
    <t>상한 대비</t>
  </si>
  <si>
    <t>전문가 컨센서스</t>
  </si>
  <si>
    <t>컨센서스 갭</t>
  </si>
  <si>
    <t>뷰 변화</t>
  </si>
  <si>
    <t>기조 갱신</t>
  </si>
  <si>
    <t>Ⅵ. 리스크 신호등  —  규칙 전문과 '위반 시 행동'은 02_룰북에 있습니다</t>
  </si>
  <si>
    <t>내 기준</t>
  </si>
  <si>
    <t>키워드</t>
  </si>
  <si>
    <t>Ⅶ. 03_포지션을 갱신한 날 — 아래 7칸을 01_일별로그 오늘 행 S~Y열에 '값 붙여넣기' (한 번에 연속 붙여넣기 가능)</t>
  </si>
  <si>
    <t>국장 총평가
→ S열</t>
  </si>
  <si>
    <t>국장 순자산
→ T열</t>
  </si>
  <si>
    <t>미장 순자산
→ U열</t>
  </si>
  <si>
    <t>ISA 순자산
→ V열</t>
  </si>
  <si>
    <t>예수금 합계
→ W열</t>
  </si>
  <si>
    <t>실질 주식Expo
→ X열</t>
  </si>
  <si>
    <t>국장 실질Expo
→ Y열</t>
  </si>
  <si>
    <t>→ 7칸이 S~Y열 순서와 그대로 맞습니다. 신용잔고(G열)는 S−T로 자동 계산되니 덮어쓰지 마세요.  평일에는 S~V 네 칸만 증권사 앱에서 직접 입력하면 됩니다.</t>
  </si>
  <si>
    <t>Ⅷ. 매수 버튼을 누르기 전 1분  —  하나라도 '아니오'면 오늘은 사지 않는다</t>
  </si>
  <si>
    <t>☐</t>
  </si>
  <si>
    <t>1. 어제 이전에 계획된 매수이고, 이번 주 기조(Ⅴ)와 맞는가?</t>
  </si>
  <si>
    <t>2. 손절가와, 손절 시 잃을 금액을 지금 숫자로 말할 수 있는가?</t>
  </si>
  <si>
    <t>3. 계획 물량의 50% 이하인가? 오늘 하루 총매수가 순자산의 15%를 넘지 않는가?  ← 5/29·6/9·7/6</t>
  </si>
  <si>
    <t>4. 이 종목, 최근 3거래일 안에 매도한 적 없는가? (익절 후 재진입 쿨다운)  ← 6/25</t>
  </si>
  <si>
    <t>5. 이 종목 물타기 3회째 아닌가? 직전 매수에서 5거래일 지났는가?  ← 7/6~10</t>
  </si>
  <si>
    <t>6. 감정은 평온한가? 이 매수 후에도 신호등이 전부 🟢인가?</t>
  </si>
  <si>
    <t>정부 코스닥 부양, 바이오 급등</t>
  </si>
  <si>
    <t>고용데이터 악화, 위험자산 기피</t>
  </si>
  <si>
    <t>예수금(현금)</t>
  </si>
  <si>
    <t>② 공통 입력</t>
  </si>
  <si>
    <t>회사대출 잔액 (전세 2억+생활 4천)</t>
  </si>
  <si>
    <t>증권사 청산 담보비율</t>
  </si>
  <si>
    <t>연봉 (세전) — 05_CF에서 가져옴</t>
  </si>
  <si>
    <t>③ 보유 종목  —  매일 [현재가]만 업데이트 / 신규 매수 시 [평단·손절가]는 반드시 그 날 입력</t>
  </si>
  <si>
    <t>종목코드</t>
  </si>
  <si>
    <t>종목명</t>
  </si>
  <si>
    <t>통화</t>
  </si>
  <si>
    <t>수량</t>
  </si>
  <si>
    <t>평단
(입력)</t>
  </si>
  <si>
    <t>현재가
(입력)</t>
  </si>
  <si>
    <t>레버
배수</t>
  </si>
  <si>
    <t>평가금액
(명목)</t>
  </si>
  <si>
    <t>평가금액
(실질)</t>
  </si>
  <si>
    <t>비중
(실질)</t>
  </si>
  <si>
    <t>섹터</t>
  </si>
  <si>
    <t>신용
사용</t>
  </si>
  <si>
    <t>★손절가
(입력)</t>
  </si>
  <si>
    <t>손절까지
(%)</t>
  </si>
  <si>
    <t>손절 시
손실액</t>
  </si>
  <si>
    <t>손익률</t>
  </si>
  <si>
    <t>투자논리 (1줄)</t>
  </si>
  <si>
    <t>논리
훼손</t>
  </si>
  <si>
    <t>KRX:000660</t>
  </si>
  <si>
    <t>SK하이닉스</t>
  </si>
  <si>
    <t>KRW</t>
  </si>
  <si>
    <t>반도체/HW</t>
  </si>
  <si>
    <t>Y</t>
  </si>
  <si>
    <t>KRX:005930</t>
  </si>
  <si>
    <t>삼성전자</t>
  </si>
  <si>
    <t>KRX:0193T0</t>
  </si>
  <si>
    <t>SK하이닉스X2</t>
  </si>
  <si>
    <t>KRX:0193W0</t>
  </si>
  <si>
    <t>삼성전자X2</t>
  </si>
  <si>
    <t>KRX:009150</t>
  </si>
  <si>
    <t>삼성전기</t>
  </si>
  <si>
    <t>AMZN</t>
  </si>
  <si>
    <t>아마존닷컴</t>
  </si>
  <si>
    <t>N</t>
  </si>
  <si>
    <t>KRX:012330</t>
  </si>
  <si>
    <t>현대모비스</t>
  </si>
  <si>
    <t>로봇/피지컬AI</t>
  </si>
  <si>
    <t>AI/데이터센터</t>
  </si>
  <si>
    <t>종목 합계</t>
  </si>
  <si>
    <t>← 손절가 하회 종목 수</t>
  </si>
  <si>
    <t>④ 리스크 엔진 (자동계산 — 수정 금지)</t>
  </si>
  <si>
    <t>구분</t>
  </si>
  <si>
    <t>값</t>
  </si>
  <si>
    <t>정의</t>
  </si>
  <si>
    <t>주식평가 (명목)</t>
  </si>
  <si>
    <t>보유 주식을 액면가로만 계산</t>
  </si>
  <si>
    <t>주식 Exposure (실질)</t>
  </si>
  <si>
    <t>레버 배수 반영 = 실제 시장 노출 금액</t>
  </si>
  <si>
    <t>예수금 합계</t>
  </si>
  <si>
    <t>전체 계좌 보유 현금 (음수면 곧 나갈 돈 선반영)</t>
  </si>
  <si>
    <t>총평가 (명목)</t>
  </si>
  <si>
    <t>증권사 화면상 총평가금액</t>
  </si>
  <si>
    <t>증권사 신용 합계</t>
  </si>
  <si>
    <t>계좌 순자산 (Equity)</t>
  </si>
  <si>
    <t>전세자금 2억 + 생활안정 4천</t>
  </si>
  <si>
    <t>★ 순수 자기자본</t>
  </si>
  <si>
    <t>전량 청산 후 대출 상환하면 남는 진짜 내 돈</t>
  </si>
  <si>
    <t>내재 레버리지 금액</t>
  </si>
  <si>
    <t>레버 ETF에 숨어있는 추가 차입분</t>
  </si>
  <si>
    <t>총 차입 (신용+내재레버)</t>
  </si>
  <si>
    <t>국장 총평가 (명목)</t>
  </si>
  <si>
    <t>담보비율 계산용</t>
  </si>
  <si>
    <t>국장 주식Expo (실질)</t>
  </si>
  <si>
    <t>⑤ 룰북에 들어가는 지표</t>
  </si>
  <si>
    <t>지표</t>
  </si>
  <si>
    <t>담보비율 (국장, 명목)</t>
  </si>
  <si>
    <t>국장 총평가 ÷ 신용잔고</t>
  </si>
  <si>
    <t>청산선까지 남은 하락여력</t>
  </si>
  <si>
    <t>몇 % 더 빠지면 담보비율이 청산선에 닿는지</t>
  </si>
  <si>
    <t>계좌 레버리지 배수</t>
  </si>
  <si>
    <t>실질 주식Expo ÷ 계좌 순자산</t>
  </si>
  <si>
    <t>★ 실질 레버리지 배수</t>
  </si>
  <si>
    <t>실질 주식Expo ÷ 순수 자기자본</t>
  </si>
  <si>
    <t>차입 비중</t>
  </si>
  <si>
    <t>(신용+내재레버) ÷ 실질 주식Expo</t>
  </si>
  <si>
    <t>예수금 ÷ (실질 주식Expo + 예수금)</t>
  </si>
  <si>
    <t>보유 종목 수</t>
  </si>
  <si>
    <t>단일 종목 최대 비중</t>
  </si>
  <si>
    <t>단일 섹터 최대 비중</t>
  </si>
  <si>
    <t>아래 섹터 집계표</t>
  </si>
  <si>
    <t>손절가 미입력 종목 수</t>
  </si>
  <si>
    <t>★ 손절가 하회 종목 수</t>
  </si>
  <si>
    <t>이미 손절선을 넘은 종목 (R04 손절방치)</t>
  </si>
  <si>
    <t>신용 사용 종목 수</t>
  </si>
  <si>
    <t>전 종목 손절 시 총손실</t>
  </si>
  <si>
    <t>손절가 미입력이 있으면 측정 불가</t>
  </si>
  <si>
    <t>총손실 ÷ 순수 자기자본</t>
  </si>
  <si>
    <t>'26 고점권</t>
  </si>
  <si>
    <t>100% 초과 시 손절해도 자기자본이 남지 않음</t>
  </si>
  <si>
    <t>차입이 연봉의 몇 배인지</t>
  </si>
  <si>
    <t>⑥ 섹터 집계 (자동)</t>
  </si>
  <si>
    <t>금융/밸류업</t>
  </si>
  <si>
    <t>에너지/전력</t>
  </si>
  <si>
    <t>빅테크S/W</t>
  </si>
  <si>
    <t>건설/재건</t>
  </si>
  <si>
    <t>소비재/문화</t>
  </si>
  <si>
    <t>방산</t>
  </si>
  <si>
    <t>채권/현금성</t>
  </si>
  <si>
    <t>기타</t>
  </si>
  <si>
    <t>3/3 일 손실 1억 경험</t>
  </si>
  <si>
    <t>④ 매매일지  —  재난 후가 아니라, 거래할 때마다 한 줄</t>
  </si>
  <si>
    <t>필수는 6칸뿐: 날짜·종목·구분·금액·계획YN·감정태그. 나머지는 선택. 체결 단위가 아니라 '의사결정 단위'로 하루 1~3줄이면 충분합니다.</t>
  </si>
  <si>
    <t>종목</t>
  </si>
  <si>
    <t>단가</t>
  </si>
  <si>
    <t>금액</t>
  </si>
  <si>
    <t>사전에
계획했나</t>
  </si>
  <si>
    <t>한 줄 메모 (근거/트리거 — 이것만 적어도 됨)</t>
  </si>
  <si>
    <t>실제 트리거 (선택)</t>
  </si>
  <si>
    <t>감정태그</t>
  </si>
  <si>
    <t>위반
규칙ID</t>
  </si>
  <si>
    <t>실현손익</t>
  </si>
  <si>
    <t>교훈 (선택)</t>
  </si>
  <si>
    <t>매수</t>
  </si>
  <si>
    <t>⑤ 투자 기조 &amp; 뷰 트래커  —  한 사람의 뷰에 계좌를 걸지 않는다</t>
  </si>
  <si>
    <t>뷰는 참고, 상한은 규칙.  전문가 말은 아래에 쌓고, 내가 지킬 숫자는 위에 못 박는다.</t>
  </si>
  <si>
    <t>Ⅰ. 이번 주 나의 기조   (주말에 1회 갱신 — 여기서 정해지는 [레버ETF 상한]을 02_룰북 R07이 매일 감시합니다)</t>
  </si>
  <si>
    <t>설정일
(입력)</t>
  </si>
  <si>
    <t>없음 — 전일 미장 반등세만 보고 즉흥 결정</t>
  </si>
  <si>
    <t>내 기조
(입력)</t>
  </si>
  <si>
    <t>레버ETF 상한
(기조가 결정)</t>
  </si>
  <si>
    <t>'반도체 조정 끝'이라는 확신 + 평단을 낮추려는 욕심, 가용 신용 최대치 사용</t>
  </si>
  <si>
    <t>현재 레버ETF
비중</t>
  </si>
  <si>
    <t>이번 주 행동 원칙  —  "무엇을 안 할지"를 한 줄로 (입력)</t>
  </si>
  <si>
    <t>기조 점수</t>
  </si>
  <si>
    <t>FOMO</t>
  </si>
  <si>
    <t>R03,R10</t>
  </si>
  <si>
    <t>신용을 화수분처럼 썼고 분할이 아닌 몰빵이었다.  ※ 예시 행 — 지우고 쓰세요</t>
  </si>
  <si>
    <t>(예시)ABC전자</t>
  </si>
  <si>
    <t>손절</t>
  </si>
  <si>
    <t>매수 시점에 정한 손절가 52,000 하회 → 계획대로 집행</t>
  </si>
  <si>
    <t>손절가 도달. 감정 개입 없이 기계적으로 실행</t>
  </si>
  <si>
    <t>원칙준수</t>
  </si>
  <si>
    <t>계획대로 집행한 손절. 이런 행이 늘어나야 한다.  ※ 예시 행 — 지우고 쓰세요</t>
  </si>
  <si>
    <t>쓰는 법 ─ ①[내 기조] 한 단계 고르면 [레버ETF 상한]이 자동으로 정해집니다 (Strong Bear 30% · Bear 40% · Neutral 50% · Bull 60% · Strong Bull 70%)  →  ②[행동 원칙]에 이번 주 안 할 일을 한 줄.   기조를 말로 남기면 흔들리고, 숫자로 남기면 룰북이 대신 지켜줍니다.</t>
  </si>
  <si>
    <t>Ⅱ. 전문가 패널  (아래 Ⅲ에서 자동 집계 — 한 사람 한 표, 각자의 최근 뷰만 셉니다)</t>
  </si>
  <si>
    <t>출처</t>
  </si>
  <si>
    <t>최신 뷰</t>
  </si>
  <si>
    <t>직전 뷰</t>
  </si>
  <si>
    <t>최근 N건
평균</t>
  </si>
  <si>
    <t>변화</t>
  </si>
  <si>
    <t>최근 기록일</t>
  </si>
  <si>
    <t>최신 코멘트</t>
  </si>
  <si>
    <t>경과</t>
  </si>
  <si>
    <t>서재형</t>
  </si>
  <si>
    <t>김기훈</t>
  </si>
  <si>
    <t>알상무</t>
  </si>
  <si>
    <t>박종훈</t>
  </si>
  <si>
    <t>월가아재</t>
  </si>
  <si>
    <t>패널 종합</t>
  </si>
  <si>
    <t>최근 N건 평균 기준 →</t>
  </si>
  <si>
    <t xml:space="preserve">   포지션 점수는 실질 레버리지에서 자동 환산합니다 (2배↓ Strong Bear · 4배 Bear · 6배 Neutral · 8배 Bull · 10배↑ Strong Bull).  갭이 🔴이면 02_룰북 R09가 같이 켜집니다.</t>
  </si>
  <si>
    <t>Ⅲ. 전문가 뷰 로그   —   데일리·주간 자유 기록      🔵 Strong Bull +2   ·   🟢 Bull +1   ·   ⚪ Neutral 0   ·   🟠 Bear −1   ·   🔴 Strong Bear −2</t>
  </si>
  <si>
    <t>기록일
(입력)</t>
  </si>
  <si>
    <t>주차 시작(월)</t>
  </si>
  <si>
    <t>출처
(입력)</t>
  </si>
  <si>
    <t>주기
(입력)</t>
  </si>
  <si>
    <t>기조
(입력)</t>
  </si>
  <si>
    <t>점수</t>
  </si>
  <si>
    <t>핵심 코멘트 (입력)</t>
  </si>
  <si>
    <t>근거 · 키워드 (입력)</t>
  </si>
  <si>
    <t>■ 감정태그별 집계  —  월 1회 반드시 확인</t>
  </si>
  <si>
    <t>거래 건수</t>
  </si>
  <si>
    <t>실현손익 합계</t>
  </si>
  <si>
    <t>건당 평균</t>
  </si>
  <si>
    <t>패닉바잉</t>
  </si>
  <si>
    <t>패닉셀</t>
  </si>
  <si>
    <t>조급/복구욕구</t>
  </si>
  <si>
    <t>과잉확신</t>
  </si>
  <si>
    <t>분노</t>
  </si>
  <si>
    <t>체념</t>
  </si>
  <si>
    <t>사전계획 Y</t>
  </si>
  <si>
    <t>사전계획 N</t>
  </si>
  <si>
    <t>■ 룩백 아카이브 — 같은 장면이 오면 이 표부터 다시 읽는다</t>
  </si>
  <si>
    <t>장면</t>
  </si>
  <si>
    <t>심리</t>
  </si>
  <si>
    <t>결과</t>
  </si>
  <si>
    <t>교훈</t>
  </si>
  <si>
    <t>2025-11-24</t>
  </si>
  <si>
    <t>반등세 속 무지성 포모 바잉 (하이닉스)</t>
  </si>
  <si>
    <t>포모 + 평단 욕심</t>
  </si>
  <si>
    <t>Max 신용 8천만 몰빵</t>
  </si>
  <si>
    <t>신용은 화수분이 아니다. 이번에도 몰빵이었다.</t>
  </si>
  <si>
    <t>2025-12-17</t>
  </si>
  <si>
    <t>조정장 속 포트 파괴 후 풀 레버리지 교체</t>
  </si>
  <si>
    <t>복구 조급 + 과잉확신</t>
  </si>
  <si>
    <t>일 손실 -1,200만</t>
  </si>
  <si>
    <t>신용/레버 통제가 최우선. 현금비중이 두 번째.</t>
  </si>
  <si>
    <t>2026-05-29</t>
  </si>
  <si>
    <t>레버ETF 첫 진입을 하루 202M 일시매수</t>
  </si>
  <si>
    <t>확신 과잉</t>
  </si>
  <si>
    <t>이후 하락의 출발점</t>
  </si>
  <si>
    <t>첫 진입은 계획 물량의 50% 이하. 정찰병부터.</t>
  </si>
  <si>
    <t>2026-06-25</t>
  </si>
  <si>
    <t>@42~43k 익절 다음 날 @38,810에 91M 재진입</t>
  </si>
  <si>
    <t>계좌고점 복구욕 + FOMO</t>
  </si>
  <si>
    <t>다음 날 -8% 횝소 매도</t>
  </si>
  <si>
    <t>익절 후 3거래일 쿨다운. 꼭지 재진입이 가장 비싸다.</t>
  </si>
  <si>
    <t>2026-07-06~10</t>
  </si>
  <si>
    <t>폭락 사흘간 582M 물타기 (레버ETF)</t>
  </si>
  <si>
    <t>'바닥이다' 과잉확신</t>
  </si>
  <si>
    <t>바닥이 아니었다</t>
  </si>
  <si>
    <t>물타기는 최대 2회, 5거래일 간격. 떨어질수록 사는 건 복구 베팅이다.</t>
  </si>
  <si>
    <t>2026-07-30</t>
  </si>
  <si>
    <t>신용 상환에 몰려 바닥(@9,570·10,075)에서 매도</t>
  </si>
  <si>
    <t>체념 + 강제</t>
  </si>
  <si>
    <t>최초가의 33~40%에 청산</t>
  </si>
  <si>
    <t>손절가에서 5%를 안 자르면, 바닥에서 60%를 잘린다.</t>
  </si>
  <si>
    <t>2026 4~7월 총평</t>
  </si>
  <si>
    <t>본주 +5.4억 vs 레버ETF -5.6억</t>
  </si>
  <si>
    <t>—</t>
  </si>
  <si>
    <t>종목이 아니라 도구가 문제</t>
  </si>
  <si>
    <t>레버ETF 합산은 순자산의 20%까지만 (R18).</t>
  </si>
  <si>
    <t>⑥ 월간 결산  —  자동 집계</t>
  </si>
  <si>
    <t>월</t>
  </si>
  <si>
    <t>월초
순자산</t>
  </si>
  <si>
    <t>월말
순자산</t>
  </si>
  <si>
    <t>월 손익</t>
  </si>
  <si>
    <t>월 수익률</t>
  </si>
  <si>
    <t>월중 최저
MDD</t>
  </si>
  <si>
    <t>평균
현금비중</t>
  </si>
  <si>
    <t>평균
차입비중</t>
  </si>
  <si>
    <t>평균
차입÷연봉</t>
  </si>
  <si>
    <t>국장
월말손익</t>
  </si>
  <si>
    <t>미장
월말손익</t>
  </si>
  <si>
    <t>ISA
월말손익</t>
  </si>
  <si>
    <t>신용·대출
이자</t>
  </si>
  <si>
    <t>해외주식
예상세액</t>
  </si>
  <si>
    <t>이자·세금 차감
후 월손익</t>
  </si>
  <si>
    <t>기록
일수</t>
  </si>
  <si>
    <t>규칙위반
일수</t>
  </si>
  <si>
    <t>규칙
준수율</t>
  </si>
  <si>
    <t>월간 리뷰 (1줄)</t>
  </si>
  <si>
    <t>⑤ 현금흐름 &amp; 계좌별 원금</t>
  </si>
  <si>
    <t>계좌 간 이체는 '손익'이 아니라 '원금 이동'입니다. H~K열은 그 시점까지의 누적 순투입 원금입니다 (평가잔고가 아님).</t>
  </si>
  <si>
    <t>Ⅰ. 거래 원장  +  계좌별 누적 순투입 원금 추이</t>
  </si>
  <si>
    <t>거래일</t>
  </si>
  <si>
    <t>유형</t>
  </si>
  <si>
    <t>출금 계좌</t>
  </si>
  <si>
    <t>입금 계좌</t>
  </si>
  <si>
    <t>자금 성격</t>
  </si>
  <si>
    <t>국장
누적원금</t>
  </si>
  <si>
    <t>미장
누적원금</t>
  </si>
  <si>
    <t>ISA
누적원금</t>
  </si>
  <si>
    <t>기타
누적원금</t>
  </si>
  <si>
    <t>합산</t>
  </si>
  <si>
    <t>개시잔액</t>
  </si>
  <si>
    <t>대출+자기자금</t>
  </si>
  <si>
    <t>'25.11.18 기준 개시 잔액</t>
  </si>
  <si>
    <t>중국</t>
  </si>
  <si>
    <t>외부입금</t>
  </si>
  <si>
    <t>업비트</t>
  </si>
  <si>
    <t>대출금</t>
  </si>
  <si>
    <t>생활안정자금 실행분 4천만원 입금 (11/25) 후 업비트 투입</t>
  </si>
  <si>
    <t>계좌간이체</t>
  </si>
  <si>
    <t>생활안정자금 4천 중 총 2천 국장 바이오 투입</t>
  </si>
  <si>
    <t>생활안정자금 4천 중 총 3천 국장 바이오 투입</t>
  </si>
  <si>
    <t>국내바이오(디앤디) 매수 목적 업비트에서 국장으로 500 이동</t>
  </si>
  <si>
    <t>중국 투자 축소, 국장 바이오 투자 확대 목적</t>
  </si>
  <si>
    <t>국장 현금 비상금 확보 대비 코인 전량 본절, 생활안정자금 4천 전량 국장 바이오로 투입</t>
  </si>
  <si>
    <t>업비트 임시 거치. 해 바뀐 후 ISA로 옮겨 운용 예정</t>
  </si>
  <si>
    <t>자기자금</t>
  </si>
  <si>
    <t>'24. 경영성과급 400만원 업비트 입금 完 (추후 ISA 이동 검토)</t>
  </si>
  <si>
    <t>중국계좌 정리 후 국장 이동</t>
  </si>
  <si>
    <t>외부출금</t>
  </si>
  <si>
    <t>현금 700만원 예금계좌로 이동</t>
  </si>
  <si>
    <t>미장→국장 2,700만원 추가 이동 (미장 기준금액 총 4,000만원 감소)</t>
  </si>
  <si>
    <t>미장→국장 1,300만원 이동</t>
  </si>
  <si>
    <t>예금→국장 700만원 이동</t>
  </si>
  <si>
    <t>국장 100만원 추가 입금 (미수금 해결 목적 겸)</t>
  </si>
  <si>
    <t>성과급 중 200만원 국장 계좌 입금</t>
  </si>
  <si>
    <t>위험관리 및 예비비 목적으로 입출금 계좌로 천만원 송금</t>
  </si>
  <si>
    <t>국장 청산 방지 등으로 미장 → 국장 임시 송금 (4천)</t>
  </si>
  <si>
    <t>국장 청산 방지 등으로 미장 → 국장 임시 송금 (6.5천)</t>
  </si>
  <si>
    <t>국장 청산 방지 등으로 미장 → 국장 임시 송금 (2천)</t>
  </si>
  <si>
    <t>Ⅱ. 계좌별 누적 순투입 원금 (최종)</t>
  </si>
  <si>
    <t>누적 순투입 원금</t>
  </si>
  <si>
    <t>합계 (외부 순유입)</t>
  </si>
  <si>
    <t>Ⅲ. 자금 성격별 &amp; 기준 정보</t>
  </si>
  <si>
    <t>회사대출 (전세자금 2억)</t>
  </si>
  <si>
    <t>실거주 목적 자금</t>
  </si>
  <si>
    <t>회사대출 (생활안정자금 4천)</t>
  </si>
  <si>
    <t>★ 연봉 (세전, 기준값)</t>
  </si>
  <si>
    <t>차입 배수 계산의 분모</t>
  </si>
  <si>
    <t>Ⅳ. 월별 신용·대출 이자  —  신용을 깔고 가면 이자는 매달 확정 손실이다</t>
  </si>
  <si>
    <t>증권사 신용이자</t>
  </si>
  <si>
    <t>회사대출 이자</t>
  </si>
  <si>
    <t>기타 금융비용</t>
  </si>
  <si>
    <t>누적</t>
  </si>
  <si>
    <t>누적 합계</t>
  </si>
  <si>
    <t>Ⅴ. 해외주식 양도소득세 (예상)  —  실현이익만 직접 입력하면 자동 계산</t>
  </si>
  <si>
    <t>단순 추정입니다. 손익통산·이월결손금·매수매도 시점 환율차를 반영하지 않습니다. 실제 신고는 세무 전문가와 확인하세요.</t>
  </si>
  <si>
    <t>연도</t>
  </si>
  <si>
    <t>연간 실현이익
(입력)</t>
  </si>
  <si>
    <t>기본공제</t>
  </si>
  <si>
    <t>과세표준</t>
  </si>
  <si>
    <t>세율</t>
  </si>
  <si>
    <t>예상 세액</t>
  </si>
  <si>
    <t>Ⅵ. 강의·구독 지출</t>
  </si>
  <si>
    <t>일시</t>
  </si>
  <si>
    <t>지출처</t>
  </si>
  <si>
    <t>서재형 매매관리 첫걸음</t>
  </si>
  <si>
    <t>서재형 여름학기</t>
  </si>
  <si>
    <t>DS 가입비&amp;구독</t>
  </si>
  <si>
    <t>서재형 가을학기</t>
  </si>
  <si>
    <t>올랜도킴 (1회차)</t>
  </si>
  <si>
    <t>표상록 (1회차)</t>
  </si>
  <si>
    <t>올랜도킴 (2회차)</t>
  </si>
  <si>
    <t>표상록 (2회차)</t>
  </si>
  <si>
    <t>DS 구독 2회차</t>
  </si>
  <si>
    <t>김기훈 구독 (1회차)</t>
  </si>
  <si>
    <t>이해진 뉴스레터 (11월)</t>
  </si>
  <si>
    <t>서재형 겨울학기</t>
  </si>
  <si>
    <t>김기훈 구독 (2회차)</t>
  </si>
  <si>
    <t>이해진 뉴스레터 (12월)</t>
  </si>
  <si>
    <t>김기훈 구독 (3회차/1월)</t>
  </si>
  <si>
    <t>이해진 뉴스레터 (1월)</t>
  </si>
  <si>
    <t>김기훈 구독</t>
  </si>
  <si>
    <t>서재형 봄학기</t>
  </si>
  <si>
    <t>총 누적 지출</t>
  </si>
  <si>
    <t>⑩ 생각노트  —  개선 아이디어 · 잊지 말 것 · 일기</t>
  </si>
  <si>
    <t>Ⅰ 아이디어는 떠오를 때, Ⅱ 기억은 뼈아플 때, Ⅲ 일기는 아무 때나. Ⅱ는 분기 1회(Q2), Ⅲ는 월 1회 결산 때 훑어보면 충분합니다.</t>
  </si>
  <si>
    <t>⑧ 추이 차트</t>
  </si>
  <si>
    <t>Ⅰ. 대시보드 개선 아이디어 백로그</t>
  </si>
  <si>
    <t>등록일</t>
  </si>
  <si>
    <t>아이디어</t>
  </si>
  <si>
    <t>왜 필요한가</t>
  </si>
  <si>
    <t>우선순위</t>
  </si>
  <si>
    <t>⑨ 사용법</t>
  </si>
  <si>
    <t>포지션</t>
  </si>
  <si>
    <t>물타기 카운터 열 — 종목별 추가매수 횟수·직전 매수일 자동 표시</t>
  </si>
  <si>
    <t>7/6~10 사흘 582M 물타기를 사전에 막으려면 '지금 몇 번째인지'가 보여야 함</t>
  </si>
  <si>
    <t>상</t>
  </si>
  <si>
    <t>대기</t>
  </si>
  <si>
    <t>■ 매일 (5분 이내) — 이것만 하면 됩니다</t>
  </si>
  <si>
    <t>증권사 거래내역 월 1회 붙여넣기 탭 — 일시매수 비율·재진입 쿨다운 자동 검증</t>
  </si>
  <si>
    <t>매매일지를 체결마다 쓸 수 없으니, 월 1회 export로 사후 검증</t>
  </si>
  <si>
    <t>중</t>
  </si>
  <si>
    <t>1</t>
  </si>
  <si>
    <t>룰북</t>
  </si>
  <si>
    <t>디레버리징 규칙 — 벤치마크 상회 시 현금비중 단계적 상향 자동 판정</t>
  </si>
  <si>
    <t>00_대시보드: Ⅰ 한눈에 + Ⅵ 신호등 + 우측 차트만 훑는다. 손익은 보지 않는다. (1분)</t>
  </si>
  <si>
    <t>수익 국면에서 레버리지가 최대가 되는 구조를 끊기 위해 (대원칙 13)</t>
  </si>
  <si>
    <t>2</t>
  </si>
  <si>
    <t>01_일별로그: 국장 총평가 + 국장/미장/ISA 순자산 4칸 + 감정. 예수금·실질Expo는 비워두면 전일 값이 이어집니다. (3분)</t>
  </si>
  <si>
    <t>담보비율 위험 이력 규칙 — 분기 내 담보비율 1.6 하회 이력이 있으면 레버리지 신규 금지</t>
  </si>
  <si>
    <t>7월 청산 직전 경험을 '기억'이 아니라 '잠금'으로 만들기</t>
  </si>
  <si>
    <t>3</t>
  </si>
  <si>
    <t>거래한 날만: 04_매매일지에 의사결정 단위로 1~3줄 (필수 6칸만). (2분)</t>
  </si>
  <si>
    <t>뷰트래커</t>
  </si>
  <si>
    <t>R14 기준을 3명 → 4명으로 상향 검토</t>
  </si>
  <si>
    <t>박종훈·알상무·월가아재를 정규 소스로 편입한다면</t>
  </si>
  <si>
    <t>하</t>
  </si>
  <si>
    <t>보류</t>
  </si>
  <si>
    <t>■ 매수하고 싶어질 때 (1분)</t>
  </si>
  <si>
    <t>4</t>
  </si>
  <si>
    <t>대시보드 Ⅶ 6문항을 소리 내어 읽는다. 하나라도 '아니오'면 내일 다시 온다.</t>
  </si>
  <si>
    <t>■ 주 1회, 주말 (20분)</t>
  </si>
  <si>
    <t>5</t>
  </si>
  <si>
    <t>03_포지션 전체 갱신 (현재가·예수금·신용) — 신호등이 최신화된다.</t>
  </si>
  <si>
    <t>6</t>
  </si>
  <si>
    <t>05_뷰트래커: 전문가 뷰 3소스 기록(Ⅲ) + 내 기조 갱신(Ⅰ).</t>
  </si>
  <si>
    <t>7</t>
  </si>
  <si>
    <t>룰북 체크리스트 W1~W4 확인일 갱신.</t>
  </si>
  <si>
    <t>■ 월 1회 (20분)</t>
  </si>
  <si>
    <t>8</t>
  </si>
  <si>
    <t>09_CF: 신용이자 + 해외 실현이익 입력 → 대시보드 Ⅴ 실질손익 확인.</t>
  </si>
  <si>
    <t>9</t>
  </si>
  <si>
    <t>06_월간결산 준수율 + 04_매매일지 감정태그 집계 + M1~M4 갱신.</t>
  </si>
  <si>
    <t>■ 설계 원칙</t>
  </si>
  <si>
    <t>A</t>
  </si>
  <si>
    <t>손익이 아니라 리스크가 첫 화면이다. 규칙은 산문이 아니라 숫자다.</t>
  </si>
  <si>
    <t>B</t>
  </si>
  <si>
    <t>매일의 부담을 5분 아래로 — 부담이 크면 시스템은 버려진다.</t>
  </si>
  <si>
    <t>C</t>
  </si>
  <si>
    <t>자동화는 입력되는 데이터까지만. 기록 안 될 데이터에 기댄 규칙은 가짜 자동화다.</t>
  </si>
  <si>
    <t>D</t>
  </si>
  <si>
    <t>레버ETF 합산 20% Cap (R18). 본주가 번 돈을 레버ETF가 태우는 구조를 끊는다.</t>
  </si>
  <si>
    <t>■ 주의</t>
  </si>
  <si>
    <t>!</t>
  </si>
  <si>
    <t>기록·측정 도구이며 투자 자문이 아닙니다. 기준값은 전부 본인이 정합니다.</t>
  </si>
  <si>
    <t>양도세는 단순 추정입니다. 실제 신고·포지션 처리는 세무·증권 전문가와 상의하세요.</t>
  </si>
  <si>
    <t>Ⅱ. 잊지 말아야 할 것  —  경험 · 조언 · 심리 (분기 1회 다시 읽는다)</t>
  </si>
  <si>
    <t>제목</t>
  </si>
  <si>
    <t>내용</t>
  </si>
  <si>
    <t>여기서 나온 나의 규칙</t>
  </si>
  <si>
    <t>경험</t>
  </si>
  <si>
    <t>청산 직전에서 살아남은 건 운이었다</t>
  </si>
  <si>
    <t>7월 말 반대매매 직전까지 몰렸다가 반등으로 겨우 살았다. 손익은 거의 다 날렸지만 그건 부차적이다. 만약 1~2영업일만 더 꽂아서 내려갔다면 원금은 물론 빚까지 다 날리고 회생 불능이었다. 살아남은 건 내 판단이 옳아서가 아니라 시장이 그날 돌아섰기 때문이다.</t>
  </si>
  <si>
    <t>운에 계좌를 시험하지 않는다. R01(담보비율)·R02(청산여력)이 🔴이면 그 자체로 비상사태이며, 반등을 기다리는 것은 전략이 아니다.</t>
  </si>
  <si>
    <t>조언</t>
  </si>
  <si>
    <t>도익이형 — 익스포저 '구조'가 리스크의 본질이다</t>
  </si>
  <si>
    <t>Low Risk 자산이라도 계좌 전체를 익스포저로 두면, 단 한 번의 패배가 계좌를 죽인다. 차라리 High Risk라도 계좌의 일부만 익스포저로 두고 손절컷을 정해두는 방식이 훨씬 낫다. 리스크는 '무엇을 사느냐'가 아니라 '얼마를 걸고, 어디서 자르느냐'에서 결정된다.</t>
  </si>
  <si>
    <t>R05 — 전 종목이 동시에 손절선에 닿으면 자기자본의 몇 %가 사라지는가 ≤ 10%. 손절선 하회 종목이 있으면 숫자와 무관하게 🔴입니다.</t>
  </si>
  <si>
    <t>'26 누적수익 고점</t>
  </si>
  <si>
    <t>10억을 벌고도 만족하지 못했다</t>
  </si>
  <si>
    <t>타인과 비교하며 느낀 열등감과, 동시에 자만심이 함께 있었다. 10억을 벌었어도 만족하지 못하고 '그래야만 더 나아갈 수 있다'는 생각에 사로잡혀 탐욕을 부렸다. 만족을 모르는 상태가 레버리지를 계속 정당화했다.</t>
  </si>
  <si>
    <t>벤치마크는 나스닥이지 남의 계좌가 아니다. 목표 수익 도달 시 일부라도 기계적으로 실현한다. (대원칙 4·14)</t>
  </si>
  <si>
    <t>원칙</t>
  </si>
  <si>
    <t>수익 국면이 가장 위험하다</t>
  </si>
  <si>
    <t>수익이 계속 나면 그 수익에 무뎌지고 당연해져서 오히려 공부를 안 하게 된다. 그리고 바로 그 시점에 레버리지가 최대치가 되어 있다. 수익이 날 때일수록 디레버리징 타이밍을 칼같이 보고 있어야 한다.</t>
  </si>
  <si>
    <t>수익 구간에서는 주 1회(W1) 기조 갱신 시 디레버리징 여부를 함께 판단한다. 벤치마크 상회분만큼 현금비중을 올린다.</t>
  </si>
  <si>
    <t>시장을 존중하라 — 두 사람으로는 부족하다</t>
  </si>
  <si>
    <t>서재형·김기훈 두 명의 뷰에 계좌를 걸었던 것이 이번 실패의 큰 축이었다. 박종훈·알상무·월가아재 등 2~3명의 뷰를 주 N회 이상 수시로 팔로업한다. 내가 아는 것보다 시장이 항상 크다.</t>
  </si>
  <si>
    <t>R14 — 주간 뷰 기록 출처 수 ≥ 3명. 05_뷰트래커에 매주 기록하고, 분기마다 누가 맞았는지 적중률을 확인한다.</t>
  </si>
  <si>
    <t>Ⅲ. 일기  —  순간의 생각·감정·소회. 정리하지 말고 그냥 적으세요</t>
  </si>
  <si>
    <t>감정은 01_일별로그 P열과 같은 5단계입니다 (😱 극도의 공포 ~ 🤑 극도의 탐욕). 가운데(😐 평온)가 정상이고 양끝이 위험 신호입니다.</t>
  </si>
  <si>
    <t>감정
점수</t>
  </si>
  <si>
    <t>태그</t>
  </si>
  <si>
    <t>오늘의 생각 · 감정 · 소회</t>
  </si>
  <si>
    <t>계기가 된 일 (선택)</t>
  </si>
  <si>
    <t>다시 읽을 때 나에게</t>
  </si>
  <si>
    <t>😨 공포</t>
  </si>
  <si>
    <t>불안</t>
  </si>
  <si>
    <t>청산 직전까지 갔다가 살아난 게 아직도 실감이 안 난다. 손익을 거의 다 날린 건 속상하지만, 1~2영업일만 더 밀렸으면 원금도 빚도 다 날아갔을 거라는 걸 생각하면 지금 이 자리에 있는 게 이상할 정도다.</t>
  </si>
  <si>
    <t>거래내역을 4~7월치 다시 훑어봄</t>
  </si>
  <si>
    <t>살아남은 게 실력이 아니었다는 걸 잊지 마라. 다음엔 운이 없을 수도 있다.</t>
  </si>
  <si>
    <t>😱 극도의 공포</t>
  </si>
  <si>
    <t>과레버리지,현금고갈,손절방치,한방리스크,빚과다  (구 R11·R12·R13)</t>
  </si>
  <si>
    <t>7/28 반대매매 방지 위해 미장→국장 자금 이동. 재기 시작점.</t>
  </si>
  <si>
    <t>😐 평온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</si>
</sst>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yyyy-mm-dd (aaa)"/>
    <numFmt numFmtId="165" formatCode="#,##0;[Red](#,##0);-"/>
    <numFmt numFmtId="166" formatCode="0.0%"/>
    <numFmt numFmtId="167" formatCode="0.00&quot;배&quot;"/>
    <numFmt numFmtId="168" formatCode="+0;-0;0"/>
    <numFmt numFmtId="169" formatCode="0.0%;[Red](0.0%);-"/>
    <numFmt numFmtId="170" formatCode="0&quot;개&quot;"/>
    <numFmt numFmtId="171" formatCode="0.0"/>
    <numFmt numFmtId="172" formatCode="0&quot;건&quot;"/>
    <numFmt numFmtId="173" formatCode="0&quot;명&quot;"/>
    <numFmt numFmtId="174" formatCode="0&quot;일&quot;"/>
    <numFmt numFmtId="175" formatCode="0.000"/>
    <numFmt numFmtId="176" formatCode="0&quot;x&quot;"/>
    <numFmt numFmtId="177" formatCode="+0.00;-0.00;0.00"/>
    <numFmt numFmtId="178" formatCode="0&quot;일 전&quot;"/>
    <numFmt numFmtId="179" formatCode="0.0&quot;p&quot;"/>
    <numFmt numFmtId="180" formatCode="yyyy-mm"/>
    <numFmt numFmtId="181" formatCode="yyyy-mm-dd"/>
  </numFmts>
  <fonts count="27">
    <font>
      <sz val="11.0"/>
      <color theme="1"/>
      <name val="Calibri"/>
      <scheme val="minor"/>
    </font>
    <font>
      <b/>
      <sz val="14.0"/>
      <color rgb="FFFFFFFF"/>
      <name val="Calibri"/>
    </font>
    <font>
      <sz val="9.0"/>
      <color rgb="FF808080"/>
      <name val="Calibri"/>
    </font>
    <font>
      <sz val="11.0"/>
      <color theme="1"/>
      <name val="Calibri"/>
    </font>
    <font>
      <b/>
      <sz val="9.0"/>
      <color rgb="FFFFFFFF"/>
      <name val="Calibri"/>
    </font>
    <font>
      <sz val="10.0"/>
      <color rgb="FF0000FF"/>
      <name val="Calibri"/>
    </font>
    <font>
      <sz val="10.0"/>
      <color theme="1"/>
      <name val="Calibri"/>
    </font>
    <font/>
    <font>
      <b/>
      <sz val="11.0"/>
      <color rgb="FF1F3864"/>
      <name val="Calibri"/>
    </font>
    <font>
      <b/>
      <sz val="10.0"/>
      <color rgb="FF000000"/>
      <name val="Calibri"/>
    </font>
    <font>
      <sz val="9.0"/>
      <color rgb="FF000000"/>
      <name val="Calibri"/>
    </font>
    <font>
      <b/>
      <sz val="10.0"/>
      <color rgb="FF008000"/>
      <name val="Calibri"/>
    </font>
    <font>
      <sz val="8.0"/>
      <color rgb="FF000000"/>
      <name val="Calibri"/>
    </font>
    <font>
      <sz val="9.0"/>
      <color theme="1"/>
      <name val="Calibri"/>
    </font>
    <font>
      <b/>
      <sz val="14.0"/>
      <color theme="1"/>
      <name val="Calibri"/>
    </font>
    <font>
      <sz val="8.0"/>
      <color rgb="FF808080"/>
      <name val="Calibri"/>
    </font>
    <font>
      <b/>
      <sz val="11.0"/>
      <color theme="1"/>
      <name val="Calibri"/>
    </font>
    <font>
      <b/>
      <sz val="10.0"/>
      <color rgb="FFFF0000"/>
      <name val="Calibri"/>
    </font>
    <font>
      <b/>
      <sz val="10.0"/>
      <color rgb="FFBF8F00"/>
      <name val="Calibri"/>
    </font>
    <font>
      <sz val="10.0"/>
      <color rgb="FF000000"/>
      <name val="Calibri"/>
    </font>
    <font>
      <sz val="9.0"/>
      <color rgb="FF0000FF"/>
      <name val="Calibri"/>
    </font>
    <font>
      <sz val="9.0"/>
      <color rgb="FFFF0000"/>
      <name val="Calibri"/>
    </font>
    <font>
      <sz val="12.0"/>
      <color theme="1"/>
      <name val="Calibri"/>
    </font>
    <font>
      <sz val="10.0"/>
      <color rgb="FFFF0000"/>
      <name val="Calibri"/>
    </font>
    <font>
      <b/>
      <sz val="10.0"/>
      <color theme="1"/>
      <name val="Calibri"/>
    </font>
    <font>
      <b/>
      <sz val="10.0"/>
      <color rgb="FF0000FF"/>
      <name val="Calibri"/>
    </font>
    <font>
      <b/>
      <u/>
      <sz val="10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7E6"/>
        <bgColor rgb="FFFFF7E6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horizontal="left" vertical="center"/>
    </xf>
    <xf borderId="0" fillId="0" fontId="3" numFmtId="0" xfId="0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5" fontId="5" numFmtId="164" xfId="0" applyAlignment="1" applyBorder="1" applyFill="1" applyFont="1" applyNumberFormat="1">
      <alignment horizontal="center" vertical="center"/>
    </xf>
    <xf borderId="1" fillId="6" fontId="6" numFmtId="165" xfId="0" applyAlignment="1" applyBorder="1" applyFill="1" applyFont="1" applyNumberFormat="1">
      <alignment horizontal="center" vertical="center"/>
    </xf>
    <xf borderId="1" fillId="6" fontId="6" numFmtId="166" xfId="0" applyAlignment="1" applyBorder="1" applyFont="1" applyNumberFormat="1">
      <alignment horizontal="center" vertical="center"/>
    </xf>
    <xf borderId="1" fillId="6" fontId="6" numFmtId="167" xfId="0" applyAlignment="1" applyBorder="1" applyFont="1" applyNumberForma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5" fontId="5" numFmtId="0" xfId="0" applyAlignment="1" applyBorder="1" applyFont="1">
      <alignment horizontal="left" shrinkToFit="0" vertical="center" wrapText="1"/>
    </xf>
    <xf borderId="1" fillId="7" fontId="5" numFmtId="165" xfId="0" applyAlignment="1" applyBorder="1" applyFont="1" applyNumberFormat="1">
      <alignment horizontal="center" vertical="center"/>
    </xf>
    <xf borderId="1" fillId="5" fontId="5" numFmtId="165" xfId="0" applyAlignment="1" applyBorder="1" applyFont="1" applyNumberFormat="1">
      <alignment horizontal="center" vertical="center"/>
    </xf>
    <xf borderId="1" fillId="6" fontId="2" numFmtId="165" xfId="0" applyAlignment="1" applyBorder="1" applyFont="1" applyNumberFormat="1">
      <alignment horizontal="center" vertical="center"/>
    </xf>
    <xf borderId="1" fillId="5" fontId="5" numFmtId="4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2" numFmtId="168" xfId="0" applyAlignment="1" applyBorder="1" applyFont="1" applyNumberFormat="1">
      <alignment horizontal="center" vertical="center"/>
    </xf>
    <xf borderId="1" fillId="5" fontId="6" numFmtId="165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left" vertical="center"/>
    </xf>
    <xf borderId="3" fillId="0" fontId="7" numFmtId="0" xfId="0" applyBorder="1" applyFont="1"/>
    <xf borderId="0" fillId="0" fontId="2" numFmtId="0" xfId="0" applyAlignment="1" applyFont="1">
      <alignment horizontal="left" vertical="center"/>
    </xf>
    <xf borderId="2" fillId="8" fontId="8" numFmtId="0" xfId="0" applyAlignment="1" applyBorder="1" applyFill="1" applyFont="1">
      <alignment horizontal="left" vertical="center"/>
    </xf>
    <xf borderId="1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shrinkToFit="0" vertical="center" wrapText="1"/>
    </xf>
    <xf borderId="1" fillId="7" fontId="5" numFmtId="167" xfId="0" applyAlignment="1" applyBorder="1" applyFont="1" applyNumberFormat="1">
      <alignment horizontal="center" vertical="center"/>
    </xf>
    <xf borderId="1" fillId="6" fontId="11" numFmtId="167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6" fontId="13" numFmtId="0" xfId="0" applyAlignment="1" applyBorder="1" applyFont="1">
      <alignment horizontal="center" vertical="center"/>
    </xf>
    <xf borderId="1" fillId="7" fontId="5" numFmtId="9" xfId="0" applyAlignment="1" applyBorder="1" applyFont="1" applyNumberFormat="1">
      <alignment horizontal="center" vertical="center"/>
    </xf>
    <xf borderId="0" fillId="8" fontId="8" numFmtId="0" xfId="0" applyAlignment="1" applyFont="1">
      <alignment horizontal="left" vertical="center"/>
    </xf>
    <xf borderId="0" fillId="8" fontId="8" numFmtId="0" xfId="0" applyFont="1"/>
    <xf borderId="1" fillId="6" fontId="11" numFmtId="169" xfId="0" applyAlignment="1" applyBorder="1" applyFont="1" applyNumberFormat="1">
      <alignment horizontal="center" vertical="center"/>
    </xf>
    <xf borderId="1" fillId="6" fontId="14" numFmtId="165" xfId="0" applyAlignment="1" applyBorder="1" applyFont="1" applyNumberFormat="1">
      <alignment horizontal="center" vertical="center"/>
    </xf>
    <xf borderId="1" fillId="7" fontId="5" numFmtId="170" xfId="0" applyAlignment="1" applyBorder="1" applyFont="1" applyNumberFormat="1">
      <alignment horizontal="center" vertical="center"/>
    </xf>
    <xf borderId="1" fillId="6" fontId="14" numFmtId="167" xfId="0" applyAlignment="1" applyBorder="1" applyFont="1" applyNumberFormat="1">
      <alignment horizontal="center" vertical="center"/>
    </xf>
    <xf borderId="1" fillId="6" fontId="11" numFmtId="170" xfId="0" applyAlignment="1" applyBorder="1" applyFont="1" applyNumberFormat="1">
      <alignment horizontal="center" vertical="center"/>
    </xf>
    <xf borderId="1" fillId="6" fontId="14" numFmtId="2" xfId="0" applyAlignment="1" applyBorder="1" applyFont="1" applyNumberFormat="1">
      <alignment horizontal="center" vertical="center"/>
    </xf>
    <xf borderId="1" fillId="6" fontId="14" numFmtId="166" xfId="0" applyAlignment="1" applyBorder="1" applyFont="1" applyNumberFormat="1">
      <alignment horizontal="center" vertical="center"/>
    </xf>
    <xf borderId="1" fillId="7" fontId="5" numFmtId="169" xfId="0" applyAlignment="1" applyBorder="1" applyFont="1" applyNumberFormat="1">
      <alignment horizontal="center" vertical="center"/>
    </xf>
    <xf borderId="1" fillId="6" fontId="14" numFmtId="1" xfId="0" applyAlignment="1" applyBorder="1" applyFont="1" applyNumberFormat="1">
      <alignment horizontal="center" vertical="center"/>
    </xf>
    <xf borderId="1" fillId="6" fontId="14" numFmtId="170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" fillId="9" fontId="16" numFmtId="0" xfId="0" applyAlignment="1" applyBorder="1" applyFill="1" applyFont="1">
      <alignment horizontal="center" vertical="center"/>
    </xf>
    <xf borderId="1" fillId="7" fontId="5" numFmtId="166" xfId="0" applyAlignment="1" applyBorder="1" applyFont="1" applyNumberFormat="1">
      <alignment horizontal="center" vertical="center"/>
    </xf>
    <xf borderId="1" fillId="6" fontId="15" numFmtId="0" xfId="0" applyAlignment="1" applyBorder="1" applyFont="1">
      <alignment horizontal="left" shrinkToFit="0" vertical="center" wrapText="1"/>
    </xf>
    <xf borderId="1" fillId="6" fontId="11" numFmtId="166" xfId="0" applyAlignment="1" applyBorder="1" applyFont="1" applyNumberFormat="1">
      <alignment horizontal="center" vertical="center"/>
    </xf>
    <xf borderId="1" fillId="7" fontId="5" numFmtId="171" xfId="0" applyAlignment="1" applyBorder="1" applyFont="1" applyNumberFormat="1">
      <alignment horizontal="center" vertical="center"/>
    </xf>
    <xf borderId="1" fillId="6" fontId="11" numFmtId="171" xfId="0" applyAlignment="1" applyBorder="1" applyFont="1" applyNumberFormat="1">
      <alignment horizontal="center" vertical="center"/>
    </xf>
    <xf borderId="1" fillId="6" fontId="16" numFmtId="165" xfId="0" applyAlignment="1" applyBorder="1" applyFont="1" applyNumberFormat="1">
      <alignment horizontal="center" vertical="center"/>
    </xf>
    <xf borderId="1" fillId="7" fontId="5" numFmtId="172" xfId="0" applyAlignment="1" applyBorder="1" applyFont="1" applyNumberFormat="1">
      <alignment horizontal="center" vertical="center"/>
    </xf>
    <xf borderId="1" fillId="6" fontId="11" numFmtId="172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5" numFmtId="169" xfId="0" applyAlignment="1" applyFont="1" applyNumberFormat="1">
      <alignment horizontal="center" vertical="center"/>
    </xf>
    <xf borderId="0" fillId="0" fontId="11" numFmtId="169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0" fillId="0" fontId="5" numFmtId="173" xfId="0" applyAlignment="1" applyFont="1" applyNumberFormat="1">
      <alignment horizontal="center" vertical="center"/>
    </xf>
    <xf borderId="0" fillId="0" fontId="11" numFmtId="173" xfId="0" applyAlignment="1" applyFont="1" applyNumberFormat="1">
      <alignment horizontal="center" vertical="center"/>
    </xf>
    <xf borderId="0" fillId="0" fontId="5" numFmtId="172" xfId="0" applyAlignment="1" applyFont="1" applyNumberFormat="1">
      <alignment horizontal="center" vertical="center"/>
    </xf>
    <xf borderId="0" fillId="0" fontId="11" numFmtId="172" xfId="0" applyAlignment="1" applyFont="1" applyNumberFormat="1">
      <alignment horizontal="center" vertical="center"/>
    </xf>
    <xf borderId="0" fillId="0" fontId="15" numFmtId="0" xfId="0" applyAlignment="1" applyFont="1">
      <alignment horizontal="left" shrinkToFit="0" vertical="center" wrapText="1"/>
    </xf>
    <xf borderId="0" fillId="0" fontId="17" numFmtId="170" xfId="0" applyAlignment="1" applyFont="1" applyNumberFormat="1">
      <alignment horizontal="center" vertical="center"/>
    </xf>
    <xf borderId="0" fillId="0" fontId="18" numFmtId="170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7" fontId="5" numFmtId="1" xfId="0" applyAlignment="1" applyBorder="1" applyFont="1" applyNumberFormat="1">
      <alignment horizontal="center" vertical="center"/>
    </xf>
    <xf borderId="1" fillId="7" fontId="5" numFmtId="164" xfId="0" applyAlignment="1" applyBorder="1" applyFont="1" applyNumberFormat="1">
      <alignment horizontal="center" vertical="center"/>
    </xf>
    <xf borderId="1" fillId="6" fontId="19" numFmtId="164" xfId="0" applyAlignment="1" applyBorder="1" applyFont="1" applyNumberFormat="1">
      <alignment horizontal="center" vertical="center"/>
    </xf>
    <xf borderId="1" fillId="6" fontId="19" numFmtId="174" xfId="0" applyAlignment="1" applyBorder="1" applyFont="1" applyNumberFormat="1">
      <alignment horizontal="center" vertical="center"/>
    </xf>
    <xf borderId="1" fillId="7" fontId="10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19" numFmtId="164" xfId="0" applyAlignment="1" applyFont="1" applyNumberFormat="1">
      <alignment horizontal="center" vertical="center"/>
    </xf>
    <xf borderId="0" fillId="0" fontId="19" numFmtId="174" xfId="0" applyAlignment="1" applyFont="1" applyNumberFormat="1">
      <alignment horizontal="center" vertical="center"/>
    </xf>
    <xf borderId="0" fillId="0" fontId="20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6" fontId="16" numFmtId="166" xfId="0" applyAlignment="1" applyBorder="1" applyFont="1" applyNumberFormat="1">
      <alignment horizontal="center" vertical="center"/>
    </xf>
    <xf borderId="1" fillId="6" fontId="6" numFmtId="0" xfId="0" applyAlignment="1" applyBorder="1" applyFont="1">
      <alignment horizontal="center" vertical="center"/>
    </xf>
    <xf borderId="1" fillId="9" fontId="16" numFmtId="166" xfId="0" applyAlignment="1" applyBorder="1" applyFont="1" applyNumberFormat="1">
      <alignment horizontal="center" vertical="center"/>
    </xf>
    <xf borderId="1" fillId="9" fontId="16" numFmtId="0" xfId="0" applyAlignment="1" applyBorder="1" applyFont="1">
      <alignment horizontal="left" shrinkToFit="0" vertical="center" wrapText="1"/>
    </xf>
    <xf borderId="1" fillId="6" fontId="6" numFmtId="0" xfId="0" applyAlignment="1" applyBorder="1" applyFont="1">
      <alignment horizontal="left" shrinkToFit="0" vertical="center" wrapText="1"/>
    </xf>
    <xf borderId="1" fillId="6" fontId="6" numFmtId="9" xfId="0" applyAlignment="1" applyBorder="1" applyFont="1" applyNumberFormat="1">
      <alignment horizontal="center" vertical="center"/>
    </xf>
    <xf borderId="1" fillId="6" fontId="6" numFmtId="169" xfId="0" applyAlignment="1" applyBorder="1" applyFont="1" applyNumberFormat="1">
      <alignment horizontal="center" vertical="center"/>
    </xf>
    <xf borderId="1" fillId="6" fontId="6" numFmtId="170" xfId="0" applyAlignment="1" applyBorder="1" applyFont="1" applyNumberFormat="1">
      <alignment horizontal="center" vertical="center"/>
    </xf>
    <xf borderId="1" fillId="6" fontId="6" numFmtId="171" xfId="0" applyAlignment="1" applyBorder="1" applyFont="1" applyNumberFormat="1">
      <alignment horizontal="center" vertical="center"/>
    </xf>
    <xf borderId="1" fillId="6" fontId="6" numFmtId="172" xfId="0" applyAlignment="1" applyBorder="1" applyFont="1" applyNumberFormat="1">
      <alignment horizontal="center" vertical="center"/>
    </xf>
    <xf borderId="0" fillId="0" fontId="21" numFmtId="0" xfId="0" applyAlignment="1" applyFont="1">
      <alignment horizontal="left" shrinkToFit="0" vertical="center" wrapText="1"/>
    </xf>
    <xf borderId="0" fillId="0" fontId="22" numFmtId="0" xfId="0" applyAlignment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4" fillId="6" fontId="9" numFmtId="165" xfId="0" applyAlignment="1" applyBorder="1" applyFont="1" applyNumberFormat="1">
      <alignment horizontal="center" vertical="center"/>
    </xf>
    <xf borderId="4" fillId="7" fontId="5" numFmtId="165" xfId="0" applyAlignment="1" applyBorder="1" applyFont="1" applyNumberFormat="1">
      <alignment horizontal="center" vertical="center"/>
    </xf>
    <xf borderId="4" fillId="7" fontId="5" numFmtId="175" xfId="0" applyAlignment="1" applyBorder="1" applyFont="1" applyNumberFormat="1">
      <alignment horizontal="center" vertical="center"/>
    </xf>
    <xf borderId="4" fillId="6" fontId="11" numFmtId="165" xfId="0" applyAlignment="1" applyBorder="1" applyFont="1" applyNumberFormat="1">
      <alignment horizontal="center" vertical="center"/>
    </xf>
    <xf borderId="1" fillId="7" fontId="20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left" shrinkToFit="0" vertical="center" wrapText="1"/>
    </xf>
    <xf borderId="1" fillId="7" fontId="5" numFmtId="3" xfId="0" applyAlignment="1" applyBorder="1" applyFont="1" applyNumberFormat="1">
      <alignment horizontal="center" vertical="center"/>
    </xf>
    <xf borderId="1" fillId="10" fontId="5" numFmtId="3" xfId="0" applyAlignment="1" applyBorder="1" applyFill="1" applyFont="1" applyNumberFormat="1">
      <alignment horizontal="center" vertical="center"/>
    </xf>
    <xf borderId="1" fillId="7" fontId="5" numFmtId="176" xfId="0" applyAlignment="1" applyBorder="1" applyFont="1" applyNumberFormat="1">
      <alignment horizontal="center" vertical="center"/>
    </xf>
    <xf borderId="1" fillId="6" fontId="19" numFmtId="165" xfId="0" applyAlignment="1" applyBorder="1" applyFont="1" applyNumberFormat="1">
      <alignment horizontal="center" vertical="center"/>
    </xf>
    <xf borderId="1" fillId="6" fontId="19" numFmtId="169" xfId="0" applyAlignment="1" applyBorder="1" applyFont="1" applyNumberFormat="1">
      <alignment horizontal="center" vertical="center"/>
    </xf>
    <xf borderId="1" fillId="7" fontId="20" numFmtId="0" xfId="0" applyAlignment="1" applyBorder="1" applyFont="1">
      <alignment horizontal="left" shrinkToFit="0" vertical="center" wrapText="1"/>
    </xf>
    <xf borderId="1" fillId="10" fontId="5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left" shrinkToFit="0" vertical="center" wrapText="1"/>
    </xf>
    <xf borderId="4" fillId="6" fontId="9" numFmtId="169" xfId="0" applyAlignment="1" applyBorder="1" applyFont="1" applyNumberFormat="1">
      <alignment horizontal="center" vertical="center"/>
    </xf>
    <xf borderId="4" fillId="6" fontId="17" numFmtId="170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6" fontId="9" numFmtId="165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left" shrinkToFit="0" vertical="center" wrapText="1"/>
    </xf>
    <xf borderId="1" fillId="6" fontId="9" numFmtId="175" xfId="0" applyAlignment="1" applyBorder="1" applyFont="1" applyNumberFormat="1">
      <alignment horizontal="center" vertical="center"/>
    </xf>
    <xf borderId="1" fillId="6" fontId="9" numFmtId="169" xfId="0" applyAlignment="1" applyBorder="1" applyFont="1" applyNumberFormat="1">
      <alignment horizontal="center" vertical="center"/>
    </xf>
    <xf borderId="1" fillId="6" fontId="9" numFmtId="167" xfId="0" applyAlignment="1" applyBorder="1" applyFont="1" applyNumberFormat="1">
      <alignment horizontal="center" vertical="center"/>
    </xf>
    <xf borderId="1" fillId="6" fontId="9" numFmtId="170" xfId="0" applyAlignment="1" applyBorder="1" applyFont="1" applyNumberFormat="1">
      <alignment horizontal="center" vertical="center"/>
    </xf>
    <xf borderId="4" fillId="5" fontId="5" numFmtId="164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horizontal="center" vertical="center"/>
    </xf>
    <xf borderId="4" fillId="5" fontId="5" numFmtId="3" xfId="0" applyAlignment="1" applyBorder="1" applyFont="1" applyNumberFormat="1">
      <alignment horizontal="center" vertical="center"/>
    </xf>
    <xf borderId="4" fillId="5" fontId="5" numFmtId="4" xfId="0" applyAlignment="1" applyBorder="1" applyFont="1" applyNumberFormat="1">
      <alignment horizontal="center" vertical="center"/>
    </xf>
    <xf borderId="4" fillId="6" fontId="19" numFmtId="165" xfId="0" applyAlignment="1" applyBorder="1" applyFont="1" applyNumberFormat="1">
      <alignment horizontal="center" vertical="center"/>
    </xf>
    <xf borderId="4" fillId="5" fontId="20" numFmtId="0" xfId="0" applyAlignment="1" applyBorder="1" applyFont="1">
      <alignment horizontal="left" shrinkToFit="0" vertical="center" wrapText="1"/>
    </xf>
    <xf borderId="4" fillId="5" fontId="5" numFmtId="165" xfId="0" applyAlignment="1" applyBorder="1" applyFont="1" applyNumberFormat="1">
      <alignment horizontal="center" vertical="center"/>
    </xf>
    <xf borderId="4" fillId="7" fontId="5" numFmtId="164" xfId="0" applyAlignment="1" applyBorder="1" applyFont="1" applyNumberFormat="1">
      <alignment horizontal="center" vertical="center"/>
    </xf>
    <xf borderId="4" fillId="7" fontId="5" numFmtId="0" xfId="0" applyAlignment="1" applyBorder="1" applyFont="1">
      <alignment horizontal="center" vertical="center"/>
    </xf>
    <xf borderId="4" fillId="7" fontId="5" numFmtId="3" xfId="0" applyAlignment="1" applyBorder="1" applyFont="1" applyNumberFormat="1">
      <alignment horizontal="center" vertical="center"/>
    </xf>
    <xf borderId="4" fillId="7" fontId="5" numFmtId="4" xfId="0" applyAlignment="1" applyBorder="1" applyFont="1" applyNumberFormat="1">
      <alignment horizontal="center" vertical="center"/>
    </xf>
    <xf borderId="4" fillId="7" fontId="10" numFmtId="0" xfId="0" applyAlignment="1" applyBorder="1" applyFont="1">
      <alignment horizontal="left" shrinkToFit="0" vertical="center" wrapText="1"/>
    </xf>
    <xf borderId="1" fillId="6" fontId="6" numFmtId="177" xfId="0" applyAlignment="1" applyBorder="1" applyFont="1" applyNumberFormat="1">
      <alignment horizontal="center" vertical="center"/>
    </xf>
    <xf borderId="1" fillId="6" fontId="6" numFmtId="164" xfId="0" applyAlignment="1" applyBorder="1" applyFont="1" applyNumberFormat="1">
      <alignment horizontal="center" vertical="center"/>
    </xf>
    <xf borderId="1" fillId="6" fontId="6" numFmtId="178" xfId="0" applyAlignment="1" applyBorder="1" applyFont="1" applyNumberFormat="1">
      <alignment horizontal="center" vertical="center"/>
    </xf>
    <xf borderId="0" fillId="6" fontId="2" numFmtId="0" xfId="0" applyAlignment="1" applyFont="1">
      <alignment horizontal="center" vertical="center"/>
    </xf>
    <xf borderId="0" fillId="6" fontId="2" numFmtId="164" xfId="0" applyAlignment="1" applyFont="1" applyNumberFormat="1">
      <alignment horizontal="center" vertical="center"/>
    </xf>
    <xf borderId="1" fillId="6" fontId="6" numFmtId="173" xfId="0" applyAlignment="1" applyBorder="1" applyFont="1" applyNumberFormat="1">
      <alignment horizontal="center" vertical="center"/>
    </xf>
    <xf borderId="1" fillId="6" fontId="6" numFmtId="168" xfId="0" applyAlignment="1" applyBorder="1" applyFont="1" applyNumberFormat="1">
      <alignment horizontal="center" vertical="center"/>
    </xf>
    <xf borderId="1" fillId="9" fontId="16" numFmtId="179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" fillId="6" fontId="2" numFmtId="164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6" fontId="19" numFmtId="172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left" shrinkToFit="0" vertical="center" wrapText="1"/>
    </xf>
    <xf borderId="1" fillId="0" fontId="9" numFmtId="180" xfId="0" applyAlignment="1" applyBorder="1" applyFont="1" applyNumberFormat="1">
      <alignment horizontal="center" vertical="center"/>
    </xf>
    <xf borderId="1" fillId="6" fontId="19" numFmtId="167" xfId="0" applyAlignment="1" applyBorder="1" applyFont="1" applyNumberFormat="1">
      <alignment horizontal="center" vertical="center"/>
    </xf>
    <xf borderId="1" fillId="6" fontId="23" numFmtId="165" xfId="0" applyAlignment="1" applyBorder="1" applyFont="1" applyNumberFormat="1">
      <alignment horizontal="center" vertical="center"/>
    </xf>
    <xf borderId="1" fillId="6" fontId="23" numFmtId="174" xfId="0" applyAlignment="1" applyBorder="1" applyFont="1" applyNumberFormat="1">
      <alignment horizontal="center" vertical="center"/>
    </xf>
    <xf borderId="1" fillId="0" fontId="9" numFmtId="1" xfId="0" applyAlignment="1" applyBorder="1" applyFont="1" applyNumberFormat="1">
      <alignment horizontal="center" vertical="center"/>
    </xf>
    <xf borderId="4" fillId="7" fontId="5" numFmtId="181" xfId="0" applyAlignment="1" applyBorder="1" applyFont="1" applyNumberFormat="1">
      <alignment horizontal="center" vertical="center"/>
    </xf>
    <xf borderId="4" fillId="7" fontId="20" numFmtId="0" xfId="0" applyAlignment="1" applyBorder="1" applyFont="1">
      <alignment horizontal="left" shrinkToFit="0" vertical="center" wrapText="1"/>
    </xf>
    <xf borderId="4" fillId="7" fontId="5" numFmtId="1" xfId="0" applyAlignment="1" applyBorder="1" applyFont="1" applyNumberFormat="1">
      <alignment horizontal="center" vertical="center"/>
    </xf>
    <xf borderId="1" fillId="7" fontId="5" numFmtId="181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0" fillId="8" fontId="8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1" fillId="11" fontId="5" numFmtId="181" xfId="0" applyAlignment="1" applyBorder="1" applyFill="1" applyFont="1" applyNumberFormat="1">
      <alignment horizontal="center" vertical="center"/>
    </xf>
    <xf borderId="1" fillId="11" fontId="25" numFmtId="0" xfId="0" applyAlignment="1" applyBorder="1" applyFont="1">
      <alignment horizontal="center" vertical="center"/>
    </xf>
    <xf borderId="1" fillId="11" fontId="9" numFmtId="0" xfId="0" applyAlignment="1" applyBorder="1" applyFont="1">
      <alignment horizontal="left" shrinkToFit="0" vertical="center" wrapText="1"/>
    </xf>
    <xf borderId="1" fillId="11" fontId="10" numFmtId="0" xfId="0" applyAlignment="1" applyBorder="1" applyFont="1">
      <alignment horizontal="left" shrinkToFit="0" vertical="center" wrapText="1"/>
    </xf>
    <xf borderId="1" fillId="11" fontId="21" numFmtId="0" xfId="0" applyAlignment="1" applyBorder="1" applyFont="1">
      <alignment horizontal="left" shrinkToFit="0" vertical="center" wrapText="1"/>
    </xf>
    <xf borderId="5" fillId="8" fontId="8" numFmtId="181" xfId="0" applyAlignment="1" applyBorder="1" applyFont="1" applyNumberFormat="1">
      <alignment horizontal="left" vertical="center"/>
    </xf>
    <xf borderId="6" fillId="0" fontId="7" numFmtId="0" xfId="0" applyBorder="1" applyFont="1"/>
    <xf borderId="7" fillId="0" fontId="7" numFmtId="0" xfId="0" applyBorder="1" applyFont="1"/>
    <xf borderId="5" fillId="7" fontId="2" numFmtId="181" xfId="0" applyAlignment="1" applyBorder="1" applyFont="1" applyNumberFormat="1">
      <alignment horizontal="left" shrinkToFit="0" vertical="center" wrapText="1"/>
    </xf>
    <xf borderId="1" fillId="4" fontId="4" numFmtId="181" xfId="0" applyAlignment="1" applyBorder="1" applyFont="1" applyNumberFormat="1">
      <alignment horizontal="center" shrinkToFit="0" vertical="center" wrapText="1"/>
    </xf>
    <xf borderId="1" fillId="12" fontId="10" numFmtId="164" xfId="0" applyAlignment="1" applyBorder="1" applyFill="1" applyFont="1" applyNumberFormat="1">
      <alignment horizontal="center" vertical="center"/>
    </xf>
    <xf borderId="1" fillId="12" fontId="10" numFmtId="1" xfId="0" applyAlignment="1" applyBorder="1" applyFont="1" applyNumberFormat="1">
      <alignment horizontal="center" vertical="center"/>
    </xf>
    <xf borderId="1" fillId="12" fontId="10" numFmtId="0" xfId="0" applyAlignment="1" applyBorder="1" applyFont="1">
      <alignment horizontal="center" vertical="center"/>
    </xf>
    <xf borderId="1" fillId="12" fontId="10" numFmtId="0" xfId="0" applyAlignment="1" applyBorder="1" applyFont="1">
      <alignment horizontal="left" shrinkToFit="0" vertical="center" wrapText="1"/>
    </xf>
    <xf borderId="1" fillId="12" fontId="21" numFmtId="0" xfId="0" applyAlignment="1" applyBorder="1" applyFont="1">
      <alignment horizontal="left" shrinkToFit="0" vertical="center" wrapText="1"/>
    </xf>
    <xf borderId="1" fillId="7" fontId="20" numFmtId="164" xfId="0" applyAlignment="1" applyBorder="1" applyFont="1" applyNumberFormat="1">
      <alignment horizontal="center" vertical="center"/>
    </xf>
    <xf borderId="1" fillId="7" fontId="20" numFmtId="1" xfId="0" applyAlignment="1" applyBorder="1" applyFont="1" applyNumberFormat="1">
      <alignment horizontal="center" vertical="center"/>
    </xf>
    <xf borderId="1" fillId="6" fontId="5" numFmtId="165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center" readingOrder="0" vertical="center"/>
    </xf>
    <xf borderId="1" fillId="7" fontId="26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① 순자산 vs 신용잔고 — 내 돈과 빌린 돈이 언제 벌어졌는가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'01_일별로그'!$B$4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'01_일별로그'!$B$5:$B$276</c:f>
              <c:numCache/>
            </c:numRef>
          </c:val>
          <c:smooth val="0"/>
        </c:ser>
        <c:ser>
          <c:idx val="1"/>
          <c:order val="1"/>
          <c:tx>
            <c:strRef>
              <c:f>'01_일별로그'!$G$4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'01_일별로그'!$G$5:$G$276</c:f>
              <c:numCache/>
            </c:numRef>
          </c:val>
          <c:smooth val="0"/>
        </c:ser>
        <c:axId val="1661490883"/>
        <c:axId val="285965707"/>
      </c:lineChart>
      <c:catAx>
        <c:axId val="1661490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5965707"/>
      </c:catAx>
      <c:valAx>
        <c:axId val="285965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6149088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② 언더워터 — 전고점 대비 하락률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'01_일별로그'!$E$4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'01_일별로그'!$E$5:$E$276</c:f>
              <c:numCache/>
            </c:numRef>
          </c:val>
          <c:smooth val="0"/>
        </c:ser>
        <c:axId val="1235830400"/>
        <c:axId val="1329591875"/>
      </c:lineChart>
      <c:catAx>
        <c:axId val="123583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29591875"/>
      </c:catAx>
      <c:valAx>
        <c:axId val="1329591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MDD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3583040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③ 계좌별 누적손익 — 어디서 벌고 어디서 잃는가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'01_일별로그'!$M$4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'01_일별로그'!$M$5:$M$276</c:f>
              <c:numCache/>
            </c:numRef>
          </c:val>
          <c:smooth val="0"/>
        </c:ser>
        <c:ser>
          <c:idx val="1"/>
          <c:order val="1"/>
          <c:tx>
            <c:strRef>
              <c:f>'01_일별로그'!$N$4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'01_일별로그'!$N$5:$N$276</c:f>
              <c:numCache/>
            </c:numRef>
          </c:val>
          <c:smooth val="0"/>
        </c:ser>
        <c:ser>
          <c:idx val="2"/>
          <c:order val="2"/>
          <c:tx>
            <c:strRef>
              <c:f>'01_일별로그'!$O$4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'01_일별로그'!$O$5:$O$276</c:f>
              <c:numCache/>
            </c:numRef>
          </c:val>
          <c:smooth val="0"/>
        </c:ser>
        <c:axId val="1763666438"/>
        <c:axId val="681128808"/>
      </c:lineChart>
      <c:catAx>
        <c:axId val="1763666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81128808"/>
      </c:catAx>
      <c:valAx>
        <c:axId val="681128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6366643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① 순자산 vs 총평가 vs 신용잔고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'01_일별로그'!$B$4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'01_일별로그'!$B$5:$B$276</c:f>
              <c:numCache/>
            </c:numRef>
          </c:val>
          <c:smooth val="0"/>
        </c:ser>
        <c:ser>
          <c:idx val="1"/>
          <c:order val="1"/>
          <c:tx>
            <c:strRef>
              <c:f>'01_일별로그'!$Z$4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'01_일별로그'!$Z$5:$Z$276</c:f>
              <c:numCache/>
            </c:numRef>
          </c:val>
          <c:smooth val="0"/>
        </c:ser>
        <c:ser>
          <c:idx val="2"/>
          <c:order val="2"/>
          <c:tx>
            <c:strRef>
              <c:f>'01_일별로그'!$G$4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'01_일별로그'!$G$5:$G$276</c:f>
              <c:numCache/>
            </c:numRef>
          </c:val>
          <c:smooth val="0"/>
        </c:ser>
        <c:axId val="170636392"/>
        <c:axId val="1216868093"/>
      </c:lineChart>
      <c:catAx>
        <c:axId val="17063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6868093"/>
      </c:catAx>
      <c:valAx>
        <c:axId val="1216868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63639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② 언더워터 (전고점 대비 MDD)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'01_일별로그'!$E$4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'01_일별로그'!$E$5:$E$276</c:f>
              <c:numCache/>
            </c:numRef>
          </c:val>
          <c:smooth val="0"/>
        </c:ser>
        <c:axId val="1537061948"/>
        <c:axId val="1507724663"/>
      </c:lineChart>
      <c:catAx>
        <c:axId val="1537061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07724663"/>
      </c:catAx>
      <c:valAx>
        <c:axId val="1507724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MDD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70619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③ 계좌별 누적손익 (국장 / 미장 / ISA)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'01_일별로그'!$M$4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'01_일별로그'!$M$5:$M$276</c:f>
              <c:numCache/>
            </c:numRef>
          </c:val>
          <c:smooth val="0"/>
        </c:ser>
        <c:ser>
          <c:idx val="1"/>
          <c:order val="1"/>
          <c:tx>
            <c:strRef>
              <c:f>'01_일별로그'!$N$4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'01_일별로그'!$N$5:$N$276</c:f>
              <c:numCache/>
            </c:numRef>
          </c:val>
          <c:smooth val="0"/>
        </c:ser>
        <c:ser>
          <c:idx val="2"/>
          <c:order val="2"/>
          <c:tx>
            <c:strRef>
              <c:f>'01_일별로그'!$O$4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'01_일별로그'!$O$5:$O$276</c:f>
              <c:numCache/>
            </c:numRef>
          </c:val>
          <c:smooth val="0"/>
        </c:ser>
        <c:axId val="1517316169"/>
        <c:axId val="276584145"/>
      </c:lineChart>
      <c:catAx>
        <c:axId val="1517316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6584145"/>
      </c:catAx>
      <c:valAx>
        <c:axId val="276584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731616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④ 누적손익 (전체)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'01_일별로그'!$D$4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'01_일별로그'!$D$5:$D$276</c:f>
              <c:numCache/>
            </c:numRef>
          </c:val>
          <c:smooth val="0"/>
        </c:ser>
        <c:axId val="1546485012"/>
        <c:axId val="825474753"/>
      </c:lineChart>
      <c:catAx>
        <c:axId val="1546485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5474753"/>
      </c:catAx>
      <c:valAx>
        <c:axId val="825474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648501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⑤ 일손익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'01_일별로그'!$C$4</c:f>
            </c:strRef>
          </c:tx>
          <c:cat>
            <c:strRef>
              <c:f>'01_일별로그'!$A$5:$A$276</c:f>
            </c:strRef>
          </c:cat>
          <c:val>
            <c:numRef>
              <c:f>'01_일별로그'!$C$5:$C$276</c:f>
              <c:numCache/>
            </c:numRef>
          </c:val>
        </c:ser>
        <c:axId val="703634521"/>
        <c:axId val="1452650132"/>
      </c:barChart>
      <c:catAx>
        <c:axId val="703634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52650132"/>
      </c:catAx>
      <c:valAx>
        <c:axId val="145265013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0363452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⑥ 현금비중 &amp; 차입비중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'01_일별로그'!$L$4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'01_일별로그'!$L$5:$L$276</c:f>
              <c:numCache/>
            </c:numRef>
          </c:val>
          <c:smooth val="0"/>
        </c:ser>
        <c:ser>
          <c:idx val="1"/>
          <c:order val="1"/>
          <c:tx>
            <c:strRef>
              <c:f>'01_일별로그'!$K$4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'01_일별로그'!$K$5:$K$276</c:f>
              <c:numCache/>
            </c:numRef>
          </c:val>
          <c:smooth val="0"/>
        </c:ser>
        <c:axId val="1019192983"/>
        <c:axId val="181735665"/>
      </c:lineChart>
      <c:catAx>
        <c:axId val="1019192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735665"/>
      </c:catAx>
      <c:valAx>
        <c:axId val="181735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비중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1919298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⑦ 총차입 ÷ 연봉 배수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'01_일별로그'!$J$4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'01_일별로그'!$J$5:$J$276</c:f>
              <c:numCache/>
            </c:numRef>
          </c:val>
          <c:smooth val="0"/>
        </c:ser>
        <c:axId val="919088458"/>
        <c:axId val="411813223"/>
      </c:lineChart>
      <c:catAx>
        <c:axId val="919088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1813223"/>
      </c:catAx>
      <c:valAx>
        <c:axId val="411813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1908845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⑧ 청산까지 여력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'01_일별로그'!$F$4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'01_일별로그'!$A$5:$A$276</c:f>
            </c:strRef>
          </c:cat>
          <c:val>
            <c:numRef>
              <c:f>'01_일별로그'!$F$5:$F$276</c:f>
              <c:numCache/>
            </c:numRef>
          </c:val>
          <c:smooth val="0"/>
        </c:ser>
        <c:axId val="925473777"/>
        <c:axId val="628871299"/>
      </c:lineChart>
      <c:catAx>
        <c:axId val="925473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8871299"/>
      </c:catAx>
      <c:valAx>
        <c:axId val="628871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547377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</xdr:row>
      <xdr:rowOff>0</xdr:rowOff>
    </xdr:from>
    <xdr:ext cx="61150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20</xdr:row>
      <xdr:rowOff>0</xdr:rowOff>
    </xdr:from>
    <xdr:ext cx="6115050" cy="2695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36</xdr:row>
      <xdr:rowOff>0</xdr:rowOff>
    </xdr:from>
    <xdr:ext cx="6115050" cy="2695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7915275" cy="30575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0</xdr:rowOff>
    </xdr:from>
    <xdr:ext cx="7915275" cy="30575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0</xdr:rowOff>
    </xdr:from>
    <xdr:ext cx="7915275" cy="30575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57</xdr:row>
      <xdr:rowOff>0</xdr:rowOff>
    </xdr:from>
    <xdr:ext cx="7915275" cy="30575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75</xdr:row>
      <xdr:rowOff>0</xdr:rowOff>
    </xdr:from>
    <xdr:ext cx="7915275" cy="30575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93</xdr:row>
      <xdr:rowOff>0</xdr:rowOff>
    </xdr:from>
    <xdr:ext cx="7915275" cy="30575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111</xdr:row>
      <xdr:rowOff>0</xdr:rowOff>
    </xdr:from>
    <xdr:ext cx="7915275" cy="30575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129</xdr:row>
      <xdr:rowOff>0</xdr:rowOff>
    </xdr:from>
    <xdr:ext cx="7915275" cy="30575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3" width="22.57"/>
    <col customWidth="1" min="4" max="5" width="20.0"/>
    <col customWidth="1" min="6" max="6" width="18.0"/>
    <col customWidth="1" min="7" max="7" width="16.0"/>
    <col customWidth="1" min="8" max="8" width="26.0"/>
    <col customWidth="1" min="9" max="16" width="11.0"/>
  </cols>
  <sheetData>
    <row r="1">
      <c r="A1" s="19" t="s">
        <v>64</v>
      </c>
      <c r="B1" s="20"/>
      <c r="C1" s="20"/>
      <c r="D1" s="20"/>
      <c r="E1" s="20"/>
      <c r="F1" s="20"/>
      <c r="G1" s="20"/>
      <c r="H1" s="2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1" t="str">
        <f>TEXT(TODAY(),"yyyy-mm-dd (aaa)")&amp;"   |   손익보다 리스크를 먼저 본다. 🔴가 하나라도 있으면 신규 매수 금지."</f>
        <v>2026-08-11 (화)   |   손익보다 리스크를 먼저 본다. 🔴가 하나라도 있으면 신규 매수 금지.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0" t="s">
        <v>70</v>
      </c>
      <c r="I4" s="31" t="s">
        <v>71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5" t="s">
        <v>72</v>
      </c>
      <c r="B5" s="4" t="s">
        <v>73</v>
      </c>
      <c r="C5" s="4" t="s">
        <v>74</v>
      </c>
      <c r="D5" s="4" t="s">
        <v>75</v>
      </c>
      <c r="E5" s="4" t="s">
        <v>76</v>
      </c>
      <c r="F5" s="4" t="s">
        <v>77</v>
      </c>
      <c r="G5" s="4" t="s">
        <v>78</v>
      </c>
      <c r="H5" s="4" t="s">
        <v>79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33">
        <f>'03_포지션'!$B$41</f>
        <v>361082576</v>
      </c>
      <c r="B6" s="33">
        <f>$E$22</f>
        <v>-2224732.08</v>
      </c>
      <c r="C6" s="33">
        <f>'03_포지션'!$B$37</f>
        <v>1079147857</v>
      </c>
      <c r="D6" s="35">
        <f>'03_포지션'!$B$54</f>
        <v>8.912495031</v>
      </c>
      <c r="E6" s="37">
        <f>'03_포지션'!$B$51</f>
        <v>1.589288867</v>
      </c>
      <c r="F6" s="38">
        <f>'03_포지션'!$B$52</f>
        <v>0.09261317469</v>
      </c>
      <c r="G6" s="40">
        <f>'02_룰북'!$G$22</f>
        <v>7</v>
      </c>
      <c r="H6" s="41">
        <f>'02_룰북'!$H$47</f>
        <v>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2" t="s">
        <v>95</v>
      </c>
      <c r="B7" s="42" t="s">
        <v>96</v>
      </c>
      <c r="C7" s="42" t="s">
        <v>97</v>
      </c>
      <c r="D7" s="42" t="s">
        <v>98</v>
      </c>
      <c r="E7" s="42" t="s">
        <v>99</v>
      </c>
      <c r="F7" s="42" t="s">
        <v>100</v>
      </c>
      <c r="G7" s="42" t="s">
        <v>101</v>
      </c>
      <c r="H7" s="42" t="s">
        <v>102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3"/>
      <c r="B8" s="43"/>
      <c r="C8" s="43"/>
      <c r="D8" s="43"/>
      <c r="E8" s="43"/>
      <c r="F8" s="43"/>
      <c r="G8" s="43"/>
      <c r="H8" s="4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0" t="s">
        <v>105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5.5" customHeight="1">
      <c r="A10" s="4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s="4" t="s">
        <v>114</v>
      </c>
      <c r="G10" s="4" t="s">
        <v>115</v>
      </c>
      <c r="H10" s="4" t="s">
        <v>116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4" t="s">
        <v>117</v>
      </c>
      <c r="B11" s="7">
        <f>SUMIFS('03_포지션'!$I$17:$I$31,'03_포지션'!$C$17:$C$31,"국장")+'03_포지션'!$B$6</f>
        <v>760373938</v>
      </c>
      <c r="C11" s="7">
        <f>'03_포지션'!$C$6</f>
        <v>478436585</v>
      </c>
      <c r="D11" s="7">
        <f t="shared" ref="D11:D13" si="1">B11-C11</f>
        <v>281937353</v>
      </c>
      <c r="E11" s="7">
        <f>'09_CF_원금'!$B$97</f>
        <v>365000000</v>
      </c>
      <c r="F11" s="7">
        <f t="shared" ref="F11:F13" si="2">D11-E11</f>
        <v>-83062647</v>
      </c>
      <c r="G11" s="8">
        <f t="shared" ref="G11:G13" si="3">IF(E11&lt;=0,"산출불가",F11/E11)</f>
        <v>-0.2275688959</v>
      </c>
      <c r="H11" s="46" t="str">
        <f t="shared" ref="H11:H13" si="4">IF(E11&lt;=0,"⚠️ 계좌간 이체로 원금 0 이하 → %는 무의미","")</f>
        <v/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4" t="s">
        <v>123</v>
      </c>
      <c r="B12" s="7">
        <f>SUMIFS('03_포지션'!$I$17:$I$31,'03_포지션'!$C$17:$C$31,"미장")+'03_포지션'!$B$7</f>
        <v>47167857</v>
      </c>
      <c r="C12" s="7">
        <f>'03_포지션'!$C$7</f>
        <v>0</v>
      </c>
      <c r="D12" s="7">
        <f t="shared" si="1"/>
        <v>47167857</v>
      </c>
      <c r="E12" s="7">
        <f>'09_CF_원금'!$B$98</f>
        <v>-65000000</v>
      </c>
      <c r="F12" s="7">
        <f t="shared" si="2"/>
        <v>112167857</v>
      </c>
      <c r="G12" s="8" t="str">
        <f t="shared" si="3"/>
        <v>산출불가</v>
      </c>
      <c r="H12" s="46" t="str">
        <f t="shared" si="4"/>
        <v>⚠️ 계좌간 이체로 원금 0 이하 → %는 무의미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4" t="s">
        <v>126</v>
      </c>
      <c r="B13" s="7">
        <f>SUMIFS('03_포지션'!$I$17:$I$31,'03_포지션'!$C$17:$C$31,"ISA")+'03_포지션'!$B$8</f>
        <v>31977366</v>
      </c>
      <c r="C13" s="7">
        <f>'03_포지션'!$C$8</f>
        <v>0</v>
      </c>
      <c r="D13" s="7">
        <f t="shared" si="1"/>
        <v>31977366</v>
      </c>
      <c r="E13" s="7">
        <f>'09_CF_원금'!$B$99</f>
        <v>40000000</v>
      </c>
      <c r="F13" s="7">
        <f t="shared" si="2"/>
        <v>-8022634</v>
      </c>
      <c r="G13" s="8">
        <f t="shared" si="3"/>
        <v>-0.20056585</v>
      </c>
      <c r="H13" s="46" t="str">
        <f t="shared" si="4"/>
        <v/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4" t="s">
        <v>135</v>
      </c>
      <c r="B14" s="50">
        <f t="shared" ref="B14:F14" si="5">SUM(B11:B13)</f>
        <v>839519161</v>
      </c>
      <c r="C14" s="50">
        <f t="shared" si="5"/>
        <v>478436585</v>
      </c>
      <c r="D14" s="50">
        <f t="shared" si="5"/>
        <v>361082576</v>
      </c>
      <c r="E14" s="50">
        <f t="shared" si="5"/>
        <v>340000000</v>
      </c>
      <c r="F14" s="50">
        <f t="shared" si="5"/>
        <v>21082576</v>
      </c>
      <c r="G14" s="81">
        <f>IFERROR(F14/E14,"")</f>
        <v>0.06200757647</v>
      </c>
      <c r="H14" s="8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3"/>
      <c r="B15" s="43"/>
      <c r="C15" s="43"/>
      <c r="D15" s="43"/>
      <c r="E15" s="43"/>
      <c r="F15" s="43"/>
      <c r="G15" s="43"/>
      <c r="H15" s="4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0" t="s">
        <v>190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5.5" customHeight="1">
      <c r="A17" s="4" t="s">
        <v>191</v>
      </c>
      <c r="B17" s="4" t="s">
        <v>192</v>
      </c>
      <c r="C17" s="4" t="s">
        <v>193</v>
      </c>
      <c r="D17" s="4" t="s">
        <v>194</v>
      </c>
      <c r="E17" s="4" t="s">
        <v>195</v>
      </c>
      <c r="F17" s="4" t="s">
        <v>196</v>
      </c>
      <c r="G17" s="4" t="s">
        <v>197</v>
      </c>
      <c r="H17" s="4" t="s">
        <v>198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.5" customHeight="1">
      <c r="A18" s="35">
        <f>IFERROR(C18/H18,"")</f>
        <v>12.00670731</v>
      </c>
      <c r="B18" s="35">
        <f>IFERROR(F18/H18,"")</f>
        <v>9.006707313</v>
      </c>
      <c r="C18" s="7">
        <f>F18+G18</f>
        <v>960536585</v>
      </c>
      <c r="D18" s="7">
        <f>'03_포지션'!$B$40</f>
        <v>478436585</v>
      </c>
      <c r="E18" s="7">
        <f>'03_포지션'!$B$44</f>
        <v>242100000</v>
      </c>
      <c r="F18" s="7">
        <f>'03_포지션'!$B$45</f>
        <v>720536585</v>
      </c>
      <c r="G18" s="7">
        <f>'03_포지션'!$B$42</f>
        <v>240000000</v>
      </c>
      <c r="H18" s="7">
        <f>'09_CF_원금'!$B$108</f>
        <v>80000000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3"/>
      <c r="B19" s="43"/>
      <c r="C19" s="43"/>
      <c r="D19" s="43"/>
      <c r="E19" s="43"/>
      <c r="F19" s="43"/>
      <c r="G19" s="43"/>
      <c r="H19" s="4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0" t="s">
        <v>199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5" customHeight="1">
      <c r="A21" s="4" t="s">
        <v>200</v>
      </c>
      <c r="B21" s="4" t="s">
        <v>201</v>
      </c>
      <c r="C21" s="4" t="s">
        <v>202</v>
      </c>
      <c r="D21" s="4" t="s">
        <v>203</v>
      </c>
      <c r="E21" s="4" t="s">
        <v>73</v>
      </c>
      <c r="F21" s="4" t="s">
        <v>204</v>
      </c>
      <c r="G21" s="43"/>
      <c r="H21" s="4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>
        <f>$F$14</f>
        <v>21082576</v>
      </c>
      <c r="B22" s="7">
        <f>'09_CF_원금'!$E$127</f>
        <v>19838868</v>
      </c>
      <c r="C22" s="7">
        <f>'09_CF_원금'!$B$179</f>
        <v>3554000</v>
      </c>
      <c r="D22" s="7">
        <f>'09_CF_원금'!$F$135</f>
        <v>19753308.08</v>
      </c>
      <c r="E22" s="33">
        <f>A22-C22-D22</f>
        <v>-2224732.08</v>
      </c>
      <c r="F22" s="8">
        <f>IFERROR(E22/'09_CF_원금'!$B$100,"")</f>
        <v>-0.006543329647</v>
      </c>
      <c r="G22" s="43"/>
      <c r="H22" s="4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2" t="s">
        <v>205</v>
      </c>
      <c r="B23" s="42" t="s">
        <v>206</v>
      </c>
      <c r="C23" s="42" t="s">
        <v>207</v>
      </c>
      <c r="D23" s="42" t="s">
        <v>208</v>
      </c>
      <c r="E23" s="42" t="s">
        <v>209</v>
      </c>
      <c r="F23" s="43"/>
      <c r="G23" s="43"/>
      <c r="H23" s="4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0" t="s">
        <v>210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5" customHeight="1">
      <c r="A26" s="4" t="s">
        <v>211</v>
      </c>
      <c r="B26" s="4" t="s">
        <v>212</v>
      </c>
      <c r="C26" s="4" t="s">
        <v>213</v>
      </c>
      <c r="D26" s="4" t="s">
        <v>214</v>
      </c>
      <c r="E26" s="4" t="s">
        <v>215</v>
      </c>
      <c r="F26" s="4" t="s">
        <v>216</v>
      </c>
      <c r="G26" s="4" t="s">
        <v>217</v>
      </c>
      <c r="H26" s="4" t="s">
        <v>218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0" customHeight="1">
      <c r="A27" s="44" t="str">
        <f>'05_뷰트래커'!$C$5</f>
        <v/>
      </c>
      <c r="B27" s="83" t="str">
        <f>'05_뷰트래커'!$D$5</f>
        <v/>
      </c>
      <c r="C27" s="83">
        <f>'05_뷰트래커'!$E$5</f>
        <v>0.6704837511</v>
      </c>
      <c r="D27" s="44" t="str">
        <f>'05_뷰트래커'!$F$5</f>
        <v>⚪ 기조 미설정</v>
      </c>
      <c r="E27" s="44" t="str">
        <f>'05_뷰트래커'!$E$15</f>
        <v>⚪ 기록 없음</v>
      </c>
      <c r="F27" s="44" t="str">
        <f>'05_뷰트래커'!$H$15</f>
        <v>⚪ 표본 부족</v>
      </c>
      <c r="G27" s="84" t="str">
        <f>'05_뷰트래커'!$G$15</f>
        <v>— 이번 주 뷰 변화 없음</v>
      </c>
      <c r="H27" s="44" t="str">
        <f>'05_뷰트래커'!$B$5</f>
        <v>⚪ 미설정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0" t="s">
        <v>219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5" customHeight="1">
      <c r="A30" s="4" t="s">
        <v>51</v>
      </c>
      <c r="B30" s="4" t="s">
        <v>53</v>
      </c>
      <c r="C30" s="4" t="s">
        <v>220</v>
      </c>
      <c r="D30" s="4" t="s">
        <v>56</v>
      </c>
      <c r="E30" s="4" t="s">
        <v>57</v>
      </c>
      <c r="F30" s="4" t="s">
        <v>221</v>
      </c>
      <c r="G30" s="43"/>
      <c r="H30" s="4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2" t="str">
        <f>'02_룰북'!A6</f>
        <v>R01</v>
      </c>
      <c r="B31" s="85" t="str">
        <f>'02_룰북'!C6</f>
        <v>실질 레버리지 배수 (Equity 대비)</v>
      </c>
      <c r="C31" s="9">
        <f>'02_룰북'!D6</f>
        <v>8</v>
      </c>
      <c r="D31" s="9">
        <f>'02_룰북'!F6</f>
        <v>8.912495031</v>
      </c>
      <c r="E31" s="82" t="str">
        <f>'02_룰북'!G6</f>
        <v>🔴 위반</v>
      </c>
      <c r="F31" s="82" t="str">
        <f>'02_룰북'!J6</f>
        <v>과레버리지</v>
      </c>
      <c r="G31" s="82"/>
      <c r="H31" s="8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2" t="str">
        <f>'02_룰북'!A7</f>
        <v>R02</v>
      </c>
      <c r="B32" s="85" t="str">
        <f>'02_룰북'!C7</f>
        <v>청산까지 하락여력</v>
      </c>
      <c r="C32" s="86">
        <f>'02_룰북'!D7</f>
        <v>0.1</v>
      </c>
      <c r="D32" s="87">
        <f>'02_룰북'!F7</f>
        <v>0.09261317469</v>
      </c>
      <c r="E32" s="82" t="str">
        <f>'02_룰북'!G7</f>
        <v>🔴 위반</v>
      </c>
      <c r="F32" s="82" t="str">
        <f>'02_룰북'!J7</f>
        <v>청산임박</v>
      </c>
      <c r="G32" s="82"/>
      <c r="H32" s="8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2" t="str">
        <f>'02_룰북'!A8</f>
        <v>R03</v>
      </c>
      <c r="B33" s="85" t="str">
        <f>'02_룰북'!C8</f>
        <v>현금 비중</v>
      </c>
      <c r="C33" s="86">
        <f>'02_룰북'!D8</f>
        <v>0.05</v>
      </c>
      <c r="D33" s="87">
        <f>'02_룰북'!F8</f>
        <v>0.002284818991</v>
      </c>
      <c r="E33" s="82" t="str">
        <f>'02_룰북'!G8</f>
        <v>🔴 위반</v>
      </c>
      <c r="F33" s="82" t="str">
        <f>'02_룰북'!J8</f>
        <v>현금고갈</v>
      </c>
      <c r="G33" s="82"/>
      <c r="H33" s="8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82" t="str">
        <f>'02_룰북'!A9</f>
        <v>R04</v>
      </c>
      <c r="B34" s="85" t="str">
        <f>'02_룰북'!C9</f>
        <v>손절 관리 위반 종목 수 (미입력+하회)</v>
      </c>
      <c r="C34" s="88">
        <f>'02_룰북'!D9</f>
        <v>0</v>
      </c>
      <c r="D34" s="88">
        <f>'02_룰북'!F9</f>
        <v>7</v>
      </c>
      <c r="E34" s="82" t="str">
        <f>'02_룰북'!G9</f>
        <v>🔴 위반</v>
      </c>
      <c r="F34" s="82" t="str">
        <f>'02_룰북'!J9</f>
        <v>손절방치</v>
      </c>
      <c r="G34" s="82"/>
      <c r="H34" s="8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82" t="str">
        <f>'02_룰북'!A10</f>
        <v>R05</v>
      </c>
      <c r="B35" s="85" t="str">
        <f>'02_룰북'!C10</f>
        <v>전종목 손절 시 총손실 ÷ 순수 자기자본</v>
      </c>
      <c r="C35" s="87">
        <f>'02_룰북'!D10</f>
        <v>0.1</v>
      </c>
      <c r="D35" s="87">
        <f>'02_룰북'!F10</f>
        <v>0.1229100957</v>
      </c>
      <c r="E35" s="82" t="str">
        <f>'02_룰북'!G10</f>
        <v>🔴 손절선 하회 7종목</v>
      </c>
      <c r="F35" s="82" t="str">
        <f>'02_룰북'!J10</f>
        <v>한방리스크</v>
      </c>
      <c r="G35" s="82"/>
      <c r="H35" s="8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82" t="str">
        <f>'02_룰북'!A11</f>
        <v>R06</v>
      </c>
      <c r="B36" s="85" t="str">
        <f>'02_룰북'!C11</f>
        <v>단일 섹터 최대비중</v>
      </c>
      <c r="C36" s="87">
        <f>'02_룰북'!D11</f>
        <v>0.5</v>
      </c>
      <c r="D36" s="87">
        <f>'02_룰북'!F11</f>
        <v>0.9451048347</v>
      </c>
      <c r="E36" s="82" t="str">
        <f>'02_룰북'!G11</f>
        <v>🔴 위반</v>
      </c>
      <c r="F36" s="82" t="str">
        <f>'02_룰북'!J11</f>
        <v>섹터쏠림</v>
      </c>
      <c r="G36" s="82"/>
      <c r="H36" s="8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82" t="str">
        <f>'02_룰북'!A12</f>
        <v>R07</v>
      </c>
      <c r="B37" s="85" t="str">
        <f>'02_룰북'!C12</f>
        <v>레버ETF 명목 ÷ 계좌 순자산</v>
      </c>
      <c r="C37" s="8" t="str">
        <f>'02_룰북'!D12</f>
        <v/>
      </c>
      <c r="D37" s="8">
        <f>'02_룰북'!F12</f>
        <v>0.6704837511</v>
      </c>
      <c r="E37" s="82" t="str">
        <f>'02_룰북'!G12</f>
        <v>🟢 준수</v>
      </c>
      <c r="F37" s="82" t="str">
        <f>'02_룰북'!J12</f>
        <v>레버ETF과다</v>
      </c>
      <c r="G37" s="82"/>
      <c r="H37" s="8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82" t="str">
        <f>'02_룰북'!A13</f>
        <v>R08</v>
      </c>
      <c r="B38" s="85" t="str">
        <f>'02_룰북'!C13</f>
        <v>총차입 ÷ 연봉</v>
      </c>
      <c r="C38" s="9">
        <f>'02_룰북'!D13</f>
        <v>8</v>
      </c>
      <c r="D38" s="9">
        <f>'02_룰북'!F13</f>
        <v>9.006707313</v>
      </c>
      <c r="E38" s="82" t="str">
        <f>'02_룰북'!G13</f>
        <v>🔴 위반</v>
      </c>
      <c r="F38" s="82" t="str">
        <f>'02_룰북'!J13</f>
        <v>빚과다</v>
      </c>
      <c r="G38" s="82"/>
      <c r="H38" s="8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82" t="str">
        <f>'02_룰북'!A14</f>
        <v>R09</v>
      </c>
      <c r="B39" s="85" t="str">
        <f>'02_룰북'!C14</f>
        <v>컨센서스 − 포지션 기조 갭 (p)</v>
      </c>
      <c r="C39" s="89">
        <f>'02_룰북'!D14</f>
        <v>1</v>
      </c>
      <c r="D39" s="89" t="str">
        <f>'02_룰북'!F14</f>
        <v/>
      </c>
      <c r="E39" s="82" t="str">
        <f>'02_룰북'!G14</f>
        <v>⚪ 측정불가</v>
      </c>
      <c r="F39" s="82" t="str">
        <f>'02_룰북'!J14</f>
        <v>컨센서스역행</v>
      </c>
      <c r="G39" s="82"/>
      <c r="H39" s="8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82" t="str">
        <f>'02_룰북'!A15</f>
        <v/>
      </c>
      <c r="B40" s="85" t="str">
        <f>'02_룰북'!C15</f>
        <v/>
      </c>
      <c r="C40" s="90" t="str">
        <f>'02_룰북'!D15</f>
        <v/>
      </c>
      <c r="D40" s="90" t="str">
        <f>'02_룰북'!F15</f>
        <v/>
      </c>
      <c r="E40" s="82" t="str">
        <f>'02_룰북'!G15</f>
        <v/>
      </c>
      <c r="F40" s="82" t="str">
        <f>'02_룰북'!J15</f>
        <v/>
      </c>
      <c r="G40" s="82"/>
      <c r="H40" s="8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0" t="s">
        <v>222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5" customHeight="1">
      <c r="A43" s="4" t="s">
        <v>223</v>
      </c>
      <c r="B43" s="4" t="s">
        <v>224</v>
      </c>
      <c r="C43" s="4" t="s">
        <v>225</v>
      </c>
      <c r="D43" s="4" t="s">
        <v>226</v>
      </c>
      <c r="E43" s="4" t="s">
        <v>227</v>
      </c>
      <c r="F43" s="4" t="s">
        <v>228</v>
      </c>
      <c r="G43" s="4" t="s">
        <v>229</v>
      </c>
      <c r="H43" s="4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0" customHeight="1">
      <c r="A44" s="7">
        <f>'03_포지션'!$B$46</f>
        <v>760373938</v>
      </c>
      <c r="B44" s="7">
        <f>'03_포지션'!$B$46-'03_포지션'!$C$6</f>
        <v>281937353</v>
      </c>
      <c r="C44" s="7">
        <f>SUMIFS('03_포지션'!$I$17:$I$31,'03_포지션'!$C$17:$C$31,"미장")+'03_포지션'!$B$7</f>
        <v>47167857</v>
      </c>
      <c r="D44" s="7">
        <f>SUMIFS('03_포지션'!$I$17:$I$31,'03_포지션'!$C$17:$C$31,"ISA")+'03_포지션'!$B$8</f>
        <v>31977366</v>
      </c>
      <c r="E44" s="7">
        <f>'03_포지션'!$B$9</f>
        <v>2471304</v>
      </c>
      <c r="F44" s="7">
        <f>'03_포지션'!$B$37</f>
        <v>1079147857</v>
      </c>
      <c r="G44" s="7">
        <f>'03_포지션'!$B$47</f>
        <v>977860000</v>
      </c>
      <c r="H44" s="8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91" t="s">
        <v>230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0" t="s">
        <v>231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92" t="s">
        <v>232</v>
      </c>
      <c r="B48" s="80" t="s">
        <v>233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92" t="s">
        <v>232</v>
      </c>
      <c r="B49" s="80" t="s">
        <v>234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92" t="s">
        <v>232</v>
      </c>
      <c r="B50" s="80" t="s">
        <v>235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92" t="s">
        <v>232</v>
      </c>
      <c r="B51" s="80" t="s">
        <v>236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92" t="s">
        <v>232</v>
      </c>
      <c r="B52" s="80" t="s">
        <v>237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92" t="s">
        <v>232</v>
      </c>
      <c r="B53" s="80" t="s">
        <v>238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mergeCells count="18">
    <mergeCell ref="A1:H1"/>
    <mergeCell ref="A2:H2"/>
    <mergeCell ref="A4:H4"/>
    <mergeCell ref="I4:P4"/>
    <mergeCell ref="A9:H9"/>
    <mergeCell ref="A16:H16"/>
    <mergeCell ref="A20:H20"/>
    <mergeCell ref="B50:H50"/>
    <mergeCell ref="B51:H51"/>
    <mergeCell ref="B52:H52"/>
    <mergeCell ref="B53:H53"/>
    <mergeCell ref="A25:H25"/>
    <mergeCell ref="A29:H29"/>
    <mergeCell ref="A42:H42"/>
    <mergeCell ref="A45:H45"/>
    <mergeCell ref="A47:H47"/>
    <mergeCell ref="B48:H48"/>
    <mergeCell ref="B49:H4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5.0"/>
    <col customWidth="1" min="2" max="4" width="16.0"/>
    <col customWidth="1" min="5" max="5" width="10.0"/>
    <col customWidth="1" min="6" max="6" width="11.0"/>
    <col customWidth="1" min="7" max="9" width="15.0"/>
    <col customWidth="1" min="10" max="10" width="12.0"/>
    <col customWidth="1" min="11" max="12" width="11.0"/>
    <col customWidth="1" min="13" max="15" width="15.0"/>
    <col customWidth="1" min="16" max="16" width="17.0"/>
    <col customWidth="1" min="17" max="17" width="24.0"/>
    <col customWidth="1" min="18" max="18" width="38.0"/>
    <col customWidth="1" min="19" max="22" width="16.0"/>
    <col customWidth="1" min="23" max="23" width="15.0"/>
    <col customWidth="1" min="24" max="25" width="17.0"/>
    <col customWidth="1" min="26" max="26" width="15.0"/>
    <col customWidth="1" min="27" max="31" width="14.0"/>
    <col customWidth="1" min="32" max="32" width="11.0"/>
    <col customWidth="1" min="33" max="36" width="14.0"/>
    <col customWidth="1" min="37" max="37" width="10.0"/>
    <col customWidth="1" hidden="1" min="38" max="38" width="10.0"/>
  </cols>
  <sheetData>
    <row r="1" ht="24.0" customHeight="1">
      <c r="A1" s="1" t="s">
        <v>0</v>
      </c>
    </row>
    <row r="2" ht="25.5" customHeight="1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33.75" customHeight="1">
      <c r="A4" s="4" t="s">
        <v>2</v>
      </c>
      <c r="B4" s="5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</row>
    <row r="5">
      <c r="A5" s="6">
        <v>45957.0</v>
      </c>
      <c r="B5" s="7" t="str">
        <f t="shared" ref="B5:B188" si="1">IF($A5="","",IF(AND($T5&lt;&gt;"",$U5&lt;&gt;"",$V5&lt;&gt;""),$T5+$U5+$V5,IF(AND($Z5&lt;&gt;"",$G5&lt;&gt;""),$Z5-$G5,IF($AG5&lt;&gt;"",$AD5+$AG5,""))))</f>
        <v/>
      </c>
      <c r="C5" s="7"/>
      <c r="D5" s="7" t="str">
        <f t="shared" ref="D5:D188" si="2">IF(OR($B5="",$AD5=""),"",$B5-$AD5)</f>
        <v/>
      </c>
      <c r="E5" s="8" t="str">
        <f t="shared" ref="E5:E188" si="3">IF(OR($B5="",$AE5=0,$AE5=""),"",MIN(0,$B5/$AE5-1))</f>
        <v/>
      </c>
      <c r="F5" s="8" t="str">
        <f>IF(OR($Y5="",$Y5=0,$G5="",$G5=0),"",($S5-$G5*'03_포지션'!$B$13)/$Y5)</f>
        <v/>
      </c>
      <c r="G5" s="7" t="str">
        <f t="shared" ref="G5:G165" si="4">IF(OR($S5="",$T5=""),"",$S5-$T5)</f>
        <v/>
      </c>
      <c r="H5" s="7" t="str">
        <f t="shared" ref="H5:H188" si="5">IF(OR($X5="",$Z5=""),"",$X5-($Z5-IF($W5="",0,$W5)))</f>
        <v/>
      </c>
      <c r="I5" s="7" t="str">
        <f t="shared" ref="I5:I188" si="6">IF(OR($G5="",$H5=""),"",$G5+$H5)</f>
        <v/>
      </c>
      <c r="J5" s="9" t="str">
        <f>IF(OR($I5="",'09_CF_원금'!$B$108=0),"",$I5/'09_CF_원금'!$B$108)</f>
        <v/>
      </c>
      <c r="K5" s="8" t="str">
        <f t="shared" ref="K5:K188" si="7">IF(OR($X5="",$X5=0,$I5=""),"",$I5/$X5)</f>
        <v/>
      </c>
      <c r="L5" s="8" t="str">
        <f t="shared" ref="L5:L188" si="8">IF(OR($W5="",$X5=""),"",$W5/($X5+$W5))</f>
        <v/>
      </c>
      <c r="M5" s="7">
        <f t="shared" ref="M5:M188" si="9">IF($T5&lt;&gt;"",$T5-$AA5,IF($AH5&lt;&gt;"",$AH5,""))</f>
        <v>48440000</v>
      </c>
      <c r="N5" s="7">
        <f t="shared" ref="N5:N188" si="10">IF($U5&lt;&gt;"",$U5-$AB5,IF($AI5&lt;&gt;"",$AI5,""))</f>
        <v>32256167</v>
      </c>
      <c r="O5" s="7" t="str">
        <f t="shared" ref="O5:O188" si="11">IF($V5&lt;&gt;"",$V5-$AC5,IF($AJ5&lt;&gt;"",$AJ5,""))</f>
        <v/>
      </c>
      <c r="P5" s="10"/>
      <c r="Q5" s="11"/>
      <c r="R5" s="11"/>
      <c r="S5" s="12"/>
      <c r="T5" s="12"/>
      <c r="U5" s="12"/>
      <c r="V5" s="12"/>
      <c r="W5" s="13"/>
      <c r="X5" s="13"/>
      <c r="Y5" s="13"/>
      <c r="Z5" s="7" t="str">
        <f t="shared" ref="Z5:Z188" si="12">IF($S5="","",$S5+IF($U5="",0,$U5)+IF($V5="",0,$V5))</f>
        <v/>
      </c>
      <c r="AA5" s="14">
        <f>SUMIFS('09_CF_원금'!$E$6:$E$92,'09_CF_원금'!$D$6:$D$92,"국장",'09_CF_원금'!$A$6:$A$92,"&lt;="&amp;$A5)-SUMIFS('09_CF_원금'!$E$6:$E$92,'09_CF_원금'!$C$6:$C$92,"국장",'09_CF_원금'!$A$6:$A$92,"&lt;="&amp;$A5)</f>
        <v>0</v>
      </c>
      <c r="AB5" s="14">
        <f>SUMIFS('09_CF_원금'!$E$6:$E$92,'09_CF_원금'!$D$6:$D$92,"미장",'09_CF_원금'!$A$6:$A$92,"&lt;="&amp;$A5)-SUMIFS('09_CF_원금'!$E$6:$E$92,'09_CF_원금'!$C$6:$C$92,"미장",'09_CF_원금'!$A$6:$A$92,"&lt;="&amp;$A5)</f>
        <v>0</v>
      </c>
      <c r="AC5" s="14">
        <f>SUMIFS('09_CF_원금'!$E$6:$E$92,'09_CF_원금'!$D$6:$D$92,"ISA",'09_CF_원금'!$A$6:$A$92,"&lt;="&amp;$A5)-SUMIFS('09_CF_원금'!$E$6:$E$92,'09_CF_원금'!$C$6:$C$92,"ISA",'09_CF_원금'!$A$6:$A$92,"&lt;="&amp;$A5)</f>
        <v>0</v>
      </c>
      <c r="AD5" s="14">
        <f>IF($A5="","",$AA5+$AB5+$AC5+SUMIFS('09_CF_원금'!$E$6:$E$92,'09_CF_원금'!$D$6:$D$92,"중국",'09_CF_원금'!$A$6:$A$92,"&lt;="&amp;$A5)-SUMIFS('09_CF_원금'!$E$6:$E$92,'09_CF_원금'!$C$6:$C$92,"중국",'09_CF_원금'!$A$6:$A$92,"&lt;="&amp;$A5))</f>
        <v>0</v>
      </c>
      <c r="AE5" s="14" t="str">
        <f t="shared" ref="AE5:AE188" si="13">IF($B5="","",MAX($B$5:$B5))</f>
        <v/>
      </c>
      <c r="AF5" s="15">
        <v>25936.0</v>
      </c>
      <c r="AG5" s="14"/>
      <c r="AH5" s="14">
        <v>4.844E7</v>
      </c>
      <c r="AI5" s="14">
        <v>3.2256167E7</v>
      </c>
      <c r="AJ5" s="14"/>
      <c r="AK5" s="16">
        <f t="shared" ref="AK5:AK188" si="14">IF($A5="","",YEAR($A5)*100+MONTH($A5))</f>
        <v>202510</v>
      </c>
      <c r="AL5" s="17" t="str">
        <f t="shared" ref="AL5:AL188" si="15">IF($P5="","",IF($P5="😱 극도의 공포",-2,IF($P5="😨 공포",-1,IF($P5="😐 평온",0,IF($P5="😃 탐욕",1,IF($P5="🤑 극도의 탐욕",2,""))))))</f>
        <v/>
      </c>
    </row>
    <row r="6">
      <c r="A6" s="6">
        <v>45961.0</v>
      </c>
      <c r="B6" s="7" t="str">
        <f t="shared" si="1"/>
        <v/>
      </c>
      <c r="C6" s="7" t="str">
        <f t="shared" ref="C6:C188" si="16">IF($B6="","",IFERROR($B6-LOOKUP(2,1/($B$5:$B5&lt;&gt;""),$B$5:$B5),""))</f>
        <v/>
      </c>
      <c r="D6" s="7" t="str">
        <f t="shared" si="2"/>
        <v/>
      </c>
      <c r="E6" s="8" t="str">
        <f t="shared" si="3"/>
        <v/>
      </c>
      <c r="F6" s="8" t="str">
        <f>IF(OR($Y6="",$Y6=0,$G6="",$G6=0),"",($S6-$G6*'03_포지션'!$B$13)/$Y6)</f>
        <v/>
      </c>
      <c r="G6" s="7" t="str">
        <f t="shared" si="4"/>
        <v/>
      </c>
      <c r="H6" s="7" t="str">
        <f t="shared" si="5"/>
        <v/>
      </c>
      <c r="I6" s="7" t="str">
        <f t="shared" si="6"/>
        <v/>
      </c>
      <c r="J6" s="9" t="str">
        <f>IF(OR($I6="",'09_CF_원금'!$B$108=0),"",$I6/'09_CF_원금'!$B$108)</f>
        <v/>
      </c>
      <c r="K6" s="8" t="str">
        <f t="shared" si="7"/>
        <v/>
      </c>
      <c r="L6" s="8" t="str">
        <f t="shared" si="8"/>
        <v/>
      </c>
      <c r="M6" s="7">
        <f t="shared" si="9"/>
        <v>57742218</v>
      </c>
      <c r="N6" s="7">
        <f t="shared" si="10"/>
        <v>33266033</v>
      </c>
      <c r="O6" s="7" t="str">
        <f t="shared" si="11"/>
        <v/>
      </c>
      <c r="P6" s="10"/>
      <c r="Q6" s="11"/>
      <c r="R6" s="11"/>
      <c r="S6" s="12"/>
      <c r="T6" s="12"/>
      <c r="U6" s="12"/>
      <c r="V6" s="12"/>
      <c r="W6" s="18" t="str">
        <f t="shared" ref="W6:W165" si="17">IF($A6="","",IF($W5="","",$W5))</f>
        <v/>
      </c>
      <c r="X6" s="7" t="str">
        <f t="shared" ref="X6:X165" si="18">IF($A6="","",IFERROR(IF(OR($Z6="",$Z5="",$X5="",($Z5-IF($W5="",0,$W5))=0),IF($X5="","",$X5),($Z6-IF($W6="",0,$W6))+($X5-($Z5-IF($W5="",0,$W5)))*(1+2*(($Z6-IF($W6="",0,$W6))/($Z5-IF($W5="",0,$W5))-1))),IF($X5="","",$X5)))</f>
        <v/>
      </c>
      <c r="Y6" s="7" t="str">
        <f t="shared" ref="Y6:Y172" si="19">IF($A6="","",IFERROR(IF(OR($S6="",$S5="",$Y5="",$S5=0),IF($Y5="","",$Y5),$S6+($Y5-$S5)*(1+2*($S6/$S5-1))),IF($Y5="","",$Y5)))</f>
        <v/>
      </c>
      <c r="Z6" s="7" t="str">
        <f t="shared" si="12"/>
        <v/>
      </c>
      <c r="AA6" s="14">
        <f>SUMIFS('09_CF_원금'!$E$6:$E$92,'09_CF_원금'!$D$6:$D$92,"국장",'09_CF_원금'!$A$6:$A$92,"&lt;="&amp;$A6)-SUMIFS('09_CF_원금'!$E$6:$E$92,'09_CF_원금'!$C$6:$C$92,"국장",'09_CF_원금'!$A$6:$A$92,"&lt;="&amp;$A6)</f>
        <v>0</v>
      </c>
      <c r="AB6" s="14">
        <f>SUMIFS('09_CF_원금'!$E$6:$E$92,'09_CF_원금'!$D$6:$D$92,"미장",'09_CF_원금'!$A$6:$A$92,"&lt;="&amp;$A6)-SUMIFS('09_CF_원금'!$E$6:$E$92,'09_CF_원금'!$C$6:$C$92,"미장",'09_CF_원금'!$A$6:$A$92,"&lt;="&amp;$A6)</f>
        <v>0</v>
      </c>
      <c r="AC6" s="14">
        <f>SUMIFS('09_CF_원금'!$E$6:$E$92,'09_CF_원금'!$D$6:$D$92,"ISA",'09_CF_원금'!$A$6:$A$92,"&lt;="&amp;$A6)-SUMIFS('09_CF_원금'!$E$6:$E$92,'09_CF_원금'!$C$6:$C$92,"ISA",'09_CF_원금'!$A$6:$A$92,"&lt;="&amp;$A6)</f>
        <v>0</v>
      </c>
      <c r="AD6" s="14">
        <f>IF($A6="","",$AA6+$AB6+$AC6+SUMIFS('09_CF_원금'!$E$6:$E$92,'09_CF_원금'!$D$6:$D$92,"중국",'09_CF_원금'!$A$6:$A$92,"&lt;="&amp;$A6)-SUMIFS('09_CF_원금'!$E$6:$E$92,'09_CF_원금'!$C$6:$C$92,"중국",'09_CF_원금'!$A$6:$A$92,"&lt;="&amp;$A6))</f>
        <v>0</v>
      </c>
      <c r="AE6" s="14" t="str">
        <f t="shared" si="13"/>
        <v/>
      </c>
      <c r="AF6" s="15">
        <v>26004.0</v>
      </c>
      <c r="AG6" s="14"/>
      <c r="AH6" s="14">
        <v>5.7742218E7</v>
      </c>
      <c r="AI6" s="14">
        <v>3.3266033E7</v>
      </c>
      <c r="AJ6" s="14"/>
      <c r="AK6" s="16">
        <f t="shared" si="14"/>
        <v>202510</v>
      </c>
      <c r="AL6" s="17" t="str">
        <f t="shared" si="15"/>
        <v/>
      </c>
    </row>
    <row r="7">
      <c r="A7" s="6">
        <v>45968.0</v>
      </c>
      <c r="B7" s="7" t="str">
        <f t="shared" si="1"/>
        <v/>
      </c>
      <c r="C7" s="7" t="str">
        <f t="shared" si="16"/>
        <v/>
      </c>
      <c r="D7" s="7" t="str">
        <f t="shared" si="2"/>
        <v/>
      </c>
      <c r="E7" s="8" t="str">
        <f t="shared" si="3"/>
        <v/>
      </c>
      <c r="F7" s="8" t="str">
        <f>IF(OR($Y7="",$Y7=0,$G7="",$G7=0),"",($S7-$G7*'03_포지션'!$B$13)/$Y7)</f>
        <v/>
      </c>
      <c r="G7" s="7" t="str">
        <f t="shared" si="4"/>
        <v/>
      </c>
      <c r="H7" s="7" t="str">
        <f t="shared" si="5"/>
        <v/>
      </c>
      <c r="I7" s="7" t="str">
        <f t="shared" si="6"/>
        <v/>
      </c>
      <c r="J7" s="9" t="str">
        <f>IF(OR($I7="",'09_CF_원금'!$B$108=0),"",$I7/'09_CF_원금'!$B$108)</f>
        <v/>
      </c>
      <c r="K7" s="8" t="str">
        <f t="shared" si="7"/>
        <v/>
      </c>
      <c r="L7" s="8" t="str">
        <f t="shared" si="8"/>
        <v/>
      </c>
      <c r="M7" s="7">
        <f t="shared" si="9"/>
        <v>61665070</v>
      </c>
      <c r="N7" s="7">
        <f t="shared" si="10"/>
        <v>22042149</v>
      </c>
      <c r="O7" s="7" t="str">
        <f t="shared" si="11"/>
        <v/>
      </c>
      <c r="P7" s="10"/>
      <c r="Q7" s="11"/>
      <c r="R7" s="11"/>
      <c r="S7" s="12"/>
      <c r="T7" s="12"/>
      <c r="U7" s="12"/>
      <c r="V7" s="12"/>
      <c r="W7" s="18" t="str">
        <f t="shared" si="17"/>
        <v/>
      </c>
      <c r="X7" s="7" t="str">
        <f t="shared" si="18"/>
        <v/>
      </c>
      <c r="Y7" s="7" t="str">
        <f t="shared" si="19"/>
        <v/>
      </c>
      <c r="Z7" s="7" t="str">
        <f t="shared" si="12"/>
        <v/>
      </c>
      <c r="AA7" s="14">
        <f>SUMIFS('09_CF_원금'!$E$6:$E$92,'09_CF_원금'!$D$6:$D$92,"국장",'09_CF_원금'!$A$6:$A$92,"&lt;="&amp;$A7)-SUMIFS('09_CF_원금'!$E$6:$E$92,'09_CF_원금'!$C$6:$C$92,"국장",'09_CF_원금'!$A$6:$A$92,"&lt;="&amp;$A7)</f>
        <v>0</v>
      </c>
      <c r="AB7" s="14">
        <f>SUMIFS('09_CF_원금'!$E$6:$E$92,'09_CF_원금'!$D$6:$D$92,"미장",'09_CF_원금'!$A$6:$A$92,"&lt;="&amp;$A7)-SUMIFS('09_CF_원금'!$E$6:$E$92,'09_CF_원금'!$C$6:$C$92,"미장",'09_CF_원금'!$A$6:$A$92,"&lt;="&amp;$A7)</f>
        <v>0</v>
      </c>
      <c r="AC7" s="14">
        <f>SUMIFS('09_CF_원금'!$E$6:$E$92,'09_CF_원금'!$D$6:$D$92,"ISA",'09_CF_원금'!$A$6:$A$92,"&lt;="&amp;$A7)-SUMIFS('09_CF_원금'!$E$6:$E$92,'09_CF_원금'!$C$6:$C$92,"ISA",'09_CF_원금'!$A$6:$A$92,"&lt;="&amp;$A7)</f>
        <v>0</v>
      </c>
      <c r="AD7" s="14">
        <f>IF($A7="","",$AA7+$AB7+$AC7+SUMIFS('09_CF_원금'!$E$6:$E$92,'09_CF_원금'!$D$6:$D$92,"중국",'09_CF_원금'!$A$6:$A$92,"&lt;="&amp;$A7)-SUMIFS('09_CF_원금'!$E$6:$E$92,'09_CF_원금'!$C$6:$C$92,"중국",'09_CF_원금'!$A$6:$A$92,"&lt;="&amp;$A7))</f>
        <v>0</v>
      </c>
      <c r="AE7" s="14" t="str">
        <f t="shared" si="13"/>
        <v/>
      </c>
      <c r="AF7" s="15">
        <v>25166.25</v>
      </c>
      <c r="AG7" s="14"/>
      <c r="AH7" s="14">
        <v>6.166507E7</v>
      </c>
      <c r="AI7" s="14">
        <v>2.2042149E7</v>
      </c>
      <c r="AJ7" s="14"/>
      <c r="AK7" s="16">
        <f t="shared" si="14"/>
        <v>202511</v>
      </c>
      <c r="AL7" s="17" t="str">
        <f t="shared" si="15"/>
        <v/>
      </c>
    </row>
    <row r="8">
      <c r="A8" s="6">
        <v>45975.0</v>
      </c>
      <c r="B8" s="7" t="str">
        <f t="shared" si="1"/>
        <v/>
      </c>
      <c r="C8" s="7" t="str">
        <f t="shared" si="16"/>
        <v/>
      </c>
      <c r="D8" s="7" t="str">
        <f t="shared" si="2"/>
        <v/>
      </c>
      <c r="E8" s="8" t="str">
        <f t="shared" si="3"/>
        <v/>
      </c>
      <c r="F8" s="8" t="str">
        <f>IF(OR($Y8="",$Y8=0,$G8="",$G8=0),"",($S8-$G8*'03_포지션'!$B$13)/$Y8)</f>
        <v/>
      </c>
      <c r="G8" s="7" t="str">
        <f t="shared" si="4"/>
        <v/>
      </c>
      <c r="H8" s="7" t="str">
        <f t="shared" si="5"/>
        <v/>
      </c>
      <c r="I8" s="7" t="str">
        <f t="shared" si="6"/>
        <v/>
      </c>
      <c r="J8" s="9" t="str">
        <f>IF(OR($I8="",'09_CF_원금'!$B$108=0),"",$I8/'09_CF_원금'!$B$108)</f>
        <v/>
      </c>
      <c r="K8" s="8" t="str">
        <f t="shared" si="7"/>
        <v/>
      </c>
      <c r="L8" s="8" t="str">
        <f t="shared" si="8"/>
        <v/>
      </c>
      <c r="M8" s="7">
        <f t="shared" si="9"/>
        <v>115959119</v>
      </c>
      <c r="N8" s="7">
        <f t="shared" si="10"/>
        <v>20504921</v>
      </c>
      <c r="O8" s="7" t="str">
        <f t="shared" si="11"/>
        <v/>
      </c>
      <c r="P8" s="10"/>
      <c r="Q8" s="11"/>
      <c r="R8" s="11" t="s">
        <v>40</v>
      </c>
      <c r="S8" s="12"/>
      <c r="T8" s="12"/>
      <c r="U8" s="12"/>
      <c r="V8" s="12"/>
      <c r="W8" s="18" t="str">
        <f t="shared" si="17"/>
        <v/>
      </c>
      <c r="X8" s="7" t="str">
        <f t="shared" si="18"/>
        <v/>
      </c>
      <c r="Y8" s="7" t="str">
        <f t="shared" si="19"/>
        <v/>
      </c>
      <c r="Z8" s="7" t="str">
        <f t="shared" si="12"/>
        <v/>
      </c>
      <c r="AA8" s="14">
        <f>SUMIFS('09_CF_원금'!$E$6:$E$92,'09_CF_원금'!$D$6:$D$92,"국장",'09_CF_원금'!$A$6:$A$92,"&lt;="&amp;$A8)-SUMIFS('09_CF_원금'!$E$6:$E$92,'09_CF_원금'!$C$6:$C$92,"국장",'09_CF_원금'!$A$6:$A$92,"&lt;="&amp;$A8)</f>
        <v>0</v>
      </c>
      <c r="AB8" s="14">
        <f>SUMIFS('09_CF_원금'!$E$6:$E$92,'09_CF_원금'!$D$6:$D$92,"미장",'09_CF_원금'!$A$6:$A$92,"&lt;="&amp;$A8)-SUMIFS('09_CF_원금'!$E$6:$E$92,'09_CF_원금'!$C$6:$C$92,"미장",'09_CF_원금'!$A$6:$A$92,"&lt;="&amp;$A8)</f>
        <v>0</v>
      </c>
      <c r="AC8" s="14">
        <f>SUMIFS('09_CF_원금'!$E$6:$E$92,'09_CF_원금'!$D$6:$D$92,"ISA",'09_CF_원금'!$A$6:$A$92,"&lt;="&amp;$A8)-SUMIFS('09_CF_원금'!$E$6:$E$92,'09_CF_원금'!$C$6:$C$92,"ISA",'09_CF_원금'!$A$6:$A$92,"&lt;="&amp;$A8)</f>
        <v>0</v>
      </c>
      <c r="AD8" s="14">
        <f>IF($A8="","",$AA8+$AB8+$AC8+SUMIFS('09_CF_원금'!$E$6:$E$92,'09_CF_원금'!$D$6:$D$92,"중국",'09_CF_원금'!$A$6:$A$92,"&lt;="&amp;$A8)-SUMIFS('09_CF_원금'!$E$6:$E$92,'09_CF_원금'!$C$6:$C$92,"중국",'09_CF_원금'!$A$6:$A$92,"&lt;="&amp;$A8))</f>
        <v>0</v>
      </c>
      <c r="AE8" s="14" t="str">
        <f t="shared" si="13"/>
        <v/>
      </c>
      <c r="AF8" s="15">
        <v>25094.0</v>
      </c>
      <c r="AG8" s="14"/>
      <c r="AH8" s="14">
        <v>1.15959119E8</v>
      </c>
      <c r="AI8" s="14">
        <v>2.0504921E7</v>
      </c>
      <c r="AJ8" s="14"/>
      <c r="AK8" s="16">
        <f t="shared" si="14"/>
        <v>202511</v>
      </c>
      <c r="AL8" s="17" t="str">
        <f t="shared" si="15"/>
        <v/>
      </c>
    </row>
    <row r="9">
      <c r="A9" s="6">
        <v>45982.0</v>
      </c>
      <c r="B9" s="7" t="str">
        <f t="shared" si="1"/>
        <v/>
      </c>
      <c r="C9" s="7" t="str">
        <f t="shared" si="16"/>
        <v/>
      </c>
      <c r="D9" s="7" t="str">
        <f t="shared" si="2"/>
        <v/>
      </c>
      <c r="E9" s="8" t="str">
        <f t="shared" si="3"/>
        <v/>
      </c>
      <c r="F9" s="8" t="str">
        <f>IF(OR($Y9="",$Y9=0,$G9="",$G9=0),"",($S9-$G9*'03_포지션'!$B$13)/$Y9)</f>
        <v/>
      </c>
      <c r="G9" s="7" t="str">
        <f t="shared" si="4"/>
        <v/>
      </c>
      <c r="H9" s="7" t="str">
        <f t="shared" si="5"/>
        <v/>
      </c>
      <c r="I9" s="7" t="str">
        <f t="shared" si="6"/>
        <v/>
      </c>
      <c r="J9" s="9" t="str">
        <f>IF(OR($I9="",'09_CF_원금'!$B$108=0),"",$I9/'09_CF_원금'!$B$108)</f>
        <v/>
      </c>
      <c r="K9" s="8" t="str">
        <f t="shared" si="7"/>
        <v/>
      </c>
      <c r="L9" s="8" t="str">
        <f t="shared" si="8"/>
        <v/>
      </c>
      <c r="M9" s="7">
        <f t="shared" si="9"/>
        <v>106186052</v>
      </c>
      <c r="N9" s="7">
        <f t="shared" si="10"/>
        <v>8500000</v>
      </c>
      <c r="O9" s="7" t="str">
        <f t="shared" si="11"/>
        <v/>
      </c>
      <c r="P9" s="10"/>
      <c r="Q9" s="11"/>
      <c r="R9" s="11" t="s">
        <v>41</v>
      </c>
      <c r="S9" s="12"/>
      <c r="T9" s="12"/>
      <c r="U9" s="12"/>
      <c r="V9" s="12"/>
      <c r="W9" s="18" t="str">
        <f t="shared" si="17"/>
        <v/>
      </c>
      <c r="X9" s="7" t="str">
        <f t="shared" si="18"/>
        <v/>
      </c>
      <c r="Y9" s="7" t="str">
        <f t="shared" si="19"/>
        <v/>
      </c>
      <c r="Z9" s="7" t="str">
        <f t="shared" si="12"/>
        <v/>
      </c>
      <c r="AA9" s="14">
        <f>SUMIFS('09_CF_원금'!$E$6:$E$92,'09_CF_원금'!$D$6:$D$92,"국장",'09_CF_원금'!$A$6:$A$92,"&lt;="&amp;$A9)-SUMIFS('09_CF_원금'!$E$6:$E$92,'09_CF_원금'!$C$6:$C$92,"국장",'09_CF_원금'!$A$6:$A$92,"&lt;="&amp;$A9)</f>
        <v>80000000</v>
      </c>
      <c r="AB9" s="14">
        <f>SUMIFS('09_CF_원금'!$E$6:$E$92,'09_CF_원금'!$D$6:$D$92,"미장",'09_CF_원금'!$A$6:$A$92,"&lt;="&amp;$A9)-SUMIFS('09_CF_원금'!$E$6:$E$92,'09_CF_원금'!$C$6:$C$92,"미장",'09_CF_원금'!$A$6:$A$92,"&lt;="&amp;$A9)</f>
        <v>150000000</v>
      </c>
      <c r="AC9" s="14">
        <f>SUMIFS('09_CF_원금'!$E$6:$E$92,'09_CF_원금'!$D$6:$D$92,"ISA",'09_CF_원금'!$A$6:$A$92,"&lt;="&amp;$A9)-SUMIFS('09_CF_원금'!$E$6:$E$92,'09_CF_원금'!$C$6:$C$92,"ISA",'09_CF_원금'!$A$6:$A$92,"&lt;="&amp;$A9)</f>
        <v>40000000</v>
      </c>
      <c r="AD9" s="14">
        <f>IF($A9="","",$AA9+$AB9+$AC9+SUMIFS('09_CF_원금'!$E$6:$E$92,'09_CF_원금'!$D$6:$D$92,"중국",'09_CF_원금'!$A$6:$A$92,"&lt;="&amp;$A9)-SUMIFS('09_CF_원금'!$E$6:$E$92,'09_CF_원금'!$C$6:$C$92,"중국",'09_CF_원금'!$A$6:$A$92,"&lt;="&amp;$A9))</f>
        <v>303000000</v>
      </c>
      <c r="AE9" s="14" t="str">
        <f t="shared" si="13"/>
        <v/>
      </c>
      <c r="AF9" s="15">
        <v>24131.0</v>
      </c>
      <c r="AG9" s="14"/>
      <c r="AH9" s="14">
        <v>1.06186052E8</v>
      </c>
      <c r="AI9" s="14">
        <v>8500000.0</v>
      </c>
      <c r="AJ9" s="14"/>
      <c r="AK9" s="16">
        <f t="shared" si="14"/>
        <v>202511</v>
      </c>
      <c r="AL9" s="17" t="str">
        <f t="shared" si="15"/>
        <v/>
      </c>
    </row>
    <row r="10">
      <c r="A10" s="6">
        <v>45986.0</v>
      </c>
      <c r="B10" s="7" t="str">
        <f t="shared" si="1"/>
        <v/>
      </c>
      <c r="C10" s="7" t="str">
        <f t="shared" si="16"/>
        <v/>
      </c>
      <c r="D10" s="7" t="str">
        <f t="shared" si="2"/>
        <v/>
      </c>
      <c r="E10" s="8" t="str">
        <f t="shared" si="3"/>
        <v/>
      </c>
      <c r="F10" s="8" t="str">
        <f>IF(OR($Y10="",$Y10=0,$G10="",$G10=0),"",($S10-$G10*'03_포지션'!$B$13)/$Y10)</f>
        <v/>
      </c>
      <c r="G10" s="7" t="str">
        <f t="shared" si="4"/>
        <v/>
      </c>
      <c r="H10" s="7" t="str">
        <f t="shared" si="5"/>
        <v/>
      </c>
      <c r="I10" s="7" t="str">
        <f t="shared" si="6"/>
        <v/>
      </c>
      <c r="J10" s="9" t="str">
        <f>IF(OR($I10="",'09_CF_원금'!$B$108=0),"",$I10/'09_CF_원금'!$B$108)</f>
        <v/>
      </c>
      <c r="K10" s="8" t="str">
        <f t="shared" si="7"/>
        <v/>
      </c>
      <c r="L10" s="8" t="str">
        <f t="shared" si="8"/>
        <v/>
      </c>
      <c r="M10" s="7">
        <f t="shared" si="9"/>
        <v>99571864</v>
      </c>
      <c r="N10" s="7">
        <f t="shared" si="10"/>
        <v>17917003</v>
      </c>
      <c r="O10" s="7" t="str">
        <f t="shared" si="11"/>
        <v/>
      </c>
      <c r="P10" s="10"/>
      <c r="Q10" s="11"/>
      <c r="R10" s="11" t="s">
        <v>42</v>
      </c>
      <c r="S10" s="12"/>
      <c r="T10" s="12"/>
      <c r="U10" s="12"/>
      <c r="V10" s="12"/>
      <c r="W10" s="18" t="str">
        <f t="shared" si="17"/>
        <v/>
      </c>
      <c r="X10" s="7" t="str">
        <f t="shared" si="18"/>
        <v/>
      </c>
      <c r="Y10" s="7" t="str">
        <f t="shared" si="19"/>
        <v/>
      </c>
      <c r="Z10" s="7" t="str">
        <f t="shared" si="12"/>
        <v/>
      </c>
      <c r="AA10" s="14">
        <f>SUMIFS('09_CF_원금'!$E$6:$E$92,'09_CF_원금'!$D$6:$D$92,"국장",'09_CF_원금'!$A$6:$A$92,"&lt;="&amp;$A10)-SUMIFS('09_CF_원금'!$E$6:$E$92,'09_CF_원금'!$C$6:$C$92,"국장",'09_CF_원금'!$A$6:$A$92,"&lt;="&amp;$A10)</f>
        <v>80000000</v>
      </c>
      <c r="AB10" s="14">
        <f>SUMIFS('09_CF_원금'!$E$6:$E$92,'09_CF_원금'!$D$6:$D$92,"미장",'09_CF_원금'!$A$6:$A$92,"&lt;="&amp;$A10)-SUMIFS('09_CF_원금'!$E$6:$E$92,'09_CF_원금'!$C$6:$C$92,"미장",'09_CF_원금'!$A$6:$A$92,"&lt;="&amp;$A10)</f>
        <v>150000000</v>
      </c>
      <c r="AC10" s="14">
        <f>SUMIFS('09_CF_원금'!$E$6:$E$92,'09_CF_원금'!$D$6:$D$92,"ISA",'09_CF_원금'!$A$6:$A$92,"&lt;="&amp;$A10)-SUMIFS('09_CF_원금'!$E$6:$E$92,'09_CF_원금'!$C$6:$C$92,"ISA",'09_CF_원금'!$A$6:$A$92,"&lt;="&amp;$A10)</f>
        <v>40000000</v>
      </c>
      <c r="AD10" s="14">
        <f>IF($A10="","",$AA10+$AB10+$AC10+SUMIFS('09_CF_원금'!$E$6:$E$92,'09_CF_원금'!$D$6:$D$92,"중국",'09_CF_원금'!$A$6:$A$92,"&lt;="&amp;$A10)-SUMIFS('09_CF_원금'!$E$6:$E$92,'09_CF_원금'!$C$6:$C$92,"중국",'09_CF_원금'!$A$6:$A$92,"&lt;="&amp;$A10))</f>
        <v>303000000</v>
      </c>
      <c r="AE10" s="14" t="str">
        <f t="shared" si="13"/>
        <v/>
      </c>
      <c r="AF10" s="15">
        <v>25085.5</v>
      </c>
      <c r="AG10" s="14"/>
      <c r="AH10" s="14">
        <v>9.9571864E7</v>
      </c>
      <c r="AI10" s="14">
        <v>1.7917003E7</v>
      </c>
      <c r="AJ10" s="14"/>
      <c r="AK10" s="16">
        <f t="shared" si="14"/>
        <v>202511</v>
      </c>
      <c r="AL10" s="17" t="str">
        <f t="shared" si="15"/>
        <v/>
      </c>
    </row>
    <row r="11">
      <c r="A11" s="6">
        <v>45996.0</v>
      </c>
      <c r="B11" s="7" t="str">
        <f t="shared" si="1"/>
        <v/>
      </c>
      <c r="C11" s="7" t="str">
        <f t="shared" si="16"/>
        <v/>
      </c>
      <c r="D11" s="7" t="str">
        <f t="shared" si="2"/>
        <v/>
      </c>
      <c r="E11" s="8" t="str">
        <f t="shared" si="3"/>
        <v/>
      </c>
      <c r="F11" s="8" t="str">
        <f>IF(OR($Y11="",$Y11=0,$G11="",$G11=0),"",($S11-$G11*'03_포지션'!$B$13)/$Y11)</f>
        <v/>
      </c>
      <c r="G11" s="7" t="str">
        <f t="shared" si="4"/>
        <v/>
      </c>
      <c r="H11" s="7" t="str">
        <f t="shared" si="5"/>
        <v/>
      </c>
      <c r="I11" s="7" t="str">
        <f t="shared" si="6"/>
        <v/>
      </c>
      <c r="J11" s="9" t="str">
        <f>IF(OR($I11="",'09_CF_원금'!$B$108=0),"",$I11/'09_CF_원금'!$B$108)</f>
        <v/>
      </c>
      <c r="K11" s="8" t="str">
        <f t="shared" si="7"/>
        <v/>
      </c>
      <c r="L11" s="8" t="str">
        <f t="shared" si="8"/>
        <v/>
      </c>
      <c r="M11" s="7">
        <f t="shared" si="9"/>
        <v>100497353</v>
      </c>
      <c r="N11" s="7">
        <f t="shared" si="10"/>
        <v>24928701</v>
      </c>
      <c r="O11" s="7" t="str">
        <f t="shared" si="11"/>
        <v/>
      </c>
      <c r="P11" s="10"/>
      <c r="Q11" s="11"/>
      <c r="R11" s="11" t="s">
        <v>43</v>
      </c>
      <c r="S11" s="12"/>
      <c r="T11" s="12"/>
      <c r="U11" s="12"/>
      <c r="V11" s="12"/>
      <c r="W11" s="18" t="str">
        <f t="shared" si="17"/>
        <v/>
      </c>
      <c r="X11" s="7" t="str">
        <f t="shared" si="18"/>
        <v/>
      </c>
      <c r="Y11" s="7" t="str">
        <f t="shared" si="19"/>
        <v/>
      </c>
      <c r="Z11" s="7" t="str">
        <f t="shared" si="12"/>
        <v/>
      </c>
      <c r="AA11" s="14">
        <f>SUMIFS('09_CF_원금'!$E$6:$E$92,'09_CF_원금'!$D$6:$D$92,"국장",'09_CF_원금'!$A$6:$A$92,"&lt;="&amp;$A11)-SUMIFS('09_CF_원금'!$E$6:$E$92,'09_CF_원금'!$C$6:$C$92,"국장",'09_CF_원금'!$A$6:$A$92,"&lt;="&amp;$A11)</f>
        <v>105000000</v>
      </c>
      <c r="AB11" s="14">
        <f>SUMIFS('09_CF_원금'!$E$6:$E$92,'09_CF_원금'!$D$6:$D$92,"미장",'09_CF_원금'!$A$6:$A$92,"&lt;="&amp;$A11)-SUMIFS('09_CF_원금'!$E$6:$E$92,'09_CF_원금'!$C$6:$C$92,"미장",'09_CF_원금'!$A$6:$A$92,"&lt;="&amp;$A11)</f>
        <v>150000000</v>
      </c>
      <c r="AC11" s="14">
        <f>SUMIFS('09_CF_원금'!$E$6:$E$92,'09_CF_원금'!$D$6:$D$92,"ISA",'09_CF_원금'!$A$6:$A$92,"&lt;="&amp;$A11)-SUMIFS('09_CF_원금'!$E$6:$E$92,'09_CF_원금'!$C$6:$C$92,"ISA",'09_CF_원금'!$A$6:$A$92,"&lt;="&amp;$A11)</f>
        <v>40000000</v>
      </c>
      <c r="AD11" s="14">
        <f>IF($A11="","",$AA11+$AB11+$AC11+SUMIFS('09_CF_원금'!$E$6:$E$92,'09_CF_원금'!$D$6:$D$92,"중국",'09_CF_원금'!$A$6:$A$92,"&lt;="&amp;$A11)-SUMIFS('09_CF_원금'!$E$6:$E$92,'09_CF_원금'!$C$6:$C$92,"중국",'09_CF_원금'!$A$6:$A$92,"&lt;="&amp;$A11))</f>
        <v>328000000</v>
      </c>
      <c r="AE11" s="14" t="str">
        <f t="shared" si="13"/>
        <v/>
      </c>
      <c r="AF11" s="15">
        <v>25732.0</v>
      </c>
      <c r="AG11" s="14"/>
      <c r="AH11" s="14">
        <v>1.00497353E8</v>
      </c>
      <c r="AI11" s="14">
        <v>2.4928701E7</v>
      </c>
      <c r="AJ11" s="14"/>
      <c r="AK11" s="16">
        <f t="shared" si="14"/>
        <v>202512</v>
      </c>
      <c r="AL11" s="17" t="str">
        <f t="shared" si="15"/>
        <v/>
      </c>
    </row>
    <row r="12">
      <c r="A12" s="6">
        <v>45999.0</v>
      </c>
      <c r="B12" s="7" t="str">
        <f t="shared" si="1"/>
        <v/>
      </c>
      <c r="C12" s="7" t="str">
        <f t="shared" si="16"/>
        <v/>
      </c>
      <c r="D12" s="7" t="str">
        <f t="shared" si="2"/>
        <v/>
      </c>
      <c r="E12" s="8" t="str">
        <f t="shared" si="3"/>
        <v/>
      </c>
      <c r="F12" s="8" t="str">
        <f>IF(OR($Y12="",$Y12=0,$G12="",$G12=0),"",($S12-$G12*'03_포지션'!$B$13)/$Y12)</f>
        <v/>
      </c>
      <c r="G12" s="7" t="str">
        <f t="shared" si="4"/>
        <v/>
      </c>
      <c r="H12" s="7" t="str">
        <f t="shared" si="5"/>
        <v/>
      </c>
      <c r="I12" s="7" t="str">
        <f t="shared" si="6"/>
        <v/>
      </c>
      <c r="J12" s="9" t="str">
        <f>IF(OR($I12="",'09_CF_원금'!$B$108=0),"",$I12/'09_CF_원금'!$B$108)</f>
        <v/>
      </c>
      <c r="K12" s="8" t="str">
        <f t="shared" si="7"/>
        <v/>
      </c>
      <c r="L12" s="8" t="str">
        <f t="shared" si="8"/>
        <v/>
      </c>
      <c r="M12" s="7">
        <f t="shared" si="9"/>
        <v>101730146</v>
      </c>
      <c r="N12" s="7">
        <f t="shared" si="10"/>
        <v>26543123</v>
      </c>
      <c r="O12" s="7" t="str">
        <f t="shared" si="11"/>
        <v/>
      </c>
      <c r="P12" s="10"/>
      <c r="Q12" s="11"/>
      <c r="R12" s="11"/>
      <c r="S12" s="12"/>
      <c r="T12" s="12"/>
      <c r="U12" s="12"/>
      <c r="V12" s="12"/>
      <c r="W12" s="18" t="str">
        <f t="shared" si="17"/>
        <v/>
      </c>
      <c r="X12" s="7" t="str">
        <f t="shared" si="18"/>
        <v/>
      </c>
      <c r="Y12" s="7" t="str">
        <f t="shared" si="19"/>
        <v/>
      </c>
      <c r="Z12" s="7" t="str">
        <f t="shared" si="12"/>
        <v/>
      </c>
      <c r="AA12" s="14">
        <f>SUMIFS('09_CF_원금'!$E$6:$E$92,'09_CF_원금'!$D$6:$D$92,"국장",'09_CF_원금'!$A$6:$A$92,"&lt;="&amp;$A12)-SUMIFS('09_CF_원금'!$E$6:$E$92,'09_CF_원금'!$C$6:$C$92,"국장",'09_CF_원금'!$A$6:$A$92,"&lt;="&amp;$A12)</f>
        <v>110000000</v>
      </c>
      <c r="AB12" s="14">
        <f>SUMIFS('09_CF_원금'!$E$6:$E$92,'09_CF_원금'!$D$6:$D$92,"미장",'09_CF_원금'!$A$6:$A$92,"&lt;="&amp;$A12)-SUMIFS('09_CF_원금'!$E$6:$E$92,'09_CF_원금'!$C$6:$C$92,"미장",'09_CF_원금'!$A$6:$A$92,"&lt;="&amp;$A12)</f>
        <v>150000000</v>
      </c>
      <c r="AC12" s="14">
        <f>SUMIFS('09_CF_원금'!$E$6:$E$92,'09_CF_원금'!$D$6:$D$92,"ISA",'09_CF_원금'!$A$6:$A$92,"&lt;="&amp;$A12)-SUMIFS('09_CF_원금'!$E$6:$E$92,'09_CF_원금'!$C$6:$C$92,"ISA",'09_CF_원금'!$A$6:$A$92,"&lt;="&amp;$A12)</f>
        <v>40000000</v>
      </c>
      <c r="AD12" s="14">
        <f>IF($A12="","",$AA12+$AB12+$AC12+SUMIFS('09_CF_원금'!$E$6:$E$92,'09_CF_원금'!$D$6:$D$92,"중국",'09_CF_원금'!$A$6:$A$92,"&lt;="&amp;$A12)-SUMIFS('09_CF_원금'!$E$6:$E$92,'09_CF_원금'!$C$6:$C$92,"중국",'09_CF_원금'!$A$6:$A$92,"&lt;="&amp;$A12))</f>
        <v>333000000</v>
      </c>
      <c r="AE12" s="14" t="str">
        <f t="shared" si="13"/>
        <v/>
      </c>
      <c r="AF12" s="15">
        <v>25723.0</v>
      </c>
      <c r="AG12" s="14"/>
      <c r="AH12" s="14">
        <v>1.01730146E8</v>
      </c>
      <c r="AI12" s="14">
        <v>2.6543123E7</v>
      </c>
      <c r="AJ12" s="14"/>
      <c r="AK12" s="16">
        <f t="shared" si="14"/>
        <v>202512</v>
      </c>
      <c r="AL12" s="17" t="str">
        <f t="shared" si="15"/>
        <v/>
      </c>
    </row>
    <row r="13">
      <c r="A13" s="6">
        <v>46010.0</v>
      </c>
      <c r="B13" s="7" t="str">
        <f t="shared" si="1"/>
        <v/>
      </c>
      <c r="C13" s="7" t="str">
        <f t="shared" si="16"/>
        <v/>
      </c>
      <c r="D13" s="7" t="str">
        <f t="shared" si="2"/>
        <v/>
      </c>
      <c r="E13" s="8" t="str">
        <f t="shared" si="3"/>
        <v/>
      </c>
      <c r="F13" s="8" t="str">
        <f>IF(OR($Y13="",$Y13=0,$G13="",$G13=0),"",($S13-$G13*'03_포지션'!$B$13)/$Y13)</f>
        <v/>
      </c>
      <c r="G13" s="7" t="str">
        <f t="shared" si="4"/>
        <v/>
      </c>
      <c r="H13" s="7" t="str">
        <f t="shared" si="5"/>
        <v/>
      </c>
      <c r="I13" s="7" t="str">
        <f t="shared" si="6"/>
        <v/>
      </c>
      <c r="J13" s="9" t="str">
        <f>IF(OR($I13="",'09_CF_원금'!$B$108=0),"",$I13/'09_CF_원금'!$B$108)</f>
        <v/>
      </c>
      <c r="K13" s="8" t="str">
        <f t="shared" si="7"/>
        <v/>
      </c>
      <c r="L13" s="8" t="str">
        <f t="shared" si="8"/>
        <v/>
      </c>
      <c r="M13" s="7">
        <f t="shared" si="9"/>
        <v>100089765</v>
      </c>
      <c r="N13" s="7">
        <f t="shared" si="10"/>
        <v>23580388</v>
      </c>
      <c r="O13" s="7" t="str">
        <f t="shared" si="11"/>
        <v/>
      </c>
      <c r="P13" s="10"/>
      <c r="Q13" s="11"/>
      <c r="R13" s="11" t="s">
        <v>44</v>
      </c>
      <c r="S13" s="12"/>
      <c r="T13" s="12"/>
      <c r="U13" s="12"/>
      <c r="V13" s="12"/>
      <c r="W13" s="18" t="str">
        <f t="shared" si="17"/>
        <v/>
      </c>
      <c r="X13" s="7" t="str">
        <f t="shared" si="18"/>
        <v/>
      </c>
      <c r="Y13" s="7" t="str">
        <f t="shared" si="19"/>
        <v/>
      </c>
      <c r="Z13" s="7" t="str">
        <f t="shared" si="12"/>
        <v/>
      </c>
      <c r="AA13" s="14">
        <f>SUMIFS('09_CF_원금'!$E$6:$E$92,'09_CF_원금'!$D$6:$D$92,"국장",'09_CF_원금'!$A$6:$A$92,"&lt;="&amp;$A13)-SUMIFS('09_CF_원금'!$E$6:$E$92,'09_CF_원금'!$C$6:$C$92,"국장",'09_CF_원금'!$A$6:$A$92,"&lt;="&amp;$A13)</f>
        <v>130000000</v>
      </c>
      <c r="AB13" s="14">
        <f>SUMIFS('09_CF_원금'!$E$6:$E$92,'09_CF_원금'!$D$6:$D$92,"미장",'09_CF_원금'!$A$6:$A$92,"&lt;="&amp;$A13)-SUMIFS('09_CF_원금'!$E$6:$E$92,'09_CF_원금'!$C$6:$C$92,"미장",'09_CF_원금'!$A$6:$A$92,"&lt;="&amp;$A13)</f>
        <v>150000000</v>
      </c>
      <c r="AC13" s="14">
        <f>SUMIFS('09_CF_원금'!$E$6:$E$92,'09_CF_원금'!$D$6:$D$92,"ISA",'09_CF_원금'!$A$6:$A$92,"&lt;="&amp;$A13)-SUMIFS('09_CF_원금'!$E$6:$E$92,'09_CF_원금'!$C$6:$C$92,"ISA",'09_CF_원금'!$A$6:$A$92,"&lt;="&amp;$A13)</f>
        <v>40000000</v>
      </c>
      <c r="AD13" s="14">
        <f>IF($A13="","",$AA13+$AB13+$AC13+SUMIFS('09_CF_원금'!$E$6:$E$92,'09_CF_원금'!$D$6:$D$92,"중국",'09_CF_원금'!$A$6:$A$92,"&lt;="&amp;$A13)-SUMIFS('09_CF_원금'!$E$6:$E$92,'09_CF_원금'!$C$6:$C$92,"중국",'09_CF_원금'!$A$6:$A$92,"&lt;="&amp;$A13))</f>
        <v>343000000</v>
      </c>
      <c r="AE13" s="14" t="str">
        <f t="shared" si="13"/>
        <v/>
      </c>
      <c r="AF13" s="15">
        <v>25574.75</v>
      </c>
      <c r="AG13" s="14"/>
      <c r="AH13" s="14">
        <v>1.00089765E8</v>
      </c>
      <c r="AI13" s="14">
        <v>2.3580388E7</v>
      </c>
      <c r="AJ13" s="14"/>
      <c r="AK13" s="16">
        <f t="shared" si="14"/>
        <v>202512</v>
      </c>
      <c r="AL13" s="17" t="str">
        <f t="shared" si="15"/>
        <v/>
      </c>
    </row>
    <row r="14">
      <c r="A14" s="6">
        <v>46017.0</v>
      </c>
      <c r="B14" s="7" t="str">
        <f t="shared" si="1"/>
        <v/>
      </c>
      <c r="C14" s="7" t="str">
        <f t="shared" si="16"/>
        <v/>
      </c>
      <c r="D14" s="7" t="str">
        <f t="shared" si="2"/>
        <v/>
      </c>
      <c r="E14" s="8" t="str">
        <f t="shared" si="3"/>
        <v/>
      </c>
      <c r="F14" s="8" t="str">
        <f>IF(OR($Y14="",$Y14=0,$G14="",$G14=0),"",($S14-$G14*'03_포지션'!$B$13)/$Y14)</f>
        <v/>
      </c>
      <c r="G14" s="7" t="str">
        <f t="shared" si="4"/>
        <v/>
      </c>
      <c r="H14" s="7" t="str">
        <f t="shared" si="5"/>
        <v/>
      </c>
      <c r="I14" s="7" t="str">
        <f t="shared" si="6"/>
        <v/>
      </c>
      <c r="J14" s="9" t="str">
        <f>IF(OR($I14="",'09_CF_원금'!$B$108=0),"",$I14/'09_CF_원금'!$B$108)</f>
        <v/>
      </c>
      <c r="K14" s="8" t="str">
        <f t="shared" si="7"/>
        <v/>
      </c>
      <c r="L14" s="8" t="str">
        <f t="shared" si="8"/>
        <v/>
      </c>
      <c r="M14" s="7">
        <f t="shared" si="9"/>
        <v>104193269</v>
      </c>
      <c r="N14" s="7">
        <f t="shared" si="10"/>
        <v>31850948</v>
      </c>
      <c r="O14" s="7" t="str">
        <f t="shared" si="11"/>
        <v/>
      </c>
      <c r="P14" s="10"/>
      <c r="Q14" s="11"/>
      <c r="R14" s="11"/>
      <c r="S14" s="12"/>
      <c r="T14" s="12"/>
      <c r="U14" s="12"/>
      <c r="V14" s="12"/>
      <c r="W14" s="18" t="str">
        <f t="shared" si="17"/>
        <v/>
      </c>
      <c r="X14" s="7" t="str">
        <f t="shared" si="18"/>
        <v/>
      </c>
      <c r="Y14" s="7" t="str">
        <f t="shared" si="19"/>
        <v/>
      </c>
      <c r="Z14" s="7" t="str">
        <f t="shared" si="12"/>
        <v/>
      </c>
      <c r="AA14" s="14">
        <f>SUMIFS('09_CF_원금'!$E$6:$E$92,'09_CF_원금'!$D$6:$D$92,"국장",'09_CF_원금'!$A$6:$A$92,"&lt;="&amp;$A14)-SUMIFS('09_CF_원금'!$E$6:$E$92,'09_CF_원금'!$C$6:$C$92,"국장",'09_CF_원금'!$A$6:$A$92,"&lt;="&amp;$A14)</f>
        <v>130000000</v>
      </c>
      <c r="AB14" s="14">
        <f>SUMIFS('09_CF_원금'!$E$6:$E$92,'09_CF_원금'!$D$6:$D$92,"미장",'09_CF_원금'!$A$6:$A$92,"&lt;="&amp;$A14)-SUMIFS('09_CF_원금'!$E$6:$E$92,'09_CF_원금'!$C$6:$C$92,"미장",'09_CF_원금'!$A$6:$A$92,"&lt;="&amp;$A14)</f>
        <v>150000000</v>
      </c>
      <c r="AC14" s="14">
        <f>SUMIFS('09_CF_원금'!$E$6:$E$92,'09_CF_원금'!$D$6:$D$92,"ISA",'09_CF_원금'!$A$6:$A$92,"&lt;="&amp;$A14)-SUMIFS('09_CF_원금'!$E$6:$E$92,'09_CF_원금'!$C$6:$C$92,"ISA",'09_CF_원금'!$A$6:$A$92,"&lt;="&amp;$A14)</f>
        <v>40000000</v>
      </c>
      <c r="AD14" s="14">
        <f>IF($A14="","",$AA14+$AB14+$AC14+SUMIFS('09_CF_원금'!$E$6:$E$92,'09_CF_원금'!$D$6:$D$92,"중국",'09_CF_원금'!$A$6:$A$92,"&lt;="&amp;$A14)-SUMIFS('09_CF_원금'!$E$6:$E$92,'09_CF_원금'!$C$6:$C$92,"중국",'09_CF_원금'!$A$6:$A$92,"&lt;="&amp;$A14))</f>
        <v>340000000</v>
      </c>
      <c r="AE14" s="14" t="str">
        <f t="shared" si="13"/>
        <v/>
      </c>
      <c r="AF14" s="15">
        <v>25863.0</v>
      </c>
      <c r="AG14" s="14"/>
      <c r="AH14" s="14">
        <v>1.04193269E8</v>
      </c>
      <c r="AI14" s="14">
        <v>3.1850948E7</v>
      </c>
      <c r="AJ14" s="14"/>
      <c r="AK14" s="16">
        <f t="shared" si="14"/>
        <v>202512</v>
      </c>
      <c r="AL14" s="17" t="str">
        <f t="shared" si="15"/>
        <v/>
      </c>
    </row>
    <row r="15">
      <c r="A15" s="6">
        <v>46022.0</v>
      </c>
      <c r="B15" s="7">
        <f t="shared" si="1"/>
        <v>482830222</v>
      </c>
      <c r="C15" s="7" t="str">
        <f t="shared" si="16"/>
        <v/>
      </c>
      <c r="D15" s="7">
        <f t="shared" si="2"/>
        <v>142830222</v>
      </c>
      <c r="E15" s="8">
        <f t="shared" si="3"/>
        <v>0</v>
      </c>
      <c r="F15" s="8" t="str">
        <f>IF(OR($Y15="",$Y15=0,$G15="",$G15=0),"",($S15-$G15*'03_포지션'!$B$13)/$Y15)</f>
        <v/>
      </c>
      <c r="G15" s="7" t="str">
        <f t="shared" si="4"/>
        <v/>
      </c>
      <c r="H15" s="7" t="str">
        <f t="shared" si="5"/>
        <v/>
      </c>
      <c r="I15" s="7" t="str">
        <f t="shared" si="6"/>
        <v/>
      </c>
      <c r="J15" s="9" t="str">
        <f>IF(OR($I15="",'09_CF_원금'!$B$108=0),"",$I15/'09_CF_원금'!$B$108)</f>
        <v/>
      </c>
      <c r="K15" s="8" t="str">
        <f t="shared" si="7"/>
        <v/>
      </c>
      <c r="L15" s="8" t="str">
        <f t="shared" si="8"/>
        <v/>
      </c>
      <c r="M15" s="7">
        <f t="shared" si="9"/>
        <v>110805230</v>
      </c>
      <c r="N15" s="7">
        <f t="shared" si="10"/>
        <v>27430808</v>
      </c>
      <c r="O15" s="7">
        <f t="shared" si="11"/>
        <v>4594184</v>
      </c>
      <c r="P15" s="10"/>
      <c r="Q15" s="11"/>
      <c r="R15" s="11" t="s">
        <v>45</v>
      </c>
      <c r="S15" s="12"/>
      <c r="T15" s="12"/>
      <c r="U15" s="12"/>
      <c r="V15" s="12"/>
      <c r="W15" s="18" t="str">
        <f t="shared" si="17"/>
        <v/>
      </c>
      <c r="X15" s="7" t="str">
        <f t="shared" si="18"/>
        <v/>
      </c>
      <c r="Y15" s="7" t="str">
        <f t="shared" si="19"/>
        <v/>
      </c>
      <c r="Z15" s="7" t="str">
        <f t="shared" si="12"/>
        <v/>
      </c>
      <c r="AA15" s="14">
        <f>SUMIFS('09_CF_원금'!$E$6:$E$92,'09_CF_원금'!$D$6:$D$92,"국장",'09_CF_원금'!$A$6:$A$92,"&lt;="&amp;$A15)-SUMIFS('09_CF_원금'!$E$6:$E$92,'09_CF_원금'!$C$6:$C$92,"국장",'09_CF_원금'!$A$6:$A$92,"&lt;="&amp;$A15)</f>
        <v>130000000</v>
      </c>
      <c r="AB15" s="14">
        <f>SUMIFS('09_CF_원금'!$E$6:$E$92,'09_CF_원금'!$D$6:$D$92,"미장",'09_CF_원금'!$A$6:$A$92,"&lt;="&amp;$A15)-SUMIFS('09_CF_원금'!$E$6:$E$92,'09_CF_원금'!$C$6:$C$92,"미장",'09_CF_원금'!$A$6:$A$92,"&lt;="&amp;$A15)</f>
        <v>150000000</v>
      </c>
      <c r="AC15" s="14">
        <f>SUMIFS('09_CF_원금'!$E$6:$E$92,'09_CF_원금'!$D$6:$D$92,"ISA",'09_CF_원금'!$A$6:$A$92,"&lt;="&amp;$A15)-SUMIFS('09_CF_원금'!$E$6:$E$92,'09_CF_원금'!$C$6:$C$92,"ISA",'09_CF_원금'!$A$6:$A$92,"&lt;="&amp;$A15)</f>
        <v>40000000</v>
      </c>
      <c r="AD15" s="14">
        <f>IF($A15="","",$AA15+$AB15+$AC15+SUMIFS('09_CF_원금'!$E$6:$E$92,'09_CF_원금'!$D$6:$D$92,"중국",'09_CF_원금'!$A$6:$A$92,"&lt;="&amp;$A15)-SUMIFS('09_CF_원금'!$E$6:$E$92,'09_CF_원금'!$C$6:$C$92,"중국",'09_CF_원금'!$A$6:$A$92,"&lt;="&amp;$A15))</f>
        <v>340000000</v>
      </c>
      <c r="AE15" s="14">
        <f t="shared" si="13"/>
        <v>482830222</v>
      </c>
      <c r="AF15" s="15">
        <v>25456.75</v>
      </c>
      <c r="AG15" s="14">
        <v>1.42830222E8</v>
      </c>
      <c r="AH15" s="14">
        <v>1.1080523E8</v>
      </c>
      <c r="AI15" s="14">
        <v>2.7430808E7</v>
      </c>
      <c r="AJ15" s="14">
        <v>4594184.0</v>
      </c>
      <c r="AK15" s="16">
        <f t="shared" si="14"/>
        <v>202512</v>
      </c>
      <c r="AL15" s="17" t="str">
        <f t="shared" si="15"/>
        <v/>
      </c>
    </row>
    <row r="16">
      <c r="A16" s="6">
        <v>46023.0</v>
      </c>
      <c r="B16" s="7" t="str">
        <f t="shared" si="1"/>
        <v/>
      </c>
      <c r="C16" s="7" t="str">
        <f t="shared" si="16"/>
        <v/>
      </c>
      <c r="D16" s="7" t="str">
        <f t="shared" si="2"/>
        <v/>
      </c>
      <c r="E16" s="8" t="str">
        <f t="shared" si="3"/>
        <v/>
      </c>
      <c r="F16" s="8" t="str">
        <f>IF(OR($Y16="",$Y16=0,$G16="",$G16=0),"",($S16-$G16*'03_포지션'!$B$13)/$Y16)</f>
        <v/>
      </c>
      <c r="G16" s="7" t="str">
        <f t="shared" si="4"/>
        <v/>
      </c>
      <c r="H16" s="7" t="str">
        <f t="shared" si="5"/>
        <v/>
      </c>
      <c r="I16" s="7" t="str">
        <f t="shared" si="6"/>
        <v/>
      </c>
      <c r="J16" s="9" t="str">
        <f>IF(OR($I16="",'09_CF_원금'!$B$108=0),"",$I16/'09_CF_원금'!$B$108)</f>
        <v/>
      </c>
      <c r="K16" s="8" t="str">
        <f t="shared" si="7"/>
        <v/>
      </c>
      <c r="L16" s="8" t="str">
        <f t="shared" si="8"/>
        <v/>
      </c>
      <c r="M16" s="7" t="str">
        <f t="shared" si="9"/>
        <v/>
      </c>
      <c r="N16" s="7" t="str">
        <f t="shared" si="10"/>
        <v/>
      </c>
      <c r="O16" s="7" t="str">
        <f t="shared" si="11"/>
        <v/>
      </c>
      <c r="P16" s="10"/>
      <c r="Q16" s="11"/>
      <c r="R16" s="11"/>
      <c r="S16" s="12"/>
      <c r="T16" s="12"/>
      <c r="U16" s="12"/>
      <c r="V16" s="12"/>
      <c r="W16" s="18" t="str">
        <f t="shared" si="17"/>
        <v/>
      </c>
      <c r="X16" s="7" t="str">
        <f t="shared" si="18"/>
        <v/>
      </c>
      <c r="Y16" s="7" t="str">
        <f t="shared" si="19"/>
        <v/>
      </c>
      <c r="Z16" s="7" t="str">
        <f t="shared" si="12"/>
        <v/>
      </c>
      <c r="AA16" s="14">
        <f>SUMIFS('09_CF_원금'!$E$6:$E$92,'09_CF_원금'!$D$6:$D$92,"국장",'09_CF_원금'!$A$6:$A$92,"&lt;="&amp;$A16)-SUMIFS('09_CF_원금'!$E$6:$E$92,'09_CF_원금'!$C$6:$C$92,"국장",'09_CF_원금'!$A$6:$A$92,"&lt;="&amp;$A16)</f>
        <v>130000000</v>
      </c>
      <c r="AB16" s="14">
        <f>SUMIFS('09_CF_원금'!$E$6:$E$92,'09_CF_원금'!$D$6:$D$92,"미장",'09_CF_원금'!$A$6:$A$92,"&lt;="&amp;$A16)-SUMIFS('09_CF_원금'!$E$6:$E$92,'09_CF_원금'!$C$6:$C$92,"미장",'09_CF_원금'!$A$6:$A$92,"&lt;="&amp;$A16)</f>
        <v>150000000</v>
      </c>
      <c r="AC16" s="14">
        <f>SUMIFS('09_CF_원금'!$E$6:$E$92,'09_CF_원금'!$D$6:$D$92,"ISA",'09_CF_원금'!$A$6:$A$92,"&lt;="&amp;$A16)-SUMIFS('09_CF_원금'!$E$6:$E$92,'09_CF_원금'!$C$6:$C$92,"ISA",'09_CF_원금'!$A$6:$A$92,"&lt;="&amp;$A16)</f>
        <v>40000000</v>
      </c>
      <c r="AD16" s="14">
        <f>IF($A16="","",$AA16+$AB16+$AC16+SUMIFS('09_CF_원금'!$E$6:$E$92,'09_CF_원금'!$D$6:$D$92,"중국",'09_CF_원금'!$A$6:$A$92,"&lt;="&amp;$A16)-SUMIFS('09_CF_원금'!$E$6:$E$92,'09_CF_원금'!$C$6:$C$92,"중국",'09_CF_원금'!$A$6:$A$92,"&lt;="&amp;$A16))</f>
        <v>340000000</v>
      </c>
      <c r="AE16" s="14" t="str">
        <f t="shared" si="13"/>
        <v/>
      </c>
      <c r="AF16" s="15"/>
      <c r="AG16" s="14"/>
      <c r="AH16" s="14"/>
      <c r="AI16" s="14"/>
      <c r="AJ16" s="14"/>
      <c r="AK16" s="16">
        <f t="shared" si="14"/>
        <v>202601</v>
      </c>
      <c r="AL16" s="17" t="str">
        <f t="shared" si="15"/>
        <v/>
      </c>
    </row>
    <row r="17">
      <c r="A17" s="6">
        <v>46024.0</v>
      </c>
      <c r="B17" s="7">
        <f t="shared" si="1"/>
        <v>491585850</v>
      </c>
      <c r="C17" s="7" t="str">
        <f t="shared" si="16"/>
        <v/>
      </c>
      <c r="D17" s="7">
        <f t="shared" si="2"/>
        <v>151585850</v>
      </c>
      <c r="E17" s="8">
        <f t="shared" si="3"/>
        <v>0</v>
      </c>
      <c r="F17" s="8" t="str">
        <f>IF(OR($Y17="",$Y17=0,$G17="",$G17=0),"",($S17-$G17*'03_포지션'!$B$13)/$Y17)</f>
        <v/>
      </c>
      <c r="G17" s="7" t="str">
        <f t="shared" si="4"/>
        <v/>
      </c>
      <c r="H17" s="7" t="str">
        <f t="shared" si="5"/>
        <v/>
      </c>
      <c r="I17" s="7" t="str">
        <f t="shared" si="6"/>
        <v/>
      </c>
      <c r="J17" s="9" t="str">
        <f>IF(OR($I17="",'09_CF_원금'!$B$108=0),"",$I17/'09_CF_원금'!$B$108)</f>
        <v/>
      </c>
      <c r="K17" s="8" t="str">
        <f t="shared" si="7"/>
        <v/>
      </c>
      <c r="L17" s="8" t="str">
        <f t="shared" si="8"/>
        <v/>
      </c>
      <c r="M17" s="7">
        <f t="shared" si="9"/>
        <v>113696755</v>
      </c>
      <c r="N17" s="7">
        <f t="shared" si="10"/>
        <v>31925364</v>
      </c>
      <c r="O17" s="7">
        <f t="shared" si="11"/>
        <v>5280829</v>
      </c>
      <c r="P17" s="10"/>
      <c r="Q17" s="11"/>
      <c r="R17" s="11"/>
      <c r="S17" s="12"/>
      <c r="T17" s="12"/>
      <c r="U17" s="12"/>
      <c r="V17" s="12"/>
      <c r="W17" s="18" t="str">
        <f t="shared" si="17"/>
        <v/>
      </c>
      <c r="X17" s="7" t="str">
        <f t="shared" si="18"/>
        <v/>
      </c>
      <c r="Y17" s="7" t="str">
        <f t="shared" si="19"/>
        <v/>
      </c>
      <c r="Z17" s="7" t="str">
        <f t="shared" si="12"/>
        <v/>
      </c>
      <c r="AA17" s="14">
        <f>SUMIFS('09_CF_원금'!$E$6:$E$92,'09_CF_원금'!$D$6:$D$92,"국장",'09_CF_원금'!$A$6:$A$92,"&lt;="&amp;$A17)-SUMIFS('09_CF_원금'!$E$6:$E$92,'09_CF_원금'!$C$6:$C$92,"국장",'09_CF_원금'!$A$6:$A$92,"&lt;="&amp;$A17)</f>
        <v>130000000</v>
      </c>
      <c r="AB17" s="14">
        <f>SUMIFS('09_CF_원금'!$E$6:$E$92,'09_CF_원금'!$D$6:$D$92,"미장",'09_CF_원금'!$A$6:$A$92,"&lt;="&amp;$A17)-SUMIFS('09_CF_원금'!$E$6:$E$92,'09_CF_원금'!$C$6:$C$92,"미장",'09_CF_원금'!$A$6:$A$92,"&lt;="&amp;$A17)</f>
        <v>150000000</v>
      </c>
      <c r="AC17" s="14">
        <f>SUMIFS('09_CF_원금'!$E$6:$E$92,'09_CF_원금'!$D$6:$D$92,"ISA",'09_CF_원금'!$A$6:$A$92,"&lt;="&amp;$A17)-SUMIFS('09_CF_원금'!$E$6:$E$92,'09_CF_원금'!$C$6:$C$92,"ISA",'09_CF_원금'!$A$6:$A$92,"&lt;="&amp;$A17)</f>
        <v>40000000</v>
      </c>
      <c r="AD17" s="14">
        <f>IF($A17="","",$AA17+$AB17+$AC17+SUMIFS('09_CF_원금'!$E$6:$E$92,'09_CF_원금'!$D$6:$D$92,"중국",'09_CF_원금'!$A$6:$A$92,"&lt;="&amp;$A17)-SUMIFS('09_CF_원금'!$E$6:$E$92,'09_CF_원금'!$C$6:$C$92,"중국",'09_CF_원금'!$A$6:$A$92,"&lt;="&amp;$A17))</f>
        <v>340000000</v>
      </c>
      <c r="AE17" s="14">
        <f t="shared" si="13"/>
        <v>491585850</v>
      </c>
      <c r="AF17" s="15">
        <v>25385.25</v>
      </c>
      <c r="AG17" s="14">
        <v>1.5158585E8</v>
      </c>
      <c r="AH17" s="14">
        <v>1.13696755E8</v>
      </c>
      <c r="AI17" s="14">
        <v>3.1925364E7</v>
      </c>
      <c r="AJ17" s="14">
        <v>5280829.0</v>
      </c>
      <c r="AK17" s="16">
        <f t="shared" si="14"/>
        <v>202601</v>
      </c>
      <c r="AL17" s="17" t="str">
        <f t="shared" si="15"/>
        <v/>
      </c>
    </row>
    <row r="18">
      <c r="A18" s="6">
        <v>46027.0</v>
      </c>
      <c r="B18" s="7" t="str">
        <f t="shared" si="1"/>
        <v/>
      </c>
      <c r="C18" s="7" t="str">
        <f t="shared" si="16"/>
        <v/>
      </c>
      <c r="D18" s="7" t="str">
        <f t="shared" si="2"/>
        <v/>
      </c>
      <c r="E18" s="8" t="str">
        <f t="shared" si="3"/>
        <v/>
      </c>
      <c r="F18" s="8" t="str">
        <f>IF(OR($Y18="",$Y18=0,$G18="",$G18=0),"",($S18-$G18*'03_포지션'!$B$13)/$Y18)</f>
        <v/>
      </c>
      <c r="G18" s="7" t="str">
        <f t="shared" si="4"/>
        <v/>
      </c>
      <c r="H18" s="7" t="str">
        <f t="shared" si="5"/>
        <v/>
      </c>
      <c r="I18" s="7" t="str">
        <f t="shared" si="6"/>
        <v/>
      </c>
      <c r="J18" s="9" t="str">
        <f>IF(OR($I18="",'09_CF_원금'!$B$108=0),"",$I18/'09_CF_원금'!$B$108)</f>
        <v/>
      </c>
      <c r="K18" s="8" t="str">
        <f t="shared" si="7"/>
        <v/>
      </c>
      <c r="L18" s="8" t="str">
        <f t="shared" si="8"/>
        <v/>
      </c>
      <c r="M18" s="7" t="str">
        <f t="shared" si="9"/>
        <v/>
      </c>
      <c r="N18" s="7" t="str">
        <f t="shared" si="10"/>
        <v/>
      </c>
      <c r="O18" s="7" t="str">
        <f t="shared" si="11"/>
        <v/>
      </c>
      <c r="P18" s="10"/>
      <c r="Q18" s="11"/>
      <c r="R18" s="11"/>
      <c r="S18" s="12"/>
      <c r="T18" s="12"/>
      <c r="U18" s="12"/>
      <c r="V18" s="12"/>
      <c r="W18" s="18" t="str">
        <f t="shared" si="17"/>
        <v/>
      </c>
      <c r="X18" s="7" t="str">
        <f t="shared" si="18"/>
        <v/>
      </c>
      <c r="Y18" s="7" t="str">
        <f t="shared" si="19"/>
        <v/>
      </c>
      <c r="Z18" s="7" t="str">
        <f t="shared" si="12"/>
        <v/>
      </c>
      <c r="AA18" s="14">
        <f>SUMIFS('09_CF_원금'!$E$6:$E$92,'09_CF_원금'!$D$6:$D$92,"국장",'09_CF_원금'!$A$6:$A$92,"&lt;="&amp;$A18)-SUMIFS('09_CF_원금'!$E$6:$E$92,'09_CF_원금'!$C$6:$C$92,"국장",'09_CF_원금'!$A$6:$A$92,"&lt;="&amp;$A18)</f>
        <v>130000000</v>
      </c>
      <c r="AB18" s="14">
        <f>SUMIFS('09_CF_원금'!$E$6:$E$92,'09_CF_원금'!$D$6:$D$92,"미장",'09_CF_원금'!$A$6:$A$92,"&lt;="&amp;$A18)-SUMIFS('09_CF_원금'!$E$6:$E$92,'09_CF_원금'!$C$6:$C$92,"미장",'09_CF_원금'!$A$6:$A$92,"&lt;="&amp;$A18)</f>
        <v>150000000</v>
      </c>
      <c r="AC18" s="14">
        <f>SUMIFS('09_CF_원금'!$E$6:$E$92,'09_CF_원금'!$D$6:$D$92,"ISA",'09_CF_원금'!$A$6:$A$92,"&lt;="&amp;$A18)-SUMIFS('09_CF_원금'!$E$6:$E$92,'09_CF_원금'!$C$6:$C$92,"ISA",'09_CF_원금'!$A$6:$A$92,"&lt;="&amp;$A18)</f>
        <v>40000000</v>
      </c>
      <c r="AD18" s="14">
        <f>IF($A18="","",$AA18+$AB18+$AC18+SUMIFS('09_CF_원금'!$E$6:$E$92,'09_CF_원금'!$D$6:$D$92,"중국",'09_CF_원금'!$A$6:$A$92,"&lt;="&amp;$A18)-SUMIFS('09_CF_원금'!$E$6:$E$92,'09_CF_원금'!$C$6:$C$92,"중국",'09_CF_원금'!$A$6:$A$92,"&lt;="&amp;$A18))</f>
        <v>340000000</v>
      </c>
      <c r="AE18" s="14" t="str">
        <f t="shared" si="13"/>
        <v/>
      </c>
      <c r="AF18" s="15"/>
      <c r="AG18" s="14"/>
      <c r="AH18" s="14"/>
      <c r="AI18" s="14"/>
      <c r="AJ18" s="14"/>
      <c r="AK18" s="16">
        <f t="shared" si="14"/>
        <v>202601</v>
      </c>
      <c r="AL18" s="17" t="str">
        <f t="shared" si="15"/>
        <v/>
      </c>
    </row>
    <row r="19">
      <c r="A19" s="6">
        <v>46028.0</v>
      </c>
      <c r="B19" s="7">
        <f t="shared" si="1"/>
        <v>518746935</v>
      </c>
      <c r="C19" s="7" t="str">
        <f t="shared" si="16"/>
        <v/>
      </c>
      <c r="D19" s="7">
        <f t="shared" si="2"/>
        <v>178746935</v>
      </c>
      <c r="E19" s="8">
        <f t="shared" si="3"/>
        <v>0</v>
      </c>
      <c r="F19" s="8" t="str">
        <f>IF(OR($Y19="",$Y19=0,$G19="",$G19=0),"",($S19-$G19*'03_포지션'!$B$13)/$Y19)</f>
        <v/>
      </c>
      <c r="G19" s="7" t="str">
        <f t="shared" si="4"/>
        <v/>
      </c>
      <c r="H19" s="7" t="str">
        <f t="shared" si="5"/>
        <v/>
      </c>
      <c r="I19" s="7" t="str">
        <f t="shared" si="6"/>
        <v/>
      </c>
      <c r="J19" s="9" t="str">
        <f>IF(OR($I19="",'09_CF_원금'!$B$108=0),"",$I19/'09_CF_원금'!$B$108)</f>
        <v/>
      </c>
      <c r="K19" s="8" t="str">
        <f t="shared" si="7"/>
        <v/>
      </c>
      <c r="L19" s="8" t="str">
        <f t="shared" si="8"/>
        <v/>
      </c>
      <c r="M19" s="7">
        <f t="shared" si="9"/>
        <v>133878053</v>
      </c>
      <c r="N19" s="7">
        <f t="shared" si="10"/>
        <v>37408859</v>
      </c>
      <c r="O19" s="7">
        <f t="shared" si="11"/>
        <v>6973590</v>
      </c>
      <c r="P19" s="10"/>
      <c r="Q19" s="11"/>
      <c r="R19" s="11"/>
      <c r="S19" s="12"/>
      <c r="T19" s="12"/>
      <c r="U19" s="12"/>
      <c r="V19" s="12"/>
      <c r="W19" s="18" t="str">
        <f t="shared" si="17"/>
        <v/>
      </c>
      <c r="X19" s="7" t="str">
        <f t="shared" si="18"/>
        <v/>
      </c>
      <c r="Y19" s="7" t="str">
        <f t="shared" si="19"/>
        <v/>
      </c>
      <c r="Z19" s="7" t="str">
        <f t="shared" si="12"/>
        <v/>
      </c>
      <c r="AA19" s="14">
        <f>SUMIFS('09_CF_원금'!$E$6:$E$92,'09_CF_원금'!$D$6:$D$92,"국장",'09_CF_원금'!$A$6:$A$92,"&lt;="&amp;$A19)-SUMIFS('09_CF_원금'!$E$6:$E$92,'09_CF_원금'!$C$6:$C$92,"국장",'09_CF_원금'!$A$6:$A$92,"&lt;="&amp;$A19)</f>
        <v>130000000</v>
      </c>
      <c r="AB19" s="14">
        <f>SUMIFS('09_CF_원금'!$E$6:$E$92,'09_CF_원금'!$D$6:$D$92,"미장",'09_CF_원금'!$A$6:$A$92,"&lt;="&amp;$A19)-SUMIFS('09_CF_원금'!$E$6:$E$92,'09_CF_원금'!$C$6:$C$92,"미장",'09_CF_원금'!$A$6:$A$92,"&lt;="&amp;$A19)</f>
        <v>150000000</v>
      </c>
      <c r="AC19" s="14">
        <f>SUMIFS('09_CF_원금'!$E$6:$E$92,'09_CF_원금'!$D$6:$D$92,"ISA",'09_CF_원금'!$A$6:$A$92,"&lt;="&amp;$A19)-SUMIFS('09_CF_원금'!$E$6:$E$92,'09_CF_원금'!$C$6:$C$92,"ISA",'09_CF_원금'!$A$6:$A$92,"&lt;="&amp;$A19)</f>
        <v>40000000</v>
      </c>
      <c r="AD19" s="14">
        <f>IF($A19="","",$AA19+$AB19+$AC19+SUMIFS('09_CF_원금'!$E$6:$E$92,'09_CF_원금'!$D$6:$D$92,"중국",'09_CF_원금'!$A$6:$A$92,"&lt;="&amp;$A19)-SUMIFS('09_CF_원금'!$E$6:$E$92,'09_CF_원금'!$C$6:$C$92,"중국",'09_CF_원금'!$A$6:$A$92,"&lt;="&amp;$A19))</f>
        <v>340000000</v>
      </c>
      <c r="AE19" s="14">
        <f t="shared" si="13"/>
        <v>518746935</v>
      </c>
      <c r="AF19" s="15">
        <v>25830.0</v>
      </c>
      <c r="AG19" s="14">
        <v>1.78746935E8</v>
      </c>
      <c r="AH19" s="14">
        <v>1.33878053E8</v>
      </c>
      <c r="AI19" s="14">
        <v>3.7408859E7</v>
      </c>
      <c r="AJ19" s="14">
        <v>6973590.0</v>
      </c>
      <c r="AK19" s="16">
        <f t="shared" si="14"/>
        <v>202601</v>
      </c>
      <c r="AL19" s="17" t="str">
        <f t="shared" si="15"/>
        <v/>
      </c>
    </row>
    <row r="20">
      <c r="A20" s="6">
        <v>46029.0</v>
      </c>
      <c r="B20" s="7" t="str">
        <f t="shared" si="1"/>
        <v/>
      </c>
      <c r="C20" s="7" t="str">
        <f t="shared" si="16"/>
        <v/>
      </c>
      <c r="D20" s="7" t="str">
        <f t="shared" si="2"/>
        <v/>
      </c>
      <c r="E20" s="8" t="str">
        <f t="shared" si="3"/>
        <v/>
      </c>
      <c r="F20" s="8" t="str">
        <f>IF(OR($Y20="",$Y20=0,$G20="",$G20=0),"",($S20-$G20*'03_포지션'!$B$13)/$Y20)</f>
        <v/>
      </c>
      <c r="G20" s="7" t="str">
        <f t="shared" si="4"/>
        <v/>
      </c>
      <c r="H20" s="7" t="str">
        <f t="shared" si="5"/>
        <v/>
      </c>
      <c r="I20" s="7" t="str">
        <f t="shared" si="6"/>
        <v/>
      </c>
      <c r="J20" s="9" t="str">
        <f>IF(OR($I20="",'09_CF_원금'!$B$108=0),"",$I20/'09_CF_원금'!$B$108)</f>
        <v/>
      </c>
      <c r="K20" s="8" t="str">
        <f t="shared" si="7"/>
        <v/>
      </c>
      <c r="L20" s="8" t="str">
        <f t="shared" si="8"/>
        <v/>
      </c>
      <c r="M20" s="7" t="str">
        <f t="shared" si="9"/>
        <v/>
      </c>
      <c r="N20" s="7" t="str">
        <f t="shared" si="10"/>
        <v/>
      </c>
      <c r="O20" s="7" t="str">
        <f t="shared" si="11"/>
        <v/>
      </c>
      <c r="P20" s="10"/>
      <c r="Q20" s="11"/>
      <c r="R20" s="11"/>
      <c r="S20" s="12"/>
      <c r="T20" s="12"/>
      <c r="U20" s="12"/>
      <c r="V20" s="12"/>
      <c r="W20" s="18" t="str">
        <f t="shared" si="17"/>
        <v/>
      </c>
      <c r="X20" s="7" t="str">
        <f t="shared" si="18"/>
        <v/>
      </c>
      <c r="Y20" s="7" t="str">
        <f t="shared" si="19"/>
        <v/>
      </c>
      <c r="Z20" s="7" t="str">
        <f t="shared" si="12"/>
        <v/>
      </c>
      <c r="AA20" s="14">
        <f>SUMIFS('09_CF_원금'!$E$6:$E$92,'09_CF_원금'!$D$6:$D$92,"국장",'09_CF_원금'!$A$6:$A$92,"&lt;="&amp;$A20)-SUMIFS('09_CF_원금'!$E$6:$E$92,'09_CF_원금'!$C$6:$C$92,"국장",'09_CF_원금'!$A$6:$A$92,"&lt;="&amp;$A20)</f>
        <v>130000000</v>
      </c>
      <c r="AB20" s="14">
        <f>SUMIFS('09_CF_원금'!$E$6:$E$92,'09_CF_원금'!$D$6:$D$92,"미장",'09_CF_원금'!$A$6:$A$92,"&lt;="&amp;$A20)-SUMIFS('09_CF_원금'!$E$6:$E$92,'09_CF_원금'!$C$6:$C$92,"미장",'09_CF_원금'!$A$6:$A$92,"&lt;="&amp;$A20)</f>
        <v>150000000</v>
      </c>
      <c r="AC20" s="14">
        <f>SUMIFS('09_CF_원금'!$E$6:$E$92,'09_CF_원금'!$D$6:$D$92,"ISA",'09_CF_원금'!$A$6:$A$92,"&lt;="&amp;$A20)-SUMIFS('09_CF_원금'!$E$6:$E$92,'09_CF_원금'!$C$6:$C$92,"ISA",'09_CF_원금'!$A$6:$A$92,"&lt;="&amp;$A20)</f>
        <v>40000000</v>
      </c>
      <c r="AD20" s="14">
        <f>IF($A20="","",$AA20+$AB20+$AC20+SUMIFS('09_CF_원금'!$E$6:$E$92,'09_CF_원금'!$D$6:$D$92,"중국",'09_CF_원금'!$A$6:$A$92,"&lt;="&amp;$A20)-SUMIFS('09_CF_원금'!$E$6:$E$92,'09_CF_원금'!$C$6:$C$92,"중국",'09_CF_원금'!$A$6:$A$92,"&lt;="&amp;$A20))</f>
        <v>340000000</v>
      </c>
      <c r="AE20" s="14" t="str">
        <f t="shared" si="13"/>
        <v/>
      </c>
      <c r="AF20" s="15"/>
      <c r="AG20" s="14"/>
      <c r="AH20" s="14"/>
      <c r="AI20" s="14"/>
      <c r="AJ20" s="14"/>
      <c r="AK20" s="16">
        <f t="shared" si="14"/>
        <v>202601</v>
      </c>
      <c r="AL20" s="17" t="str">
        <f t="shared" si="15"/>
        <v/>
      </c>
    </row>
    <row r="21" ht="15.75" customHeight="1">
      <c r="A21" s="6">
        <v>46030.0</v>
      </c>
      <c r="B21" s="7" t="str">
        <f t="shared" si="1"/>
        <v/>
      </c>
      <c r="C21" s="7" t="str">
        <f t="shared" si="16"/>
        <v/>
      </c>
      <c r="D21" s="7" t="str">
        <f t="shared" si="2"/>
        <v/>
      </c>
      <c r="E21" s="8" t="str">
        <f t="shared" si="3"/>
        <v/>
      </c>
      <c r="F21" s="8" t="str">
        <f>IF(OR($Y21="",$Y21=0,$G21="",$G21=0),"",($S21-$G21*'03_포지션'!$B$13)/$Y21)</f>
        <v/>
      </c>
      <c r="G21" s="7" t="str">
        <f t="shared" si="4"/>
        <v/>
      </c>
      <c r="H21" s="7" t="str">
        <f t="shared" si="5"/>
        <v/>
      </c>
      <c r="I21" s="7" t="str">
        <f t="shared" si="6"/>
        <v/>
      </c>
      <c r="J21" s="9" t="str">
        <f>IF(OR($I21="",'09_CF_원금'!$B$108=0),"",$I21/'09_CF_원금'!$B$108)</f>
        <v/>
      </c>
      <c r="K21" s="8" t="str">
        <f t="shared" si="7"/>
        <v/>
      </c>
      <c r="L21" s="8" t="str">
        <f t="shared" si="8"/>
        <v/>
      </c>
      <c r="M21" s="7" t="str">
        <f t="shared" si="9"/>
        <v/>
      </c>
      <c r="N21" s="7" t="str">
        <f t="shared" si="10"/>
        <v/>
      </c>
      <c r="O21" s="7" t="str">
        <f t="shared" si="11"/>
        <v/>
      </c>
      <c r="P21" s="10"/>
      <c r="Q21" s="11"/>
      <c r="R21" s="11"/>
      <c r="S21" s="12"/>
      <c r="T21" s="12"/>
      <c r="U21" s="12"/>
      <c r="V21" s="12"/>
      <c r="W21" s="18" t="str">
        <f t="shared" si="17"/>
        <v/>
      </c>
      <c r="X21" s="7" t="str">
        <f t="shared" si="18"/>
        <v/>
      </c>
      <c r="Y21" s="7" t="str">
        <f t="shared" si="19"/>
        <v/>
      </c>
      <c r="Z21" s="7" t="str">
        <f t="shared" si="12"/>
        <v/>
      </c>
      <c r="AA21" s="14">
        <f>SUMIFS('09_CF_원금'!$E$6:$E$92,'09_CF_원금'!$D$6:$D$92,"국장",'09_CF_원금'!$A$6:$A$92,"&lt;="&amp;$A21)-SUMIFS('09_CF_원금'!$E$6:$E$92,'09_CF_원금'!$C$6:$C$92,"국장",'09_CF_원금'!$A$6:$A$92,"&lt;="&amp;$A21)</f>
        <v>130000000</v>
      </c>
      <c r="AB21" s="14">
        <f>SUMIFS('09_CF_원금'!$E$6:$E$92,'09_CF_원금'!$D$6:$D$92,"미장",'09_CF_원금'!$A$6:$A$92,"&lt;="&amp;$A21)-SUMIFS('09_CF_원금'!$E$6:$E$92,'09_CF_원금'!$C$6:$C$92,"미장",'09_CF_원금'!$A$6:$A$92,"&lt;="&amp;$A21)</f>
        <v>150000000</v>
      </c>
      <c r="AC21" s="14">
        <f>SUMIFS('09_CF_원금'!$E$6:$E$92,'09_CF_원금'!$D$6:$D$92,"ISA",'09_CF_원금'!$A$6:$A$92,"&lt;="&amp;$A21)-SUMIFS('09_CF_원금'!$E$6:$E$92,'09_CF_원금'!$C$6:$C$92,"ISA",'09_CF_원금'!$A$6:$A$92,"&lt;="&amp;$A21)</f>
        <v>40000000</v>
      </c>
      <c r="AD21" s="14">
        <f>IF($A21="","",$AA21+$AB21+$AC21+SUMIFS('09_CF_원금'!$E$6:$E$92,'09_CF_원금'!$D$6:$D$92,"중국",'09_CF_원금'!$A$6:$A$92,"&lt;="&amp;$A21)-SUMIFS('09_CF_원금'!$E$6:$E$92,'09_CF_원금'!$C$6:$C$92,"중국",'09_CF_원금'!$A$6:$A$92,"&lt;="&amp;$A21))</f>
        <v>340000000</v>
      </c>
      <c r="AE21" s="14" t="str">
        <f t="shared" si="13"/>
        <v/>
      </c>
      <c r="AF21" s="15"/>
      <c r="AG21" s="14"/>
      <c r="AH21" s="14"/>
      <c r="AI21" s="14"/>
      <c r="AJ21" s="14"/>
      <c r="AK21" s="16">
        <f t="shared" si="14"/>
        <v>202601</v>
      </c>
      <c r="AL21" s="17" t="str">
        <f t="shared" si="15"/>
        <v/>
      </c>
    </row>
    <row r="22" ht="15.75" customHeight="1">
      <c r="A22" s="6">
        <v>46031.0</v>
      </c>
      <c r="B22" s="7">
        <f t="shared" si="1"/>
        <v>540031674</v>
      </c>
      <c r="C22" s="7" t="str">
        <f t="shared" si="16"/>
        <v/>
      </c>
      <c r="D22" s="7">
        <f t="shared" si="2"/>
        <v>200031674</v>
      </c>
      <c r="E22" s="8">
        <f t="shared" si="3"/>
        <v>0</v>
      </c>
      <c r="F22" s="8" t="str">
        <f>IF(OR($Y22="",$Y22=0,$G22="",$G22=0),"",($S22-$G22*'03_포지션'!$B$13)/$Y22)</f>
        <v/>
      </c>
      <c r="G22" s="7" t="str">
        <f t="shared" si="4"/>
        <v/>
      </c>
      <c r="H22" s="7" t="str">
        <f t="shared" si="5"/>
        <v/>
      </c>
      <c r="I22" s="7" t="str">
        <f t="shared" si="6"/>
        <v/>
      </c>
      <c r="J22" s="9" t="str">
        <f>IF(OR($I22="",'09_CF_원금'!$B$108=0),"",$I22/'09_CF_원금'!$B$108)</f>
        <v/>
      </c>
      <c r="K22" s="8" t="str">
        <f t="shared" si="7"/>
        <v/>
      </c>
      <c r="L22" s="8" t="str">
        <f t="shared" si="8"/>
        <v/>
      </c>
      <c r="M22" s="7">
        <f t="shared" si="9"/>
        <v>153648785</v>
      </c>
      <c r="N22" s="7">
        <f t="shared" si="10"/>
        <v>38710402</v>
      </c>
      <c r="O22" s="7">
        <f t="shared" si="11"/>
        <v>7450286</v>
      </c>
      <c r="P22" s="10"/>
      <c r="Q22" s="11"/>
      <c r="R22" s="11"/>
      <c r="S22" s="12"/>
      <c r="T22" s="12"/>
      <c r="U22" s="12"/>
      <c r="V22" s="12"/>
      <c r="W22" s="18" t="str">
        <f t="shared" si="17"/>
        <v/>
      </c>
      <c r="X22" s="7" t="str">
        <f t="shared" si="18"/>
        <v/>
      </c>
      <c r="Y22" s="7" t="str">
        <f t="shared" si="19"/>
        <v/>
      </c>
      <c r="Z22" s="7" t="str">
        <f t="shared" si="12"/>
        <v/>
      </c>
      <c r="AA22" s="14">
        <f>SUMIFS('09_CF_원금'!$E$6:$E$92,'09_CF_원금'!$D$6:$D$92,"국장",'09_CF_원금'!$A$6:$A$92,"&lt;="&amp;$A22)-SUMIFS('09_CF_원금'!$E$6:$E$92,'09_CF_원금'!$C$6:$C$92,"국장",'09_CF_원금'!$A$6:$A$92,"&lt;="&amp;$A22)</f>
        <v>130000000</v>
      </c>
      <c r="AB22" s="14">
        <f>SUMIFS('09_CF_원금'!$E$6:$E$92,'09_CF_원금'!$D$6:$D$92,"미장",'09_CF_원금'!$A$6:$A$92,"&lt;="&amp;$A22)-SUMIFS('09_CF_원금'!$E$6:$E$92,'09_CF_원금'!$C$6:$C$92,"미장",'09_CF_원금'!$A$6:$A$92,"&lt;="&amp;$A22)</f>
        <v>150000000</v>
      </c>
      <c r="AC22" s="14">
        <f>SUMIFS('09_CF_원금'!$E$6:$E$92,'09_CF_원금'!$D$6:$D$92,"ISA",'09_CF_원금'!$A$6:$A$92,"&lt;="&amp;$A22)-SUMIFS('09_CF_원금'!$E$6:$E$92,'09_CF_원금'!$C$6:$C$92,"ISA",'09_CF_원금'!$A$6:$A$92,"&lt;="&amp;$A22)</f>
        <v>40000000</v>
      </c>
      <c r="AD22" s="14">
        <f>IF($A22="","",$AA22+$AB22+$AC22+SUMIFS('09_CF_원금'!$E$6:$E$92,'09_CF_원금'!$D$6:$D$92,"중국",'09_CF_원금'!$A$6:$A$92,"&lt;="&amp;$A22)-SUMIFS('09_CF_원금'!$E$6:$E$92,'09_CF_원금'!$C$6:$C$92,"중국",'09_CF_원금'!$A$6:$A$92,"&lt;="&amp;$A22))</f>
        <v>340000000</v>
      </c>
      <c r="AE22" s="14">
        <f t="shared" si="13"/>
        <v>540031674</v>
      </c>
      <c r="AF22" s="15">
        <v>25938.25</v>
      </c>
      <c r="AG22" s="14">
        <v>2.00031674E8</v>
      </c>
      <c r="AH22" s="14">
        <v>1.53648785E8</v>
      </c>
      <c r="AI22" s="14">
        <v>3.8710402E7</v>
      </c>
      <c r="AJ22" s="14">
        <v>7450286.0</v>
      </c>
      <c r="AK22" s="16">
        <f t="shared" si="14"/>
        <v>202601</v>
      </c>
      <c r="AL22" s="17" t="str">
        <f t="shared" si="15"/>
        <v/>
      </c>
    </row>
    <row r="23" ht="15.75" customHeight="1">
      <c r="A23" s="6">
        <v>46034.0</v>
      </c>
      <c r="B23" s="7" t="str">
        <f t="shared" si="1"/>
        <v/>
      </c>
      <c r="C23" s="7" t="str">
        <f t="shared" si="16"/>
        <v/>
      </c>
      <c r="D23" s="7" t="str">
        <f t="shared" si="2"/>
        <v/>
      </c>
      <c r="E23" s="8" t="str">
        <f t="shared" si="3"/>
        <v/>
      </c>
      <c r="F23" s="8" t="str">
        <f>IF(OR($Y23="",$Y23=0,$G23="",$G23=0),"",($S23-$G23*'03_포지션'!$B$13)/$Y23)</f>
        <v/>
      </c>
      <c r="G23" s="7" t="str">
        <f t="shared" si="4"/>
        <v/>
      </c>
      <c r="H23" s="7" t="str">
        <f t="shared" si="5"/>
        <v/>
      </c>
      <c r="I23" s="7" t="str">
        <f t="shared" si="6"/>
        <v/>
      </c>
      <c r="J23" s="9" t="str">
        <f>IF(OR($I23="",'09_CF_원금'!$B$108=0),"",$I23/'09_CF_원금'!$B$108)</f>
        <v/>
      </c>
      <c r="K23" s="8" t="str">
        <f t="shared" si="7"/>
        <v/>
      </c>
      <c r="L23" s="8" t="str">
        <f t="shared" si="8"/>
        <v/>
      </c>
      <c r="M23" s="7" t="str">
        <f t="shared" si="9"/>
        <v/>
      </c>
      <c r="N23" s="7" t="str">
        <f t="shared" si="10"/>
        <v/>
      </c>
      <c r="O23" s="7" t="str">
        <f t="shared" si="11"/>
        <v/>
      </c>
      <c r="P23" s="10"/>
      <c r="Q23" s="11"/>
      <c r="R23" s="11"/>
      <c r="S23" s="12"/>
      <c r="T23" s="12"/>
      <c r="U23" s="12"/>
      <c r="V23" s="12"/>
      <c r="W23" s="18" t="str">
        <f t="shared" si="17"/>
        <v/>
      </c>
      <c r="X23" s="7" t="str">
        <f t="shared" si="18"/>
        <v/>
      </c>
      <c r="Y23" s="7" t="str">
        <f t="shared" si="19"/>
        <v/>
      </c>
      <c r="Z23" s="7" t="str">
        <f t="shared" si="12"/>
        <v/>
      </c>
      <c r="AA23" s="14">
        <f>SUMIFS('09_CF_원금'!$E$6:$E$92,'09_CF_원금'!$D$6:$D$92,"국장",'09_CF_원금'!$A$6:$A$92,"&lt;="&amp;$A23)-SUMIFS('09_CF_원금'!$E$6:$E$92,'09_CF_원금'!$C$6:$C$92,"국장",'09_CF_원금'!$A$6:$A$92,"&lt;="&amp;$A23)</f>
        <v>130000000</v>
      </c>
      <c r="AB23" s="14">
        <f>SUMIFS('09_CF_원금'!$E$6:$E$92,'09_CF_원금'!$D$6:$D$92,"미장",'09_CF_원금'!$A$6:$A$92,"&lt;="&amp;$A23)-SUMIFS('09_CF_원금'!$E$6:$E$92,'09_CF_원금'!$C$6:$C$92,"미장",'09_CF_원금'!$A$6:$A$92,"&lt;="&amp;$A23)</f>
        <v>150000000</v>
      </c>
      <c r="AC23" s="14">
        <f>SUMIFS('09_CF_원금'!$E$6:$E$92,'09_CF_원금'!$D$6:$D$92,"ISA",'09_CF_원금'!$A$6:$A$92,"&lt;="&amp;$A23)-SUMIFS('09_CF_원금'!$E$6:$E$92,'09_CF_원금'!$C$6:$C$92,"ISA",'09_CF_원금'!$A$6:$A$92,"&lt;="&amp;$A23)</f>
        <v>40000000</v>
      </c>
      <c r="AD23" s="14">
        <f>IF($A23="","",$AA23+$AB23+$AC23+SUMIFS('09_CF_원금'!$E$6:$E$92,'09_CF_원금'!$D$6:$D$92,"중국",'09_CF_원금'!$A$6:$A$92,"&lt;="&amp;$A23)-SUMIFS('09_CF_원금'!$E$6:$E$92,'09_CF_원금'!$C$6:$C$92,"중국",'09_CF_원금'!$A$6:$A$92,"&lt;="&amp;$A23))</f>
        <v>340000000</v>
      </c>
      <c r="AE23" s="14" t="str">
        <f t="shared" si="13"/>
        <v/>
      </c>
      <c r="AF23" s="15"/>
      <c r="AG23" s="14"/>
      <c r="AH23" s="14"/>
      <c r="AI23" s="14"/>
      <c r="AJ23" s="14"/>
      <c r="AK23" s="16">
        <f t="shared" si="14"/>
        <v>202601</v>
      </c>
      <c r="AL23" s="17" t="str">
        <f t="shared" si="15"/>
        <v/>
      </c>
    </row>
    <row r="24" ht="15.75" customHeight="1">
      <c r="A24" s="6">
        <v>46035.0</v>
      </c>
      <c r="B24" s="7">
        <f t="shared" si="1"/>
        <v>527489663</v>
      </c>
      <c r="C24" s="7" t="str">
        <f t="shared" si="16"/>
        <v/>
      </c>
      <c r="D24" s="7">
        <f t="shared" si="2"/>
        <v>187489663</v>
      </c>
      <c r="E24" s="8">
        <f t="shared" si="3"/>
        <v>-0.02322458405</v>
      </c>
      <c r="F24" s="8" t="str">
        <f>IF(OR($Y24="",$Y24=0,$G24="",$G24=0),"",($S24-$G24*'03_포지션'!$B$13)/$Y24)</f>
        <v/>
      </c>
      <c r="G24" s="7" t="str">
        <f t="shared" si="4"/>
        <v/>
      </c>
      <c r="H24" s="7" t="str">
        <f t="shared" si="5"/>
        <v/>
      </c>
      <c r="I24" s="7" t="str">
        <f t="shared" si="6"/>
        <v/>
      </c>
      <c r="J24" s="9" t="str">
        <f>IF(OR($I24="",'09_CF_원금'!$B$108=0),"",$I24/'09_CF_원금'!$B$108)</f>
        <v/>
      </c>
      <c r="K24" s="8" t="str">
        <f t="shared" si="7"/>
        <v/>
      </c>
      <c r="L24" s="8" t="str">
        <f t="shared" si="8"/>
        <v/>
      </c>
      <c r="M24" s="7">
        <f t="shared" si="9"/>
        <v>133885826</v>
      </c>
      <c r="N24" s="7">
        <f t="shared" si="10"/>
        <v>45222364</v>
      </c>
      <c r="O24" s="7">
        <f t="shared" si="11"/>
        <v>8381473</v>
      </c>
      <c r="P24" s="10"/>
      <c r="Q24" s="11"/>
      <c r="R24" s="11"/>
      <c r="S24" s="12"/>
      <c r="T24" s="12"/>
      <c r="U24" s="12"/>
      <c r="V24" s="12"/>
      <c r="W24" s="18" t="str">
        <f t="shared" si="17"/>
        <v/>
      </c>
      <c r="X24" s="7" t="str">
        <f t="shared" si="18"/>
        <v/>
      </c>
      <c r="Y24" s="7" t="str">
        <f t="shared" si="19"/>
        <v/>
      </c>
      <c r="Z24" s="7" t="str">
        <f t="shared" si="12"/>
        <v/>
      </c>
      <c r="AA24" s="14">
        <f>SUMIFS('09_CF_원금'!$E$6:$E$92,'09_CF_원금'!$D$6:$D$92,"국장",'09_CF_원금'!$A$6:$A$92,"&lt;="&amp;$A24)-SUMIFS('09_CF_원금'!$E$6:$E$92,'09_CF_원금'!$C$6:$C$92,"국장",'09_CF_원금'!$A$6:$A$92,"&lt;="&amp;$A24)</f>
        <v>150000000</v>
      </c>
      <c r="AB24" s="14">
        <f>SUMIFS('09_CF_원금'!$E$6:$E$92,'09_CF_원금'!$D$6:$D$92,"미장",'09_CF_원금'!$A$6:$A$92,"&lt;="&amp;$A24)-SUMIFS('09_CF_원금'!$E$6:$E$92,'09_CF_원금'!$C$6:$C$92,"미장",'09_CF_원금'!$A$6:$A$92,"&lt;="&amp;$A24)</f>
        <v>150000000</v>
      </c>
      <c r="AC24" s="14">
        <f>SUMIFS('09_CF_원금'!$E$6:$E$92,'09_CF_원금'!$D$6:$D$92,"ISA",'09_CF_원금'!$A$6:$A$92,"&lt;="&amp;$A24)-SUMIFS('09_CF_원금'!$E$6:$E$92,'09_CF_원금'!$C$6:$C$92,"ISA",'09_CF_원금'!$A$6:$A$92,"&lt;="&amp;$A24)</f>
        <v>40000000</v>
      </c>
      <c r="AD24" s="14">
        <f>IF($A24="","",$AA24+$AB24+$AC24+SUMIFS('09_CF_원금'!$E$6:$E$92,'09_CF_원금'!$D$6:$D$92,"중국",'09_CF_원금'!$A$6:$A$92,"&lt;="&amp;$A24)-SUMIFS('09_CF_원금'!$E$6:$E$92,'09_CF_원금'!$C$6:$C$92,"중국",'09_CF_원금'!$A$6:$A$92,"&lt;="&amp;$A24))</f>
        <v>340000000</v>
      </c>
      <c r="AE24" s="14">
        <f t="shared" si="13"/>
        <v>540031674</v>
      </c>
      <c r="AF24" s="15">
        <v>25896.75</v>
      </c>
      <c r="AG24" s="14">
        <v>1.87489663E8</v>
      </c>
      <c r="AH24" s="14">
        <v>1.33885826E8</v>
      </c>
      <c r="AI24" s="14">
        <v>4.5222364E7</v>
      </c>
      <c r="AJ24" s="14">
        <v>8381473.0</v>
      </c>
      <c r="AK24" s="16">
        <f t="shared" si="14"/>
        <v>202601</v>
      </c>
      <c r="AL24" s="17" t="str">
        <f t="shared" si="15"/>
        <v/>
      </c>
    </row>
    <row r="25" ht="15.75" customHeight="1">
      <c r="A25" s="6">
        <v>46036.0</v>
      </c>
      <c r="B25" s="7" t="str">
        <f t="shared" si="1"/>
        <v/>
      </c>
      <c r="C25" s="7" t="str">
        <f t="shared" si="16"/>
        <v/>
      </c>
      <c r="D25" s="7" t="str">
        <f t="shared" si="2"/>
        <v/>
      </c>
      <c r="E25" s="8" t="str">
        <f t="shared" si="3"/>
        <v/>
      </c>
      <c r="F25" s="8" t="str">
        <f>IF(OR($Y25="",$Y25=0,$G25="",$G25=0),"",($S25-$G25*'03_포지션'!$B$13)/$Y25)</f>
        <v/>
      </c>
      <c r="G25" s="7" t="str">
        <f t="shared" si="4"/>
        <v/>
      </c>
      <c r="H25" s="7" t="str">
        <f t="shared" si="5"/>
        <v/>
      </c>
      <c r="I25" s="7" t="str">
        <f t="shared" si="6"/>
        <v/>
      </c>
      <c r="J25" s="9" t="str">
        <f>IF(OR($I25="",'09_CF_원금'!$B$108=0),"",$I25/'09_CF_원금'!$B$108)</f>
        <v/>
      </c>
      <c r="K25" s="8" t="str">
        <f t="shared" si="7"/>
        <v/>
      </c>
      <c r="L25" s="8" t="str">
        <f t="shared" si="8"/>
        <v/>
      </c>
      <c r="M25" s="7" t="str">
        <f t="shared" si="9"/>
        <v/>
      </c>
      <c r="N25" s="7" t="str">
        <f t="shared" si="10"/>
        <v/>
      </c>
      <c r="O25" s="7" t="str">
        <f t="shared" si="11"/>
        <v/>
      </c>
      <c r="P25" s="10"/>
      <c r="Q25" s="11"/>
      <c r="R25" s="11"/>
      <c r="S25" s="12"/>
      <c r="T25" s="12"/>
      <c r="U25" s="12"/>
      <c r="V25" s="12"/>
      <c r="W25" s="18" t="str">
        <f t="shared" si="17"/>
        <v/>
      </c>
      <c r="X25" s="7" t="str">
        <f t="shared" si="18"/>
        <v/>
      </c>
      <c r="Y25" s="7" t="str">
        <f t="shared" si="19"/>
        <v/>
      </c>
      <c r="Z25" s="7" t="str">
        <f t="shared" si="12"/>
        <v/>
      </c>
      <c r="AA25" s="14">
        <f>SUMIFS('09_CF_원금'!$E$6:$E$92,'09_CF_원금'!$D$6:$D$92,"국장",'09_CF_원금'!$A$6:$A$92,"&lt;="&amp;$A25)-SUMIFS('09_CF_원금'!$E$6:$E$92,'09_CF_원금'!$C$6:$C$92,"국장",'09_CF_원금'!$A$6:$A$92,"&lt;="&amp;$A25)</f>
        <v>150000000</v>
      </c>
      <c r="AB25" s="14">
        <f>SUMIFS('09_CF_원금'!$E$6:$E$92,'09_CF_원금'!$D$6:$D$92,"미장",'09_CF_원금'!$A$6:$A$92,"&lt;="&amp;$A25)-SUMIFS('09_CF_원금'!$E$6:$E$92,'09_CF_원금'!$C$6:$C$92,"미장",'09_CF_원금'!$A$6:$A$92,"&lt;="&amp;$A25)</f>
        <v>150000000</v>
      </c>
      <c r="AC25" s="14">
        <f>SUMIFS('09_CF_원금'!$E$6:$E$92,'09_CF_원금'!$D$6:$D$92,"ISA",'09_CF_원금'!$A$6:$A$92,"&lt;="&amp;$A25)-SUMIFS('09_CF_원금'!$E$6:$E$92,'09_CF_원금'!$C$6:$C$92,"ISA",'09_CF_원금'!$A$6:$A$92,"&lt;="&amp;$A25)</f>
        <v>40000000</v>
      </c>
      <c r="AD25" s="14">
        <f>IF($A25="","",$AA25+$AB25+$AC25+SUMIFS('09_CF_원금'!$E$6:$E$92,'09_CF_원금'!$D$6:$D$92,"중국",'09_CF_원금'!$A$6:$A$92,"&lt;="&amp;$A25)-SUMIFS('09_CF_원금'!$E$6:$E$92,'09_CF_원금'!$C$6:$C$92,"중국",'09_CF_원금'!$A$6:$A$92,"&lt;="&amp;$A25))</f>
        <v>340000000</v>
      </c>
      <c r="AE25" s="14" t="str">
        <f t="shared" si="13"/>
        <v/>
      </c>
      <c r="AF25" s="15"/>
      <c r="AG25" s="14"/>
      <c r="AH25" s="14"/>
      <c r="AI25" s="14"/>
      <c r="AJ25" s="14"/>
      <c r="AK25" s="16">
        <f t="shared" si="14"/>
        <v>202601</v>
      </c>
      <c r="AL25" s="17" t="str">
        <f t="shared" si="15"/>
        <v/>
      </c>
    </row>
    <row r="26" ht="15.75" customHeight="1">
      <c r="A26" s="6">
        <v>46037.0</v>
      </c>
      <c r="B26" s="7" t="str">
        <f t="shared" si="1"/>
        <v/>
      </c>
      <c r="C26" s="7" t="str">
        <f t="shared" si="16"/>
        <v/>
      </c>
      <c r="D26" s="7" t="str">
        <f t="shared" si="2"/>
        <v/>
      </c>
      <c r="E26" s="8" t="str">
        <f t="shared" si="3"/>
        <v/>
      </c>
      <c r="F26" s="8" t="str">
        <f>IF(OR($Y26="",$Y26=0,$G26="",$G26=0),"",($S26-$G26*'03_포지션'!$B$13)/$Y26)</f>
        <v/>
      </c>
      <c r="G26" s="7" t="str">
        <f t="shared" si="4"/>
        <v/>
      </c>
      <c r="H26" s="7" t="str">
        <f t="shared" si="5"/>
        <v/>
      </c>
      <c r="I26" s="7" t="str">
        <f t="shared" si="6"/>
        <v/>
      </c>
      <c r="J26" s="9" t="str">
        <f>IF(OR($I26="",'09_CF_원금'!$B$108=0),"",$I26/'09_CF_원금'!$B$108)</f>
        <v/>
      </c>
      <c r="K26" s="8" t="str">
        <f t="shared" si="7"/>
        <v/>
      </c>
      <c r="L26" s="8" t="str">
        <f t="shared" si="8"/>
        <v/>
      </c>
      <c r="M26" s="7" t="str">
        <f t="shared" si="9"/>
        <v/>
      </c>
      <c r="N26" s="7" t="str">
        <f t="shared" si="10"/>
        <v/>
      </c>
      <c r="O26" s="7" t="str">
        <f t="shared" si="11"/>
        <v/>
      </c>
      <c r="P26" s="10"/>
      <c r="Q26" s="11"/>
      <c r="R26" s="11"/>
      <c r="S26" s="12"/>
      <c r="T26" s="12"/>
      <c r="U26" s="12"/>
      <c r="V26" s="12"/>
      <c r="W26" s="18" t="str">
        <f t="shared" si="17"/>
        <v/>
      </c>
      <c r="X26" s="7" t="str">
        <f t="shared" si="18"/>
        <v/>
      </c>
      <c r="Y26" s="7" t="str">
        <f t="shared" si="19"/>
        <v/>
      </c>
      <c r="Z26" s="7" t="str">
        <f t="shared" si="12"/>
        <v/>
      </c>
      <c r="AA26" s="14">
        <f>SUMIFS('09_CF_원금'!$E$6:$E$92,'09_CF_원금'!$D$6:$D$92,"국장",'09_CF_원금'!$A$6:$A$92,"&lt;="&amp;$A26)-SUMIFS('09_CF_원금'!$E$6:$E$92,'09_CF_원금'!$C$6:$C$92,"국장",'09_CF_원금'!$A$6:$A$92,"&lt;="&amp;$A26)</f>
        <v>150000000</v>
      </c>
      <c r="AB26" s="14">
        <f>SUMIFS('09_CF_원금'!$E$6:$E$92,'09_CF_원금'!$D$6:$D$92,"미장",'09_CF_원금'!$A$6:$A$92,"&lt;="&amp;$A26)-SUMIFS('09_CF_원금'!$E$6:$E$92,'09_CF_원금'!$C$6:$C$92,"미장",'09_CF_원금'!$A$6:$A$92,"&lt;="&amp;$A26)</f>
        <v>150000000</v>
      </c>
      <c r="AC26" s="14">
        <f>SUMIFS('09_CF_원금'!$E$6:$E$92,'09_CF_원금'!$D$6:$D$92,"ISA",'09_CF_원금'!$A$6:$A$92,"&lt;="&amp;$A26)-SUMIFS('09_CF_원금'!$E$6:$E$92,'09_CF_원금'!$C$6:$C$92,"ISA",'09_CF_원금'!$A$6:$A$92,"&lt;="&amp;$A26)</f>
        <v>40000000</v>
      </c>
      <c r="AD26" s="14">
        <f>IF($A26="","",$AA26+$AB26+$AC26+SUMIFS('09_CF_원금'!$E$6:$E$92,'09_CF_원금'!$D$6:$D$92,"중국",'09_CF_원금'!$A$6:$A$92,"&lt;="&amp;$A26)-SUMIFS('09_CF_원금'!$E$6:$E$92,'09_CF_원금'!$C$6:$C$92,"중국",'09_CF_원금'!$A$6:$A$92,"&lt;="&amp;$A26))</f>
        <v>340000000</v>
      </c>
      <c r="AE26" s="14" t="str">
        <f t="shared" si="13"/>
        <v/>
      </c>
      <c r="AF26" s="15"/>
      <c r="AG26" s="14"/>
      <c r="AH26" s="14"/>
      <c r="AI26" s="14"/>
      <c r="AJ26" s="14"/>
      <c r="AK26" s="16">
        <f t="shared" si="14"/>
        <v>202601</v>
      </c>
      <c r="AL26" s="17" t="str">
        <f t="shared" si="15"/>
        <v/>
      </c>
    </row>
    <row r="27" ht="15.75" customHeight="1">
      <c r="A27" s="6">
        <v>46038.0</v>
      </c>
      <c r="B27" s="7" t="str">
        <f t="shared" si="1"/>
        <v/>
      </c>
      <c r="C27" s="7" t="str">
        <f t="shared" si="16"/>
        <v/>
      </c>
      <c r="D27" s="7" t="str">
        <f t="shared" si="2"/>
        <v/>
      </c>
      <c r="E27" s="8" t="str">
        <f t="shared" si="3"/>
        <v/>
      </c>
      <c r="F27" s="8" t="str">
        <f>IF(OR($Y27="",$Y27=0,$G27="",$G27=0),"",($S27-$G27*'03_포지션'!$B$13)/$Y27)</f>
        <v/>
      </c>
      <c r="G27" s="7" t="str">
        <f t="shared" si="4"/>
        <v/>
      </c>
      <c r="H27" s="7" t="str">
        <f t="shared" si="5"/>
        <v/>
      </c>
      <c r="I27" s="7" t="str">
        <f t="shared" si="6"/>
        <v/>
      </c>
      <c r="J27" s="9" t="str">
        <f>IF(OR($I27="",'09_CF_원금'!$B$108=0),"",$I27/'09_CF_원금'!$B$108)</f>
        <v/>
      </c>
      <c r="K27" s="8" t="str">
        <f t="shared" si="7"/>
        <v/>
      </c>
      <c r="L27" s="8" t="str">
        <f t="shared" si="8"/>
        <v/>
      </c>
      <c r="M27" s="7" t="str">
        <f t="shared" si="9"/>
        <v/>
      </c>
      <c r="N27" s="7" t="str">
        <f t="shared" si="10"/>
        <v/>
      </c>
      <c r="O27" s="7" t="str">
        <f t="shared" si="11"/>
        <v/>
      </c>
      <c r="P27" s="10"/>
      <c r="Q27" s="11"/>
      <c r="R27" s="11"/>
      <c r="S27" s="12"/>
      <c r="T27" s="12"/>
      <c r="U27" s="12"/>
      <c r="V27" s="12"/>
      <c r="W27" s="18" t="str">
        <f t="shared" si="17"/>
        <v/>
      </c>
      <c r="X27" s="7" t="str">
        <f t="shared" si="18"/>
        <v/>
      </c>
      <c r="Y27" s="7" t="str">
        <f t="shared" si="19"/>
        <v/>
      </c>
      <c r="Z27" s="7" t="str">
        <f t="shared" si="12"/>
        <v/>
      </c>
      <c r="AA27" s="14">
        <f>SUMIFS('09_CF_원금'!$E$6:$E$92,'09_CF_원금'!$D$6:$D$92,"국장",'09_CF_원금'!$A$6:$A$92,"&lt;="&amp;$A27)-SUMIFS('09_CF_원금'!$E$6:$E$92,'09_CF_원금'!$C$6:$C$92,"국장",'09_CF_원금'!$A$6:$A$92,"&lt;="&amp;$A27)</f>
        <v>150000000</v>
      </c>
      <c r="AB27" s="14">
        <f>SUMIFS('09_CF_원금'!$E$6:$E$92,'09_CF_원금'!$D$6:$D$92,"미장",'09_CF_원금'!$A$6:$A$92,"&lt;="&amp;$A27)-SUMIFS('09_CF_원금'!$E$6:$E$92,'09_CF_원금'!$C$6:$C$92,"미장",'09_CF_원금'!$A$6:$A$92,"&lt;="&amp;$A27)</f>
        <v>150000000</v>
      </c>
      <c r="AC27" s="14">
        <f>SUMIFS('09_CF_원금'!$E$6:$E$92,'09_CF_원금'!$D$6:$D$92,"ISA",'09_CF_원금'!$A$6:$A$92,"&lt;="&amp;$A27)-SUMIFS('09_CF_원금'!$E$6:$E$92,'09_CF_원금'!$C$6:$C$92,"ISA",'09_CF_원금'!$A$6:$A$92,"&lt;="&amp;$A27)</f>
        <v>40000000</v>
      </c>
      <c r="AD27" s="14">
        <f>IF($A27="","",$AA27+$AB27+$AC27+SUMIFS('09_CF_원금'!$E$6:$E$92,'09_CF_원금'!$D$6:$D$92,"중국",'09_CF_원금'!$A$6:$A$92,"&lt;="&amp;$A27)-SUMIFS('09_CF_원금'!$E$6:$E$92,'09_CF_원금'!$C$6:$C$92,"중국",'09_CF_원금'!$A$6:$A$92,"&lt;="&amp;$A27))</f>
        <v>340000000</v>
      </c>
      <c r="AE27" s="14" t="str">
        <f t="shared" si="13"/>
        <v/>
      </c>
      <c r="AF27" s="15"/>
      <c r="AG27" s="14"/>
      <c r="AH27" s="14"/>
      <c r="AI27" s="14"/>
      <c r="AJ27" s="14"/>
      <c r="AK27" s="16">
        <f t="shared" si="14"/>
        <v>202601</v>
      </c>
      <c r="AL27" s="17" t="str">
        <f t="shared" si="15"/>
        <v/>
      </c>
    </row>
    <row r="28" ht="15.75" customHeight="1">
      <c r="A28" s="6">
        <v>46041.0</v>
      </c>
      <c r="B28" s="7" t="str">
        <f t="shared" si="1"/>
        <v/>
      </c>
      <c r="C28" s="7" t="str">
        <f t="shared" si="16"/>
        <v/>
      </c>
      <c r="D28" s="7" t="str">
        <f t="shared" si="2"/>
        <v/>
      </c>
      <c r="E28" s="8" t="str">
        <f t="shared" si="3"/>
        <v/>
      </c>
      <c r="F28" s="8" t="str">
        <f>IF(OR($Y28="",$Y28=0,$G28="",$G28=0),"",($S28-$G28*'03_포지션'!$B$13)/$Y28)</f>
        <v/>
      </c>
      <c r="G28" s="7" t="str">
        <f t="shared" si="4"/>
        <v/>
      </c>
      <c r="H28" s="7" t="str">
        <f t="shared" si="5"/>
        <v/>
      </c>
      <c r="I28" s="7" t="str">
        <f t="shared" si="6"/>
        <v/>
      </c>
      <c r="J28" s="9" t="str">
        <f>IF(OR($I28="",'09_CF_원금'!$B$108=0),"",$I28/'09_CF_원금'!$B$108)</f>
        <v/>
      </c>
      <c r="K28" s="8" t="str">
        <f t="shared" si="7"/>
        <v/>
      </c>
      <c r="L28" s="8" t="str">
        <f t="shared" si="8"/>
        <v/>
      </c>
      <c r="M28" s="7" t="str">
        <f t="shared" si="9"/>
        <v/>
      </c>
      <c r="N28" s="7" t="str">
        <f t="shared" si="10"/>
        <v/>
      </c>
      <c r="O28" s="7" t="str">
        <f t="shared" si="11"/>
        <v/>
      </c>
      <c r="P28" s="10"/>
      <c r="Q28" s="11"/>
      <c r="R28" s="11"/>
      <c r="S28" s="12"/>
      <c r="T28" s="12"/>
      <c r="U28" s="12"/>
      <c r="V28" s="12"/>
      <c r="W28" s="18" t="str">
        <f t="shared" si="17"/>
        <v/>
      </c>
      <c r="X28" s="7" t="str">
        <f t="shared" si="18"/>
        <v/>
      </c>
      <c r="Y28" s="7" t="str">
        <f t="shared" si="19"/>
        <v/>
      </c>
      <c r="Z28" s="7" t="str">
        <f t="shared" si="12"/>
        <v/>
      </c>
      <c r="AA28" s="14">
        <f>SUMIFS('09_CF_원금'!$E$6:$E$92,'09_CF_원금'!$D$6:$D$92,"국장",'09_CF_원금'!$A$6:$A$92,"&lt;="&amp;$A28)-SUMIFS('09_CF_원금'!$E$6:$E$92,'09_CF_원금'!$C$6:$C$92,"국장",'09_CF_원금'!$A$6:$A$92,"&lt;="&amp;$A28)</f>
        <v>150000000</v>
      </c>
      <c r="AB28" s="14">
        <f>SUMIFS('09_CF_원금'!$E$6:$E$92,'09_CF_원금'!$D$6:$D$92,"미장",'09_CF_원금'!$A$6:$A$92,"&lt;="&amp;$A28)-SUMIFS('09_CF_원금'!$E$6:$E$92,'09_CF_원금'!$C$6:$C$92,"미장",'09_CF_원금'!$A$6:$A$92,"&lt;="&amp;$A28)</f>
        <v>150000000</v>
      </c>
      <c r="AC28" s="14">
        <f>SUMIFS('09_CF_원금'!$E$6:$E$92,'09_CF_원금'!$D$6:$D$92,"ISA",'09_CF_원금'!$A$6:$A$92,"&lt;="&amp;$A28)-SUMIFS('09_CF_원금'!$E$6:$E$92,'09_CF_원금'!$C$6:$C$92,"ISA",'09_CF_원금'!$A$6:$A$92,"&lt;="&amp;$A28)</f>
        <v>40000000</v>
      </c>
      <c r="AD28" s="14">
        <f>IF($A28="","",$AA28+$AB28+$AC28+SUMIFS('09_CF_원금'!$E$6:$E$92,'09_CF_원금'!$D$6:$D$92,"중국",'09_CF_원금'!$A$6:$A$92,"&lt;="&amp;$A28)-SUMIFS('09_CF_원금'!$E$6:$E$92,'09_CF_원금'!$C$6:$C$92,"중국",'09_CF_원금'!$A$6:$A$92,"&lt;="&amp;$A28))</f>
        <v>340000000</v>
      </c>
      <c r="AE28" s="14" t="str">
        <f t="shared" si="13"/>
        <v/>
      </c>
      <c r="AF28" s="15"/>
      <c r="AG28" s="14"/>
      <c r="AH28" s="14"/>
      <c r="AI28" s="14"/>
      <c r="AJ28" s="14"/>
      <c r="AK28" s="16">
        <f t="shared" si="14"/>
        <v>202601</v>
      </c>
      <c r="AL28" s="17" t="str">
        <f t="shared" si="15"/>
        <v/>
      </c>
    </row>
    <row r="29" ht="15.75" customHeight="1">
      <c r="A29" s="6">
        <v>46042.0</v>
      </c>
      <c r="B29" s="7" t="str">
        <f t="shared" si="1"/>
        <v/>
      </c>
      <c r="C29" s="7" t="str">
        <f t="shared" si="16"/>
        <v/>
      </c>
      <c r="D29" s="7" t="str">
        <f t="shared" si="2"/>
        <v/>
      </c>
      <c r="E29" s="8" t="str">
        <f t="shared" si="3"/>
        <v/>
      </c>
      <c r="F29" s="8" t="str">
        <f>IF(OR($Y29="",$Y29=0,$G29="",$G29=0),"",($S29-$G29*'03_포지션'!$B$13)/$Y29)</f>
        <v/>
      </c>
      <c r="G29" s="7" t="str">
        <f t="shared" si="4"/>
        <v/>
      </c>
      <c r="H29" s="7" t="str">
        <f t="shared" si="5"/>
        <v/>
      </c>
      <c r="I29" s="7" t="str">
        <f t="shared" si="6"/>
        <v/>
      </c>
      <c r="J29" s="9" t="str">
        <f>IF(OR($I29="",'09_CF_원금'!$B$108=0),"",$I29/'09_CF_원금'!$B$108)</f>
        <v/>
      </c>
      <c r="K29" s="8" t="str">
        <f t="shared" si="7"/>
        <v/>
      </c>
      <c r="L29" s="8" t="str">
        <f t="shared" si="8"/>
        <v/>
      </c>
      <c r="M29" s="7" t="str">
        <f t="shared" si="9"/>
        <v/>
      </c>
      <c r="N29" s="7" t="str">
        <f t="shared" si="10"/>
        <v/>
      </c>
      <c r="O29" s="7" t="str">
        <f t="shared" si="11"/>
        <v/>
      </c>
      <c r="P29" s="10"/>
      <c r="Q29" s="11"/>
      <c r="R29" s="11"/>
      <c r="S29" s="12"/>
      <c r="T29" s="12"/>
      <c r="U29" s="12"/>
      <c r="V29" s="12"/>
      <c r="W29" s="18" t="str">
        <f t="shared" si="17"/>
        <v/>
      </c>
      <c r="X29" s="7" t="str">
        <f t="shared" si="18"/>
        <v/>
      </c>
      <c r="Y29" s="7" t="str">
        <f t="shared" si="19"/>
        <v/>
      </c>
      <c r="Z29" s="7" t="str">
        <f t="shared" si="12"/>
        <v/>
      </c>
      <c r="AA29" s="14">
        <f>SUMIFS('09_CF_원금'!$E$6:$E$92,'09_CF_원금'!$D$6:$D$92,"국장",'09_CF_원금'!$A$6:$A$92,"&lt;="&amp;$A29)-SUMIFS('09_CF_원금'!$E$6:$E$92,'09_CF_원금'!$C$6:$C$92,"국장",'09_CF_원금'!$A$6:$A$92,"&lt;="&amp;$A29)</f>
        <v>150000000</v>
      </c>
      <c r="AB29" s="14">
        <f>SUMIFS('09_CF_원금'!$E$6:$E$92,'09_CF_원금'!$D$6:$D$92,"미장",'09_CF_원금'!$A$6:$A$92,"&lt;="&amp;$A29)-SUMIFS('09_CF_원금'!$E$6:$E$92,'09_CF_원금'!$C$6:$C$92,"미장",'09_CF_원금'!$A$6:$A$92,"&lt;="&amp;$A29)</f>
        <v>150000000</v>
      </c>
      <c r="AC29" s="14">
        <f>SUMIFS('09_CF_원금'!$E$6:$E$92,'09_CF_원금'!$D$6:$D$92,"ISA",'09_CF_원금'!$A$6:$A$92,"&lt;="&amp;$A29)-SUMIFS('09_CF_원금'!$E$6:$E$92,'09_CF_원금'!$C$6:$C$92,"ISA",'09_CF_원금'!$A$6:$A$92,"&lt;="&amp;$A29)</f>
        <v>40000000</v>
      </c>
      <c r="AD29" s="14">
        <f>IF($A29="","",$AA29+$AB29+$AC29+SUMIFS('09_CF_원금'!$E$6:$E$92,'09_CF_원금'!$D$6:$D$92,"중국",'09_CF_원금'!$A$6:$A$92,"&lt;="&amp;$A29)-SUMIFS('09_CF_원금'!$E$6:$E$92,'09_CF_원금'!$C$6:$C$92,"중국",'09_CF_원금'!$A$6:$A$92,"&lt;="&amp;$A29))</f>
        <v>340000000</v>
      </c>
      <c r="AE29" s="14" t="str">
        <f t="shared" si="13"/>
        <v/>
      </c>
      <c r="AF29" s="15"/>
      <c r="AG29" s="14"/>
      <c r="AH29" s="14"/>
      <c r="AI29" s="14"/>
      <c r="AJ29" s="14"/>
      <c r="AK29" s="16">
        <f t="shared" si="14"/>
        <v>202601</v>
      </c>
      <c r="AL29" s="17" t="str">
        <f t="shared" si="15"/>
        <v/>
      </c>
    </row>
    <row r="30" ht="15.75" customHeight="1">
      <c r="A30" s="6">
        <v>46043.0</v>
      </c>
      <c r="B30" s="7" t="str">
        <f t="shared" si="1"/>
        <v/>
      </c>
      <c r="C30" s="7" t="str">
        <f t="shared" si="16"/>
        <v/>
      </c>
      <c r="D30" s="7" t="str">
        <f t="shared" si="2"/>
        <v/>
      </c>
      <c r="E30" s="8" t="str">
        <f t="shared" si="3"/>
        <v/>
      </c>
      <c r="F30" s="8" t="str">
        <f>IF(OR($Y30="",$Y30=0,$G30="",$G30=0),"",($S30-$G30*'03_포지션'!$B$13)/$Y30)</f>
        <v/>
      </c>
      <c r="G30" s="7" t="str">
        <f t="shared" si="4"/>
        <v/>
      </c>
      <c r="H30" s="7" t="str">
        <f t="shared" si="5"/>
        <v/>
      </c>
      <c r="I30" s="7" t="str">
        <f t="shared" si="6"/>
        <v/>
      </c>
      <c r="J30" s="9" t="str">
        <f>IF(OR($I30="",'09_CF_원금'!$B$108=0),"",$I30/'09_CF_원금'!$B$108)</f>
        <v/>
      </c>
      <c r="K30" s="8" t="str">
        <f t="shared" si="7"/>
        <v/>
      </c>
      <c r="L30" s="8" t="str">
        <f t="shared" si="8"/>
        <v/>
      </c>
      <c r="M30" s="7" t="str">
        <f t="shared" si="9"/>
        <v/>
      </c>
      <c r="N30" s="7" t="str">
        <f t="shared" si="10"/>
        <v/>
      </c>
      <c r="O30" s="7" t="str">
        <f t="shared" si="11"/>
        <v/>
      </c>
      <c r="P30" s="10"/>
      <c r="Q30" s="11"/>
      <c r="R30" s="11"/>
      <c r="S30" s="12"/>
      <c r="T30" s="12"/>
      <c r="U30" s="12"/>
      <c r="V30" s="12"/>
      <c r="W30" s="18" t="str">
        <f t="shared" si="17"/>
        <v/>
      </c>
      <c r="X30" s="7" t="str">
        <f t="shared" si="18"/>
        <v/>
      </c>
      <c r="Y30" s="7" t="str">
        <f t="shared" si="19"/>
        <v/>
      </c>
      <c r="Z30" s="7" t="str">
        <f t="shared" si="12"/>
        <v/>
      </c>
      <c r="AA30" s="14">
        <f>SUMIFS('09_CF_원금'!$E$6:$E$92,'09_CF_원금'!$D$6:$D$92,"국장",'09_CF_원금'!$A$6:$A$92,"&lt;="&amp;$A30)-SUMIFS('09_CF_원금'!$E$6:$E$92,'09_CF_원금'!$C$6:$C$92,"국장",'09_CF_원금'!$A$6:$A$92,"&lt;="&amp;$A30)</f>
        <v>197000000</v>
      </c>
      <c r="AB30" s="14">
        <f>SUMIFS('09_CF_원금'!$E$6:$E$92,'09_CF_원금'!$D$6:$D$92,"미장",'09_CF_원금'!$A$6:$A$92,"&lt;="&amp;$A30)-SUMIFS('09_CF_원금'!$E$6:$E$92,'09_CF_원금'!$C$6:$C$92,"미장",'09_CF_원금'!$A$6:$A$92,"&lt;="&amp;$A30)</f>
        <v>110000000</v>
      </c>
      <c r="AC30" s="14">
        <f>SUMIFS('09_CF_원금'!$E$6:$E$92,'09_CF_원금'!$D$6:$D$92,"ISA",'09_CF_원금'!$A$6:$A$92,"&lt;="&amp;$A30)-SUMIFS('09_CF_원금'!$E$6:$E$92,'09_CF_원금'!$C$6:$C$92,"ISA",'09_CF_원금'!$A$6:$A$92,"&lt;="&amp;$A30)</f>
        <v>40000000</v>
      </c>
      <c r="AD30" s="14">
        <f>IF($A30="","",$AA30+$AB30+$AC30+SUMIFS('09_CF_원금'!$E$6:$E$92,'09_CF_원금'!$D$6:$D$92,"중국",'09_CF_원금'!$A$6:$A$92,"&lt;="&amp;$A30)-SUMIFS('09_CF_원금'!$E$6:$E$92,'09_CF_원금'!$C$6:$C$92,"중국",'09_CF_원금'!$A$6:$A$92,"&lt;="&amp;$A30))</f>
        <v>347000000</v>
      </c>
      <c r="AE30" s="14" t="str">
        <f t="shared" si="13"/>
        <v/>
      </c>
      <c r="AF30" s="15"/>
      <c r="AG30" s="14"/>
      <c r="AH30" s="14"/>
      <c r="AI30" s="14"/>
      <c r="AJ30" s="14"/>
      <c r="AK30" s="16">
        <f t="shared" si="14"/>
        <v>202601</v>
      </c>
      <c r="AL30" s="17" t="str">
        <f t="shared" si="15"/>
        <v/>
      </c>
    </row>
    <row r="31" ht="15.75" customHeight="1">
      <c r="A31" s="6">
        <v>46044.0</v>
      </c>
      <c r="B31" s="7" t="str">
        <f t="shared" si="1"/>
        <v/>
      </c>
      <c r="C31" s="7" t="str">
        <f t="shared" si="16"/>
        <v/>
      </c>
      <c r="D31" s="7" t="str">
        <f t="shared" si="2"/>
        <v/>
      </c>
      <c r="E31" s="8" t="str">
        <f t="shared" si="3"/>
        <v/>
      </c>
      <c r="F31" s="8" t="str">
        <f>IF(OR($Y31="",$Y31=0,$G31="",$G31=0),"",($S31-$G31*'03_포지션'!$B$13)/$Y31)</f>
        <v/>
      </c>
      <c r="G31" s="7" t="str">
        <f t="shared" si="4"/>
        <v/>
      </c>
      <c r="H31" s="7" t="str">
        <f t="shared" si="5"/>
        <v/>
      </c>
      <c r="I31" s="7" t="str">
        <f t="shared" si="6"/>
        <v/>
      </c>
      <c r="J31" s="9" t="str">
        <f>IF(OR($I31="",'09_CF_원금'!$B$108=0),"",$I31/'09_CF_원금'!$B$108)</f>
        <v/>
      </c>
      <c r="K31" s="8" t="str">
        <f t="shared" si="7"/>
        <v/>
      </c>
      <c r="L31" s="8" t="str">
        <f t="shared" si="8"/>
        <v/>
      </c>
      <c r="M31" s="7" t="str">
        <f t="shared" si="9"/>
        <v/>
      </c>
      <c r="N31" s="7" t="str">
        <f t="shared" si="10"/>
        <v/>
      </c>
      <c r="O31" s="7" t="str">
        <f t="shared" si="11"/>
        <v/>
      </c>
      <c r="P31" s="10"/>
      <c r="Q31" s="11"/>
      <c r="R31" s="11"/>
      <c r="S31" s="12"/>
      <c r="T31" s="12"/>
      <c r="U31" s="12"/>
      <c r="V31" s="12"/>
      <c r="W31" s="18" t="str">
        <f t="shared" si="17"/>
        <v/>
      </c>
      <c r="X31" s="7" t="str">
        <f t="shared" si="18"/>
        <v/>
      </c>
      <c r="Y31" s="7" t="str">
        <f t="shared" si="19"/>
        <v/>
      </c>
      <c r="Z31" s="7" t="str">
        <f t="shared" si="12"/>
        <v/>
      </c>
      <c r="AA31" s="14">
        <f>SUMIFS('09_CF_원금'!$E$6:$E$92,'09_CF_원금'!$D$6:$D$92,"국장",'09_CF_원금'!$A$6:$A$92,"&lt;="&amp;$A31)-SUMIFS('09_CF_원금'!$E$6:$E$92,'09_CF_원금'!$C$6:$C$92,"국장",'09_CF_원금'!$A$6:$A$92,"&lt;="&amp;$A31)</f>
        <v>197000000</v>
      </c>
      <c r="AB31" s="14">
        <f>SUMIFS('09_CF_원금'!$E$6:$E$92,'09_CF_원금'!$D$6:$D$92,"미장",'09_CF_원금'!$A$6:$A$92,"&lt;="&amp;$A31)-SUMIFS('09_CF_원금'!$E$6:$E$92,'09_CF_원금'!$C$6:$C$92,"미장",'09_CF_원금'!$A$6:$A$92,"&lt;="&amp;$A31)</f>
        <v>110000000</v>
      </c>
      <c r="AC31" s="14">
        <f>SUMIFS('09_CF_원금'!$E$6:$E$92,'09_CF_원금'!$D$6:$D$92,"ISA",'09_CF_원금'!$A$6:$A$92,"&lt;="&amp;$A31)-SUMIFS('09_CF_원금'!$E$6:$E$92,'09_CF_원금'!$C$6:$C$92,"ISA",'09_CF_원금'!$A$6:$A$92,"&lt;="&amp;$A31)</f>
        <v>40000000</v>
      </c>
      <c r="AD31" s="14">
        <f>IF($A31="","",$AA31+$AB31+$AC31+SUMIFS('09_CF_원금'!$E$6:$E$92,'09_CF_원금'!$D$6:$D$92,"중국",'09_CF_원금'!$A$6:$A$92,"&lt;="&amp;$A31)-SUMIFS('09_CF_원금'!$E$6:$E$92,'09_CF_원금'!$C$6:$C$92,"중국",'09_CF_원금'!$A$6:$A$92,"&lt;="&amp;$A31))</f>
        <v>347000000</v>
      </c>
      <c r="AE31" s="14" t="str">
        <f t="shared" si="13"/>
        <v/>
      </c>
      <c r="AF31" s="15"/>
      <c r="AG31" s="14"/>
      <c r="AH31" s="14"/>
      <c r="AI31" s="14"/>
      <c r="AJ31" s="14"/>
      <c r="AK31" s="16">
        <f t="shared" si="14"/>
        <v>202601</v>
      </c>
      <c r="AL31" s="17" t="str">
        <f t="shared" si="15"/>
        <v/>
      </c>
    </row>
    <row r="32" ht="15.75" customHeight="1">
      <c r="A32" s="6">
        <v>46045.0</v>
      </c>
      <c r="B32" s="7">
        <f t="shared" si="1"/>
        <v>510270150</v>
      </c>
      <c r="C32" s="7" t="str">
        <f t="shared" si="16"/>
        <v/>
      </c>
      <c r="D32" s="7">
        <f t="shared" si="2"/>
        <v>163270150</v>
      </c>
      <c r="E32" s="8">
        <f t="shared" si="3"/>
        <v>-0.05511070078</v>
      </c>
      <c r="F32" s="8" t="str">
        <f>IF(OR($Y32="",$Y32=0,$G32="",$G32=0),"",($S32-$G32*'03_포지션'!$B$13)/$Y32)</f>
        <v/>
      </c>
      <c r="G32" s="7" t="str">
        <f t="shared" si="4"/>
        <v/>
      </c>
      <c r="H32" s="7" t="str">
        <f t="shared" si="5"/>
        <v/>
      </c>
      <c r="I32" s="7" t="str">
        <f t="shared" si="6"/>
        <v/>
      </c>
      <c r="J32" s="9" t="str">
        <f>IF(OR($I32="",'09_CF_원금'!$B$108=0),"",$I32/'09_CF_원금'!$B$108)</f>
        <v/>
      </c>
      <c r="K32" s="8" t="str">
        <f t="shared" si="7"/>
        <v/>
      </c>
      <c r="L32" s="8" t="str">
        <f t="shared" si="8"/>
        <v/>
      </c>
      <c r="M32" s="7">
        <f t="shared" si="9"/>
        <v>118758170</v>
      </c>
      <c r="N32" s="7">
        <f t="shared" si="10"/>
        <v>35414248</v>
      </c>
      <c r="O32" s="7">
        <f t="shared" si="11"/>
        <v>9097732</v>
      </c>
      <c r="P32" s="10"/>
      <c r="Q32" s="11"/>
      <c r="R32" s="11"/>
      <c r="S32" s="12"/>
      <c r="T32" s="12"/>
      <c r="U32" s="12"/>
      <c r="V32" s="12"/>
      <c r="W32" s="18" t="str">
        <f t="shared" si="17"/>
        <v/>
      </c>
      <c r="X32" s="7" t="str">
        <f t="shared" si="18"/>
        <v/>
      </c>
      <c r="Y32" s="7" t="str">
        <f t="shared" si="19"/>
        <v/>
      </c>
      <c r="Z32" s="7" t="str">
        <f t="shared" si="12"/>
        <v/>
      </c>
      <c r="AA32" s="14">
        <f>SUMIFS('09_CF_원금'!$E$6:$E$92,'09_CF_원금'!$D$6:$D$92,"국장",'09_CF_원금'!$A$6:$A$92,"&lt;="&amp;$A32)-SUMIFS('09_CF_원금'!$E$6:$E$92,'09_CF_원금'!$C$6:$C$92,"국장",'09_CF_원금'!$A$6:$A$92,"&lt;="&amp;$A32)</f>
        <v>197000000</v>
      </c>
      <c r="AB32" s="14">
        <f>SUMIFS('09_CF_원금'!$E$6:$E$92,'09_CF_원금'!$D$6:$D$92,"미장",'09_CF_원금'!$A$6:$A$92,"&lt;="&amp;$A32)-SUMIFS('09_CF_원금'!$E$6:$E$92,'09_CF_원금'!$C$6:$C$92,"미장",'09_CF_원금'!$A$6:$A$92,"&lt;="&amp;$A32)</f>
        <v>110000000</v>
      </c>
      <c r="AC32" s="14">
        <f>SUMIFS('09_CF_원금'!$E$6:$E$92,'09_CF_원금'!$D$6:$D$92,"ISA",'09_CF_원금'!$A$6:$A$92,"&lt;="&amp;$A32)-SUMIFS('09_CF_원금'!$E$6:$E$92,'09_CF_원금'!$C$6:$C$92,"ISA",'09_CF_원금'!$A$6:$A$92,"&lt;="&amp;$A32)</f>
        <v>40000000</v>
      </c>
      <c r="AD32" s="14">
        <f>IF($A32="","",$AA32+$AB32+$AC32+SUMIFS('09_CF_원금'!$E$6:$E$92,'09_CF_원금'!$D$6:$D$92,"중국",'09_CF_원금'!$A$6:$A$92,"&lt;="&amp;$A32)-SUMIFS('09_CF_원금'!$E$6:$E$92,'09_CF_원금'!$C$6:$C$92,"중국",'09_CF_원금'!$A$6:$A$92,"&lt;="&amp;$A32))</f>
        <v>347000000</v>
      </c>
      <c r="AE32" s="14">
        <f t="shared" si="13"/>
        <v>540031674</v>
      </c>
      <c r="AF32" s="15">
        <v>25738.25</v>
      </c>
      <c r="AG32" s="14">
        <v>1.6327015E8</v>
      </c>
      <c r="AH32" s="14">
        <v>1.1875817E8</v>
      </c>
      <c r="AI32" s="14">
        <v>3.5414248E7</v>
      </c>
      <c r="AJ32" s="14">
        <v>9097732.0</v>
      </c>
      <c r="AK32" s="16">
        <f t="shared" si="14"/>
        <v>202601</v>
      </c>
      <c r="AL32" s="17" t="str">
        <f t="shared" si="15"/>
        <v/>
      </c>
    </row>
    <row r="33" ht="15.75" customHeight="1">
      <c r="A33" s="6">
        <v>46048.0</v>
      </c>
      <c r="B33" s="7" t="str">
        <f t="shared" si="1"/>
        <v/>
      </c>
      <c r="C33" s="7" t="str">
        <f t="shared" si="16"/>
        <v/>
      </c>
      <c r="D33" s="7" t="str">
        <f t="shared" si="2"/>
        <v/>
      </c>
      <c r="E33" s="8" t="str">
        <f t="shared" si="3"/>
        <v/>
      </c>
      <c r="F33" s="8" t="str">
        <f>IF(OR($Y33="",$Y33=0,$G33="",$G33=0),"",($S33-$G33*'03_포지션'!$B$13)/$Y33)</f>
        <v/>
      </c>
      <c r="G33" s="7" t="str">
        <f t="shared" si="4"/>
        <v/>
      </c>
      <c r="H33" s="7" t="str">
        <f t="shared" si="5"/>
        <v/>
      </c>
      <c r="I33" s="7" t="str">
        <f t="shared" si="6"/>
        <v/>
      </c>
      <c r="J33" s="9" t="str">
        <f>IF(OR($I33="",'09_CF_원금'!$B$108=0),"",$I33/'09_CF_원금'!$B$108)</f>
        <v/>
      </c>
      <c r="K33" s="8" t="str">
        <f t="shared" si="7"/>
        <v/>
      </c>
      <c r="L33" s="8" t="str">
        <f t="shared" si="8"/>
        <v/>
      </c>
      <c r="M33" s="7" t="str">
        <f t="shared" si="9"/>
        <v/>
      </c>
      <c r="N33" s="7" t="str">
        <f t="shared" si="10"/>
        <v/>
      </c>
      <c r="O33" s="7" t="str">
        <f t="shared" si="11"/>
        <v/>
      </c>
      <c r="P33" s="10"/>
      <c r="Q33" s="11"/>
      <c r="R33" s="11"/>
      <c r="S33" s="12"/>
      <c r="T33" s="12"/>
      <c r="U33" s="12"/>
      <c r="V33" s="12"/>
      <c r="W33" s="18" t="str">
        <f t="shared" si="17"/>
        <v/>
      </c>
      <c r="X33" s="7" t="str">
        <f t="shared" si="18"/>
        <v/>
      </c>
      <c r="Y33" s="7" t="str">
        <f t="shared" si="19"/>
        <v/>
      </c>
      <c r="Z33" s="7" t="str">
        <f t="shared" si="12"/>
        <v/>
      </c>
      <c r="AA33" s="14">
        <f>SUMIFS('09_CF_원금'!$E$6:$E$92,'09_CF_원금'!$D$6:$D$92,"국장",'09_CF_원금'!$A$6:$A$92,"&lt;="&amp;$A33)-SUMIFS('09_CF_원금'!$E$6:$E$92,'09_CF_원금'!$C$6:$C$92,"국장",'09_CF_원금'!$A$6:$A$92,"&lt;="&amp;$A33)</f>
        <v>197000000</v>
      </c>
      <c r="AB33" s="14">
        <f>SUMIFS('09_CF_원금'!$E$6:$E$92,'09_CF_원금'!$D$6:$D$92,"미장",'09_CF_원금'!$A$6:$A$92,"&lt;="&amp;$A33)-SUMIFS('09_CF_원금'!$E$6:$E$92,'09_CF_원금'!$C$6:$C$92,"미장",'09_CF_원금'!$A$6:$A$92,"&lt;="&amp;$A33)</f>
        <v>110000000</v>
      </c>
      <c r="AC33" s="14">
        <f>SUMIFS('09_CF_원금'!$E$6:$E$92,'09_CF_원금'!$D$6:$D$92,"ISA",'09_CF_원금'!$A$6:$A$92,"&lt;="&amp;$A33)-SUMIFS('09_CF_원금'!$E$6:$E$92,'09_CF_원금'!$C$6:$C$92,"ISA",'09_CF_원금'!$A$6:$A$92,"&lt;="&amp;$A33)</f>
        <v>40000000</v>
      </c>
      <c r="AD33" s="14">
        <f>IF($A33="","",$AA33+$AB33+$AC33+SUMIFS('09_CF_원금'!$E$6:$E$92,'09_CF_원금'!$D$6:$D$92,"중국",'09_CF_원금'!$A$6:$A$92,"&lt;="&amp;$A33)-SUMIFS('09_CF_원금'!$E$6:$E$92,'09_CF_원금'!$C$6:$C$92,"중국",'09_CF_원금'!$A$6:$A$92,"&lt;="&amp;$A33))</f>
        <v>347000000</v>
      </c>
      <c r="AE33" s="14" t="str">
        <f t="shared" si="13"/>
        <v/>
      </c>
      <c r="AF33" s="15"/>
      <c r="AG33" s="14"/>
      <c r="AH33" s="14"/>
      <c r="AI33" s="14"/>
      <c r="AJ33" s="14"/>
      <c r="AK33" s="16">
        <f t="shared" si="14"/>
        <v>202601</v>
      </c>
      <c r="AL33" s="17" t="str">
        <f t="shared" si="15"/>
        <v/>
      </c>
    </row>
    <row r="34" ht="15.75" customHeight="1">
      <c r="A34" s="6">
        <v>46049.0</v>
      </c>
      <c r="B34" s="7" t="str">
        <f t="shared" si="1"/>
        <v/>
      </c>
      <c r="C34" s="7" t="str">
        <f t="shared" si="16"/>
        <v/>
      </c>
      <c r="D34" s="7" t="str">
        <f t="shared" si="2"/>
        <v/>
      </c>
      <c r="E34" s="8" t="str">
        <f t="shared" si="3"/>
        <v/>
      </c>
      <c r="F34" s="8" t="str">
        <f>IF(OR($Y34="",$Y34=0,$G34="",$G34=0),"",($S34-$G34*'03_포지션'!$B$13)/$Y34)</f>
        <v/>
      </c>
      <c r="G34" s="7" t="str">
        <f t="shared" si="4"/>
        <v/>
      </c>
      <c r="H34" s="7" t="str">
        <f t="shared" si="5"/>
        <v/>
      </c>
      <c r="I34" s="7" t="str">
        <f t="shared" si="6"/>
        <v/>
      </c>
      <c r="J34" s="9" t="str">
        <f>IF(OR($I34="",'09_CF_원금'!$B$108=0),"",$I34/'09_CF_원금'!$B$108)</f>
        <v/>
      </c>
      <c r="K34" s="8" t="str">
        <f t="shared" si="7"/>
        <v/>
      </c>
      <c r="L34" s="8" t="str">
        <f t="shared" si="8"/>
        <v/>
      </c>
      <c r="M34" s="7" t="str">
        <f t="shared" si="9"/>
        <v/>
      </c>
      <c r="N34" s="7" t="str">
        <f t="shared" si="10"/>
        <v/>
      </c>
      <c r="O34" s="7" t="str">
        <f t="shared" si="11"/>
        <v/>
      </c>
      <c r="P34" s="10"/>
      <c r="Q34" s="11"/>
      <c r="R34" s="11"/>
      <c r="S34" s="12"/>
      <c r="T34" s="12"/>
      <c r="U34" s="12"/>
      <c r="V34" s="12"/>
      <c r="W34" s="18" t="str">
        <f t="shared" si="17"/>
        <v/>
      </c>
      <c r="X34" s="7" t="str">
        <f t="shared" si="18"/>
        <v/>
      </c>
      <c r="Y34" s="7" t="str">
        <f t="shared" si="19"/>
        <v/>
      </c>
      <c r="Z34" s="7" t="str">
        <f t="shared" si="12"/>
        <v/>
      </c>
      <c r="AA34" s="14">
        <f>SUMIFS('09_CF_원금'!$E$6:$E$92,'09_CF_원금'!$D$6:$D$92,"국장",'09_CF_원금'!$A$6:$A$92,"&lt;="&amp;$A34)-SUMIFS('09_CF_원금'!$E$6:$E$92,'09_CF_원금'!$C$6:$C$92,"국장",'09_CF_원금'!$A$6:$A$92,"&lt;="&amp;$A34)</f>
        <v>197000000</v>
      </c>
      <c r="AB34" s="14">
        <f>SUMIFS('09_CF_원금'!$E$6:$E$92,'09_CF_원금'!$D$6:$D$92,"미장",'09_CF_원금'!$A$6:$A$92,"&lt;="&amp;$A34)-SUMIFS('09_CF_원금'!$E$6:$E$92,'09_CF_원금'!$C$6:$C$92,"미장",'09_CF_원금'!$A$6:$A$92,"&lt;="&amp;$A34)</f>
        <v>110000000</v>
      </c>
      <c r="AC34" s="14">
        <f>SUMIFS('09_CF_원금'!$E$6:$E$92,'09_CF_원금'!$D$6:$D$92,"ISA",'09_CF_원금'!$A$6:$A$92,"&lt;="&amp;$A34)-SUMIFS('09_CF_원금'!$E$6:$E$92,'09_CF_원금'!$C$6:$C$92,"ISA",'09_CF_원금'!$A$6:$A$92,"&lt;="&amp;$A34)</f>
        <v>40000000</v>
      </c>
      <c r="AD34" s="14">
        <f>IF($A34="","",$AA34+$AB34+$AC34+SUMIFS('09_CF_원금'!$E$6:$E$92,'09_CF_원금'!$D$6:$D$92,"중국",'09_CF_원금'!$A$6:$A$92,"&lt;="&amp;$A34)-SUMIFS('09_CF_원금'!$E$6:$E$92,'09_CF_원금'!$C$6:$C$92,"중국",'09_CF_원금'!$A$6:$A$92,"&lt;="&amp;$A34))</f>
        <v>347000000</v>
      </c>
      <c r="AE34" s="14" t="str">
        <f t="shared" si="13"/>
        <v/>
      </c>
      <c r="AF34" s="15"/>
      <c r="AG34" s="14"/>
      <c r="AH34" s="14"/>
      <c r="AI34" s="14"/>
      <c r="AJ34" s="14"/>
      <c r="AK34" s="16">
        <f t="shared" si="14"/>
        <v>202601</v>
      </c>
      <c r="AL34" s="17" t="str">
        <f t="shared" si="15"/>
        <v/>
      </c>
    </row>
    <row r="35" ht="15.75" customHeight="1">
      <c r="A35" s="6">
        <v>46050.0</v>
      </c>
      <c r="B35" s="7">
        <f t="shared" si="1"/>
        <v>594772002</v>
      </c>
      <c r="C35" s="7" t="str">
        <f t="shared" si="16"/>
        <v/>
      </c>
      <c r="D35" s="7">
        <f t="shared" si="2"/>
        <v>247772002</v>
      </c>
      <c r="E35" s="8">
        <f t="shared" si="3"/>
        <v>0</v>
      </c>
      <c r="F35" s="8" t="str">
        <f>IF(OR($Y35="",$Y35=0,$G35="",$G35=0),"",($S35-$G35*'03_포지션'!$B$13)/$Y35)</f>
        <v/>
      </c>
      <c r="G35" s="7" t="str">
        <f t="shared" si="4"/>
        <v/>
      </c>
      <c r="H35" s="7" t="str">
        <f t="shared" si="5"/>
        <v/>
      </c>
      <c r="I35" s="7" t="str">
        <f t="shared" si="6"/>
        <v/>
      </c>
      <c r="J35" s="9" t="str">
        <f>IF(OR($I35="",'09_CF_원금'!$B$108=0),"",$I35/'09_CF_원금'!$B$108)</f>
        <v/>
      </c>
      <c r="K35" s="8" t="str">
        <f t="shared" si="7"/>
        <v/>
      </c>
      <c r="L35" s="8" t="str">
        <f t="shared" si="8"/>
        <v/>
      </c>
      <c r="M35" s="7">
        <f t="shared" si="9"/>
        <v>195475821</v>
      </c>
      <c r="N35" s="7">
        <f t="shared" si="10"/>
        <v>41744044</v>
      </c>
      <c r="O35" s="7">
        <f t="shared" si="11"/>
        <v>10552137</v>
      </c>
      <c r="P35" s="10"/>
      <c r="Q35" s="11"/>
      <c r="R35" s="11"/>
      <c r="S35" s="12"/>
      <c r="T35" s="12"/>
      <c r="U35" s="12"/>
      <c r="V35" s="12"/>
      <c r="W35" s="18" t="str">
        <f t="shared" si="17"/>
        <v/>
      </c>
      <c r="X35" s="7" t="str">
        <f t="shared" si="18"/>
        <v/>
      </c>
      <c r="Y35" s="7" t="str">
        <f t="shared" si="19"/>
        <v/>
      </c>
      <c r="Z35" s="7" t="str">
        <f t="shared" si="12"/>
        <v/>
      </c>
      <c r="AA35" s="14">
        <f>SUMIFS('09_CF_원금'!$E$6:$E$92,'09_CF_원금'!$D$6:$D$92,"국장",'09_CF_원금'!$A$6:$A$92,"&lt;="&amp;$A35)-SUMIFS('09_CF_원금'!$E$6:$E$92,'09_CF_원금'!$C$6:$C$92,"국장",'09_CF_원금'!$A$6:$A$92,"&lt;="&amp;$A35)</f>
        <v>197000000</v>
      </c>
      <c r="AB35" s="14">
        <f>SUMIFS('09_CF_원금'!$E$6:$E$92,'09_CF_원금'!$D$6:$D$92,"미장",'09_CF_원금'!$A$6:$A$92,"&lt;="&amp;$A35)-SUMIFS('09_CF_원금'!$E$6:$E$92,'09_CF_원금'!$C$6:$C$92,"미장",'09_CF_원금'!$A$6:$A$92,"&lt;="&amp;$A35)</f>
        <v>110000000</v>
      </c>
      <c r="AC35" s="14">
        <f>SUMIFS('09_CF_원금'!$E$6:$E$92,'09_CF_원금'!$D$6:$D$92,"ISA",'09_CF_원금'!$A$6:$A$92,"&lt;="&amp;$A35)-SUMIFS('09_CF_원금'!$E$6:$E$92,'09_CF_원금'!$C$6:$C$92,"ISA",'09_CF_원금'!$A$6:$A$92,"&lt;="&amp;$A35)</f>
        <v>40000000</v>
      </c>
      <c r="AD35" s="14">
        <f>IF($A35="","",$AA35+$AB35+$AC35+SUMIFS('09_CF_원금'!$E$6:$E$92,'09_CF_원금'!$D$6:$D$92,"중국",'09_CF_원금'!$A$6:$A$92,"&lt;="&amp;$A35)-SUMIFS('09_CF_원금'!$E$6:$E$92,'09_CF_원금'!$C$6:$C$92,"중국",'09_CF_원금'!$A$6:$A$92,"&lt;="&amp;$A35))</f>
        <v>347000000</v>
      </c>
      <c r="AE35" s="14">
        <f t="shared" si="13"/>
        <v>594772002</v>
      </c>
      <c r="AF35" s="15">
        <v>26239.0</v>
      </c>
      <c r="AG35" s="14">
        <v>2.47772002E8</v>
      </c>
      <c r="AH35" s="14">
        <v>1.95475821E8</v>
      </c>
      <c r="AI35" s="14">
        <v>4.1744044E7</v>
      </c>
      <c r="AJ35" s="14">
        <v>1.0552137E7</v>
      </c>
      <c r="AK35" s="16">
        <f t="shared" si="14"/>
        <v>202601</v>
      </c>
      <c r="AL35" s="17" t="str">
        <f t="shared" si="15"/>
        <v/>
      </c>
    </row>
    <row r="36" ht="15.75" customHeight="1">
      <c r="A36" s="6">
        <v>46051.0</v>
      </c>
      <c r="B36" s="7" t="str">
        <f t="shared" si="1"/>
        <v/>
      </c>
      <c r="C36" s="7" t="str">
        <f t="shared" si="16"/>
        <v/>
      </c>
      <c r="D36" s="7" t="str">
        <f t="shared" si="2"/>
        <v/>
      </c>
      <c r="E36" s="8" t="str">
        <f t="shared" si="3"/>
        <v/>
      </c>
      <c r="F36" s="8" t="str">
        <f>IF(OR($Y36="",$Y36=0,$G36="",$G36=0),"",($S36-$G36*'03_포지션'!$B$13)/$Y36)</f>
        <v/>
      </c>
      <c r="G36" s="7" t="str">
        <f t="shared" si="4"/>
        <v/>
      </c>
      <c r="H36" s="7" t="str">
        <f t="shared" si="5"/>
        <v/>
      </c>
      <c r="I36" s="7" t="str">
        <f t="shared" si="6"/>
        <v/>
      </c>
      <c r="J36" s="9" t="str">
        <f>IF(OR($I36="",'09_CF_원금'!$B$108=0),"",$I36/'09_CF_원금'!$B$108)</f>
        <v/>
      </c>
      <c r="K36" s="8" t="str">
        <f t="shared" si="7"/>
        <v/>
      </c>
      <c r="L36" s="8" t="str">
        <f t="shared" si="8"/>
        <v/>
      </c>
      <c r="M36" s="7" t="str">
        <f t="shared" si="9"/>
        <v/>
      </c>
      <c r="N36" s="7" t="str">
        <f t="shared" si="10"/>
        <v/>
      </c>
      <c r="O36" s="7" t="str">
        <f t="shared" si="11"/>
        <v/>
      </c>
      <c r="P36" s="10"/>
      <c r="Q36" s="11"/>
      <c r="R36" s="11"/>
      <c r="S36" s="12"/>
      <c r="T36" s="12"/>
      <c r="U36" s="12"/>
      <c r="V36" s="12"/>
      <c r="W36" s="18" t="str">
        <f t="shared" si="17"/>
        <v/>
      </c>
      <c r="X36" s="7" t="str">
        <f t="shared" si="18"/>
        <v/>
      </c>
      <c r="Y36" s="7" t="str">
        <f t="shared" si="19"/>
        <v/>
      </c>
      <c r="Z36" s="7" t="str">
        <f t="shared" si="12"/>
        <v/>
      </c>
      <c r="AA36" s="14">
        <f>SUMIFS('09_CF_원금'!$E$6:$E$92,'09_CF_원금'!$D$6:$D$92,"국장",'09_CF_원금'!$A$6:$A$92,"&lt;="&amp;$A36)-SUMIFS('09_CF_원금'!$E$6:$E$92,'09_CF_원금'!$C$6:$C$92,"국장",'09_CF_원금'!$A$6:$A$92,"&lt;="&amp;$A36)</f>
        <v>197000000</v>
      </c>
      <c r="AB36" s="14">
        <f>SUMIFS('09_CF_원금'!$E$6:$E$92,'09_CF_원금'!$D$6:$D$92,"미장",'09_CF_원금'!$A$6:$A$92,"&lt;="&amp;$A36)-SUMIFS('09_CF_원금'!$E$6:$E$92,'09_CF_원금'!$C$6:$C$92,"미장",'09_CF_원금'!$A$6:$A$92,"&lt;="&amp;$A36)</f>
        <v>110000000</v>
      </c>
      <c r="AC36" s="14">
        <f>SUMIFS('09_CF_원금'!$E$6:$E$92,'09_CF_원금'!$D$6:$D$92,"ISA",'09_CF_원금'!$A$6:$A$92,"&lt;="&amp;$A36)-SUMIFS('09_CF_원금'!$E$6:$E$92,'09_CF_원금'!$C$6:$C$92,"ISA",'09_CF_원금'!$A$6:$A$92,"&lt;="&amp;$A36)</f>
        <v>40000000</v>
      </c>
      <c r="AD36" s="14">
        <f>IF($A36="","",$AA36+$AB36+$AC36+SUMIFS('09_CF_원금'!$E$6:$E$92,'09_CF_원금'!$D$6:$D$92,"중국",'09_CF_원금'!$A$6:$A$92,"&lt;="&amp;$A36)-SUMIFS('09_CF_원금'!$E$6:$E$92,'09_CF_원금'!$C$6:$C$92,"중국",'09_CF_원금'!$A$6:$A$92,"&lt;="&amp;$A36))</f>
        <v>347000000</v>
      </c>
      <c r="AE36" s="14" t="str">
        <f t="shared" si="13"/>
        <v/>
      </c>
      <c r="AF36" s="15"/>
      <c r="AG36" s="14"/>
      <c r="AH36" s="14"/>
      <c r="AI36" s="14"/>
      <c r="AJ36" s="14"/>
      <c r="AK36" s="16">
        <f t="shared" si="14"/>
        <v>202601</v>
      </c>
      <c r="AL36" s="17" t="str">
        <f t="shared" si="15"/>
        <v/>
      </c>
    </row>
    <row r="37" ht="15.75" customHeight="1">
      <c r="A37" s="6">
        <v>46052.0</v>
      </c>
      <c r="B37" s="7">
        <f t="shared" si="1"/>
        <v>557382117</v>
      </c>
      <c r="C37" s="7" t="str">
        <f t="shared" si="16"/>
        <v/>
      </c>
      <c r="D37" s="7">
        <f t="shared" si="2"/>
        <v>210382117</v>
      </c>
      <c r="E37" s="8">
        <f t="shared" si="3"/>
        <v>-0.0628642318</v>
      </c>
      <c r="F37" s="8" t="str">
        <f>IF(OR($Y37="",$Y37=0,$G37="",$G37=0),"",($S37-$G37*'03_포지션'!$B$13)/$Y37)</f>
        <v/>
      </c>
      <c r="G37" s="7" t="str">
        <f t="shared" si="4"/>
        <v/>
      </c>
      <c r="H37" s="7" t="str">
        <f t="shared" si="5"/>
        <v/>
      </c>
      <c r="I37" s="7" t="str">
        <f t="shared" si="6"/>
        <v/>
      </c>
      <c r="J37" s="9" t="str">
        <f>IF(OR($I37="",'09_CF_원금'!$B$108=0),"",$I37/'09_CF_원금'!$B$108)</f>
        <v/>
      </c>
      <c r="K37" s="8" t="str">
        <f t="shared" si="7"/>
        <v/>
      </c>
      <c r="L37" s="8" t="str">
        <f t="shared" si="8"/>
        <v/>
      </c>
      <c r="M37" s="7">
        <f t="shared" si="9"/>
        <v>169855657</v>
      </c>
      <c r="N37" s="7">
        <f t="shared" si="10"/>
        <v>30139051</v>
      </c>
      <c r="O37" s="7">
        <f t="shared" si="11"/>
        <v>10387409</v>
      </c>
      <c r="P37" s="10"/>
      <c r="Q37" s="11"/>
      <c r="R37" s="11" t="s">
        <v>239</v>
      </c>
      <c r="S37" s="12"/>
      <c r="T37" s="12"/>
      <c r="U37" s="12"/>
      <c r="V37" s="12"/>
      <c r="W37" s="18" t="str">
        <f t="shared" si="17"/>
        <v/>
      </c>
      <c r="X37" s="7" t="str">
        <f t="shared" si="18"/>
        <v/>
      </c>
      <c r="Y37" s="7" t="str">
        <f t="shared" si="19"/>
        <v/>
      </c>
      <c r="Z37" s="7" t="str">
        <f t="shared" si="12"/>
        <v/>
      </c>
      <c r="AA37" s="14">
        <f>SUMIFS('09_CF_원금'!$E$6:$E$92,'09_CF_원금'!$D$6:$D$92,"국장",'09_CF_원금'!$A$6:$A$92,"&lt;="&amp;$A37)-SUMIFS('09_CF_원금'!$E$6:$E$92,'09_CF_원금'!$C$6:$C$92,"국장",'09_CF_원금'!$A$6:$A$92,"&lt;="&amp;$A37)</f>
        <v>197000000</v>
      </c>
      <c r="AB37" s="14">
        <f>SUMIFS('09_CF_원금'!$E$6:$E$92,'09_CF_원금'!$D$6:$D$92,"미장",'09_CF_원금'!$A$6:$A$92,"&lt;="&amp;$A37)-SUMIFS('09_CF_원금'!$E$6:$E$92,'09_CF_원금'!$C$6:$C$92,"미장",'09_CF_원금'!$A$6:$A$92,"&lt;="&amp;$A37)</f>
        <v>110000000</v>
      </c>
      <c r="AC37" s="14">
        <f>SUMIFS('09_CF_원금'!$E$6:$E$92,'09_CF_원금'!$D$6:$D$92,"ISA",'09_CF_원금'!$A$6:$A$92,"&lt;="&amp;$A37)-SUMIFS('09_CF_원금'!$E$6:$E$92,'09_CF_원금'!$C$6:$C$92,"ISA",'09_CF_원금'!$A$6:$A$92,"&lt;="&amp;$A37)</f>
        <v>40000000</v>
      </c>
      <c r="AD37" s="14">
        <f>IF($A37="","",$AA37+$AB37+$AC37+SUMIFS('09_CF_원금'!$E$6:$E$92,'09_CF_원금'!$D$6:$D$92,"중국",'09_CF_원금'!$A$6:$A$92,"&lt;="&amp;$A37)-SUMIFS('09_CF_원금'!$E$6:$E$92,'09_CF_원금'!$C$6:$C$92,"중국",'09_CF_원금'!$A$6:$A$92,"&lt;="&amp;$A37))</f>
        <v>347000000</v>
      </c>
      <c r="AE37" s="14">
        <f t="shared" si="13"/>
        <v>594772002</v>
      </c>
      <c r="AF37" s="15">
        <v>26239.0</v>
      </c>
      <c r="AG37" s="14">
        <v>2.10382117E8</v>
      </c>
      <c r="AH37" s="14">
        <v>1.69855657E8</v>
      </c>
      <c r="AI37" s="14">
        <v>3.0139051E7</v>
      </c>
      <c r="AJ37" s="14">
        <v>1.0387409E7</v>
      </c>
      <c r="AK37" s="16">
        <f t="shared" si="14"/>
        <v>202601</v>
      </c>
      <c r="AL37" s="17" t="str">
        <f t="shared" si="15"/>
        <v/>
      </c>
    </row>
    <row r="38" ht="15.75" customHeight="1">
      <c r="A38" s="6">
        <v>46055.0</v>
      </c>
      <c r="B38" s="7" t="str">
        <f t="shared" si="1"/>
        <v/>
      </c>
      <c r="C38" s="7" t="str">
        <f t="shared" si="16"/>
        <v/>
      </c>
      <c r="D38" s="7" t="str">
        <f t="shared" si="2"/>
        <v/>
      </c>
      <c r="E38" s="8" t="str">
        <f t="shared" si="3"/>
        <v/>
      </c>
      <c r="F38" s="8" t="str">
        <f>IF(OR($Y38="",$Y38=0,$G38="",$G38=0),"",($S38-$G38*'03_포지션'!$B$13)/$Y38)</f>
        <v/>
      </c>
      <c r="G38" s="7" t="str">
        <f t="shared" si="4"/>
        <v/>
      </c>
      <c r="H38" s="7" t="str">
        <f t="shared" si="5"/>
        <v/>
      </c>
      <c r="I38" s="7" t="str">
        <f t="shared" si="6"/>
        <v/>
      </c>
      <c r="J38" s="9" t="str">
        <f>IF(OR($I38="",'09_CF_원금'!$B$108=0),"",$I38/'09_CF_원금'!$B$108)</f>
        <v/>
      </c>
      <c r="K38" s="8" t="str">
        <f t="shared" si="7"/>
        <v/>
      </c>
      <c r="L38" s="8" t="str">
        <f t="shared" si="8"/>
        <v/>
      </c>
      <c r="M38" s="7" t="str">
        <f t="shared" si="9"/>
        <v/>
      </c>
      <c r="N38" s="7" t="str">
        <f t="shared" si="10"/>
        <v/>
      </c>
      <c r="O38" s="7" t="str">
        <f t="shared" si="11"/>
        <v/>
      </c>
      <c r="P38" s="10"/>
      <c r="Q38" s="11"/>
      <c r="R38" s="11"/>
      <c r="S38" s="12"/>
      <c r="T38" s="12"/>
      <c r="U38" s="12"/>
      <c r="V38" s="12"/>
      <c r="W38" s="18" t="str">
        <f t="shared" si="17"/>
        <v/>
      </c>
      <c r="X38" s="7" t="str">
        <f t="shared" si="18"/>
        <v/>
      </c>
      <c r="Y38" s="7" t="str">
        <f t="shared" si="19"/>
        <v/>
      </c>
      <c r="Z38" s="7" t="str">
        <f t="shared" si="12"/>
        <v/>
      </c>
      <c r="AA38" s="14">
        <f>SUMIFS('09_CF_원금'!$E$6:$E$92,'09_CF_원금'!$D$6:$D$92,"국장",'09_CF_원금'!$A$6:$A$92,"&lt;="&amp;$A38)-SUMIFS('09_CF_원금'!$E$6:$E$92,'09_CF_원금'!$C$6:$C$92,"국장",'09_CF_원금'!$A$6:$A$92,"&lt;="&amp;$A38)</f>
        <v>198000000</v>
      </c>
      <c r="AB38" s="14">
        <f>SUMIFS('09_CF_원금'!$E$6:$E$92,'09_CF_원금'!$D$6:$D$92,"미장",'09_CF_원금'!$A$6:$A$92,"&lt;="&amp;$A38)-SUMIFS('09_CF_원금'!$E$6:$E$92,'09_CF_원금'!$C$6:$C$92,"미장",'09_CF_원금'!$A$6:$A$92,"&lt;="&amp;$A38)</f>
        <v>110000000</v>
      </c>
      <c r="AC38" s="14">
        <f>SUMIFS('09_CF_원금'!$E$6:$E$92,'09_CF_원금'!$D$6:$D$92,"ISA",'09_CF_원금'!$A$6:$A$92,"&lt;="&amp;$A38)-SUMIFS('09_CF_원금'!$E$6:$E$92,'09_CF_원금'!$C$6:$C$92,"ISA",'09_CF_원금'!$A$6:$A$92,"&lt;="&amp;$A38)</f>
        <v>40000000</v>
      </c>
      <c r="AD38" s="14">
        <f>IF($A38="","",$AA38+$AB38+$AC38+SUMIFS('09_CF_원금'!$E$6:$E$92,'09_CF_원금'!$D$6:$D$92,"중국",'09_CF_원금'!$A$6:$A$92,"&lt;="&amp;$A38)-SUMIFS('09_CF_원금'!$E$6:$E$92,'09_CF_원금'!$C$6:$C$92,"중국",'09_CF_원금'!$A$6:$A$92,"&lt;="&amp;$A38))</f>
        <v>348000000</v>
      </c>
      <c r="AE38" s="14" t="str">
        <f t="shared" si="13"/>
        <v/>
      </c>
      <c r="AF38" s="15"/>
      <c r="AG38" s="14"/>
      <c r="AH38" s="14"/>
      <c r="AI38" s="14"/>
      <c r="AJ38" s="14"/>
      <c r="AK38" s="16">
        <f t="shared" si="14"/>
        <v>202602</v>
      </c>
      <c r="AL38" s="17" t="str">
        <f t="shared" si="15"/>
        <v/>
      </c>
    </row>
    <row r="39" ht="15.75" customHeight="1">
      <c r="A39" s="6">
        <v>46056.0</v>
      </c>
      <c r="B39" s="7" t="str">
        <f t="shared" si="1"/>
        <v/>
      </c>
      <c r="C39" s="7" t="str">
        <f t="shared" si="16"/>
        <v/>
      </c>
      <c r="D39" s="7" t="str">
        <f t="shared" si="2"/>
        <v/>
      </c>
      <c r="E39" s="8" t="str">
        <f t="shared" si="3"/>
        <v/>
      </c>
      <c r="F39" s="8" t="str">
        <f>IF(OR($Y39="",$Y39=0,$G39="",$G39=0),"",($S39-$G39*'03_포지션'!$B$13)/$Y39)</f>
        <v/>
      </c>
      <c r="G39" s="7" t="str">
        <f t="shared" si="4"/>
        <v/>
      </c>
      <c r="H39" s="7" t="str">
        <f t="shared" si="5"/>
        <v/>
      </c>
      <c r="I39" s="7" t="str">
        <f t="shared" si="6"/>
        <v/>
      </c>
      <c r="J39" s="9" t="str">
        <f>IF(OR($I39="",'09_CF_원금'!$B$108=0),"",$I39/'09_CF_원금'!$B$108)</f>
        <v/>
      </c>
      <c r="K39" s="8" t="str">
        <f t="shared" si="7"/>
        <v/>
      </c>
      <c r="L39" s="8" t="str">
        <f t="shared" si="8"/>
        <v/>
      </c>
      <c r="M39" s="7" t="str">
        <f t="shared" si="9"/>
        <v/>
      </c>
      <c r="N39" s="7" t="str">
        <f t="shared" si="10"/>
        <v/>
      </c>
      <c r="O39" s="7" t="str">
        <f t="shared" si="11"/>
        <v/>
      </c>
      <c r="P39" s="10"/>
      <c r="Q39" s="11"/>
      <c r="R39" s="11"/>
      <c r="S39" s="12"/>
      <c r="T39" s="12"/>
      <c r="U39" s="12"/>
      <c r="V39" s="12"/>
      <c r="W39" s="18" t="str">
        <f t="shared" si="17"/>
        <v/>
      </c>
      <c r="X39" s="7" t="str">
        <f t="shared" si="18"/>
        <v/>
      </c>
      <c r="Y39" s="7" t="str">
        <f t="shared" si="19"/>
        <v/>
      </c>
      <c r="Z39" s="7" t="str">
        <f t="shared" si="12"/>
        <v/>
      </c>
      <c r="AA39" s="14">
        <f>SUMIFS('09_CF_원금'!$E$6:$E$92,'09_CF_원금'!$D$6:$D$92,"국장",'09_CF_원금'!$A$6:$A$92,"&lt;="&amp;$A39)-SUMIFS('09_CF_원금'!$E$6:$E$92,'09_CF_원금'!$C$6:$C$92,"국장",'09_CF_원금'!$A$6:$A$92,"&lt;="&amp;$A39)</f>
        <v>198000000</v>
      </c>
      <c r="AB39" s="14">
        <f>SUMIFS('09_CF_원금'!$E$6:$E$92,'09_CF_원금'!$D$6:$D$92,"미장",'09_CF_원금'!$A$6:$A$92,"&lt;="&amp;$A39)-SUMIFS('09_CF_원금'!$E$6:$E$92,'09_CF_원금'!$C$6:$C$92,"미장",'09_CF_원금'!$A$6:$A$92,"&lt;="&amp;$A39)</f>
        <v>110000000</v>
      </c>
      <c r="AC39" s="14">
        <f>SUMIFS('09_CF_원금'!$E$6:$E$92,'09_CF_원금'!$D$6:$D$92,"ISA",'09_CF_원금'!$A$6:$A$92,"&lt;="&amp;$A39)-SUMIFS('09_CF_원금'!$E$6:$E$92,'09_CF_원금'!$C$6:$C$92,"ISA",'09_CF_원금'!$A$6:$A$92,"&lt;="&amp;$A39)</f>
        <v>40000000</v>
      </c>
      <c r="AD39" s="14">
        <f>IF($A39="","",$AA39+$AB39+$AC39+SUMIFS('09_CF_원금'!$E$6:$E$92,'09_CF_원금'!$D$6:$D$92,"중국",'09_CF_원금'!$A$6:$A$92,"&lt;="&amp;$A39)-SUMIFS('09_CF_원금'!$E$6:$E$92,'09_CF_원금'!$C$6:$C$92,"중국",'09_CF_원금'!$A$6:$A$92,"&lt;="&amp;$A39))</f>
        <v>348000000</v>
      </c>
      <c r="AE39" s="14" t="str">
        <f t="shared" si="13"/>
        <v/>
      </c>
      <c r="AF39" s="15"/>
      <c r="AG39" s="14"/>
      <c r="AH39" s="14"/>
      <c r="AI39" s="14"/>
      <c r="AJ39" s="14"/>
      <c r="AK39" s="16">
        <f t="shared" si="14"/>
        <v>202602</v>
      </c>
      <c r="AL39" s="17" t="str">
        <f t="shared" si="15"/>
        <v/>
      </c>
    </row>
    <row r="40" ht="15.75" customHeight="1">
      <c r="A40" s="6">
        <v>46057.0</v>
      </c>
      <c r="B40" s="7" t="str">
        <f t="shared" si="1"/>
        <v/>
      </c>
      <c r="C40" s="7" t="str">
        <f t="shared" si="16"/>
        <v/>
      </c>
      <c r="D40" s="7" t="str">
        <f t="shared" si="2"/>
        <v/>
      </c>
      <c r="E40" s="8" t="str">
        <f t="shared" si="3"/>
        <v/>
      </c>
      <c r="F40" s="8" t="str">
        <f>IF(OR($Y40="",$Y40=0,$G40="",$G40=0),"",($S40-$G40*'03_포지션'!$B$13)/$Y40)</f>
        <v/>
      </c>
      <c r="G40" s="7" t="str">
        <f t="shared" si="4"/>
        <v/>
      </c>
      <c r="H40" s="7" t="str">
        <f t="shared" si="5"/>
        <v/>
      </c>
      <c r="I40" s="7" t="str">
        <f t="shared" si="6"/>
        <v/>
      </c>
      <c r="J40" s="9" t="str">
        <f>IF(OR($I40="",'09_CF_원금'!$B$108=0),"",$I40/'09_CF_원금'!$B$108)</f>
        <v/>
      </c>
      <c r="K40" s="8" t="str">
        <f t="shared" si="7"/>
        <v/>
      </c>
      <c r="L40" s="8" t="str">
        <f t="shared" si="8"/>
        <v/>
      </c>
      <c r="M40" s="7" t="str">
        <f t="shared" si="9"/>
        <v/>
      </c>
      <c r="N40" s="7" t="str">
        <f t="shared" si="10"/>
        <v/>
      </c>
      <c r="O40" s="7" t="str">
        <f t="shared" si="11"/>
        <v/>
      </c>
      <c r="P40" s="10"/>
      <c r="Q40" s="11"/>
      <c r="R40" s="11"/>
      <c r="S40" s="12"/>
      <c r="T40" s="12"/>
      <c r="U40" s="12"/>
      <c r="V40" s="12"/>
      <c r="W40" s="18" t="str">
        <f t="shared" si="17"/>
        <v/>
      </c>
      <c r="X40" s="7" t="str">
        <f t="shared" si="18"/>
        <v/>
      </c>
      <c r="Y40" s="7" t="str">
        <f t="shared" si="19"/>
        <v/>
      </c>
      <c r="Z40" s="7" t="str">
        <f t="shared" si="12"/>
        <v/>
      </c>
      <c r="AA40" s="14">
        <f>SUMIFS('09_CF_원금'!$E$6:$E$92,'09_CF_원금'!$D$6:$D$92,"국장",'09_CF_원금'!$A$6:$A$92,"&lt;="&amp;$A40)-SUMIFS('09_CF_원금'!$E$6:$E$92,'09_CF_원금'!$C$6:$C$92,"국장",'09_CF_원금'!$A$6:$A$92,"&lt;="&amp;$A40)</f>
        <v>198000000</v>
      </c>
      <c r="AB40" s="14">
        <f>SUMIFS('09_CF_원금'!$E$6:$E$92,'09_CF_원금'!$D$6:$D$92,"미장",'09_CF_원금'!$A$6:$A$92,"&lt;="&amp;$A40)-SUMIFS('09_CF_원금'!$E$6:$E$92,'09_CF_원금'!$C$6:$C$92,"미장",'09_CF_원금'!$A$6:$A$92,"&lt;="&amp;$A40)</f>
        <v>110000000</v>
      </c>
      <c r="AC40" s="14">
        <f>SUMIFS('09_CF_원금'!$E$6:$E$92,'09_CF_원금'!$D$6:$D$92,"ISA",'09_CF_원금'!$A$6:$A$92,"&lt;="&amp;$A40)-SUMIFS('09_CF_원금'!$E$6:$E$92,'09_CF_원금'!$C$6:$C$92,"ISA",'09_CF_원금'!$A$6:$A$92,"&lt;="&amp;$A40)</f>
        <v>40000000</v>
      </c>
      <c r="AD40" s="14">
        <f>IF($A40="","",$AA40+$AB40+$AC40+SUMIFS('09_CF_원금'!$E$6:$E$92,'09_CF_원금'!$D$6:$D$92,"중국",'09_CF_원금'!$A$6:$A$92,"&lt;="&amp;$A40)-SUMIFS('09_CF_원금'!$E$6:$E$92,'09_CF_원금'!$C$6:$C$92,"중국",'09_CF_원금'!$A$6:$A$92,"&lt;="&amp;$A40))</f>
        <v>348000000</v>
      </c>
      <c r="AE40" s="14" t="str">
        <f t="shared" si="13"/>
        <v/>
      </c>
      <c r="AF40" s="15"/>
      <c r="AG40" s="14"/>
      <c r="AH40" s="14"/>
      <c r="AI40" s="14"/>
      <c r="AJ40" s="14"/>
      <c r="AK40" s="16">
        <f t="shared" si="14"/>
        <v>202602</v>
      </c>
      <c r="AL40" s="17" t="str">
        <f t="shared" si="15"/>
        <v/>
      </c>
    </row>
    <row r="41" ht="15.75" customHeight="1">
      <c r="A41" s="6">
        <v>46058.0</v>
      </c>
      <c r="B41" s="7" t="str">
        <f t="shared" si="1"/>
        <v/>
      </c>
      <c r="C41" s="7" t="str">
        <f t="shared" si="16"/>
        <v/>
      </c>
      <c r="D41" s="7" t="str">
        <f t="shared" si="2"/>
        <v/>
      </c>
      <c r="E41" s="8" t="str">
        <f t="shared" si="3"/>
        <v/>
      </c>
      <c r="F41" s="8" t="str">
        <f>IF(OR($Y41="",$Y41=0,$G41="",$G41=0),"",($S41-$G41*'03_포지션'!$B$13)/$Y41)</f>
        <v/>
      </c>
      <c r="G41" s="7" t="str">
        <f t="shared" si="4"/>
        <v/>
      </c>
      <c r="H41" s="7" t="str">
        <f t="shared" si="5"/>
        <v/>
      </c>
      <c r="I41" s="7" t="str">
        <f t="shared" si="6"/>
        <v/>
      </c>
      <c r="J41" s="9" t="str">
        <f>IF(OR($I41="",'09_CF_원금'!$B$108=0),"",$I41/'09_CF_원금'!$B$108)</f>
        <v/>
      </c>
      <c r="K41" s="8" t="str">
        <f t="shared" si="7"/>
        <v/>
      </c>
      <c r="L41" s="8" t="str">
        <f t="shared" si="8"/>
        <v/>
      </c>
      <c r="M41" s="7" t="str">
        <f t="shared" si="9"/>
        <v/>
      </c>
      <c r="N41" s="7" t="str">
        <f t="shared" si="10"/>
        <v/>
      </c>
      <c r="O41" s="7" t="str">
        <f t="shared" si="11"/>
        <v/>
      </c>
      <c r="P41" s="10"/>
      <c r="Q41" s="11"/>
      <c r="R41" s="11"/>
      <c r="S41" s="12"/>
      <c r="T41" s="12"/>
      <c r="U41" s="12"/>
      <c r="V41" s="12"/>
      <c r="W41" s="18" t="str">
        <f t="shared" si="17"/>
        <v/>
      </c>
      <c r="X41" s="7" t="str">
        <f t="shared" si="18"/>
        <v/>
      </c>
      <c r="Y41" s="7" t="str">
        <f t="shared" si="19"/>
        <v/>
      </c>
      <c r="Z41" s="7" t="str">
        <f t="shared" si="12"/>
        <v/>
      </c>
      <c r="AA41" s="14">
        <f>SUMIFS('09_CF_원금'!$E$6:$E$92,'09_CF_원금'!$D$6:$D$92,"국장",'09_CF_원금'!$A$6:$A$92,"&lt;="&amp;$A41)-SUMIFS('09_CF_원금'!$E$6:$E$92,'09_CF_원금'!$C$6:$C$92,"국장",'09_CF_원금'!$A$6:$A$92,"&lt;="&amp;$A41)</f>
        <v>198000000</v>
      </c>
      <c r="AB41" s="14">
        <f>SUMIFS('09_CF_원금'!$E$6:$E$92,'09_CF_원금'!$D$6:$D$92,"미장",'09_CF_원금'!$A$6:$A$92,"&lt;="&amp;$A41)-SUMIFS('09_CF_원금'!$E$6:$E$92,'09_CF_원금'!$C$6:$C$92,"미장",'09_CF_원금'!$A$6:$A$92,"&lt;="&amp;$A41)</f>
        <v>110000000</v>
      </c>
      <c r="AC41" s="14">
        <f>SUMIFS('09_CF_원금'!$E$6:$E$92,'09_CF_원금'!$D$6:$D$92,"ISA",'09_CF_원금'!$A$6:$A$92,"&lt;="&amp;$A41)-SUMIFS('09_CF_원금'!$E$6:$E$92,'09_CF_원금'!$C$6:$C$92,"ISA",'09_CF_원금'!$A$6:$A$92,"&lt;="&amp;$A41)</f>
        <v>40000000</v>
      </c>
      <c r="AD41" s="14">
        <f>IF($A41="","",$AA41+$AB41+$AC41+SUMIFS('09_CF_원금'!$E$6:$E$92,'09_CF_원금'!$D$6:$D$92,"중국",'09_CF_원금'!$A$6:$A$92,"&lt;="&amp;$A41)-SUMIFS('09_CF_원금'!$E$6:$E$92,'09_CF_원금'!$C$6:$C$92,"중국",'09_CF_원금'!$A$6:$A$92,"&lt;="&amp;$A41))</f>
        <v>348000000</v>
      </c>
      <c r="AE41" s="14" t="str">
        <f t="shared" si="13"/>
        <v/>
      </c>
      <c r="AF41" s="15"/>
      <c r="AG41" s="14"/>
      <c r="AH41" s="14"/>
      <c r="AI41" s="14"/>
      <c r="AJ41" s="14"/>
      <c r="AK41" s="16">
        <f t="shared" si="14"/>
        <v>202602</v>
      </c>
      <c r="AL41" s="17" t="str">
        <f t="shared" si="15"/>
        <v/>
      </c>
    </row>
    <row r="42" ht="15.75" customHeight="1">
      <c r="A42" s="6">
        <v>46059.0</v>
      </c>
      <c r="B42" s="7">
        <f t="shared" si="1"/>
        <v>514028654</v>
      </c>
      <c r="C42" s="7" t="str">
        <f t="shared" si="16"/>
        <v/>
      </c>
      <c r="D42" s="7">
        <f t="shared" si="2"/>
        <v>166028654</v>
      </c>
      <c r="E42" s="8">
        <f t="shared" si="3"/>
        <v>-0.1357551259</v>
      </c>
      <c r="F42" s="8" t="str">
        <f>IF(OR($Y42="",$Y42=0,$G42="",$G42=0),"",($S42-$G42*'03_포지션'!$B$13)/$Y42)</f>
        <v/>
      </c>
      <c r="G42" s="7" t="str">
        <f t="shared" si="4"/>
        <v/>
      </c>
      <c r="H42" s="7" t="str">
        <f t="shared" si="5"/>
        <v/>
      </c>
      <c r="I42" s="7" t="str">
        <f t="shared" si="6"/>
        <v/>
      </c>
      <c r="J42" s="9" t="str">
        <f>IF(OR($I42="",'09_CF_원금'!$B$108=0),"",$I42/'09_CF_원금'!$B$108)</f>
        <v/>
      </c>
      <c r="K42" s="8" t="str">
        <f t="shared" si="7"/>
        <v/>
      </c>
      <c r="L42" s="8" t="str">
        <f t="shared" si="8"/>
        <v/>
      </c>
      <c r="M42" s="7">
        <f t="shared" si="9"/>
        <v>124694738</v>
      </c>
      <c r="N42" s="7">
        <f t="shared" si="10"/>
        <v>33660643</v>
      </c>
      <c r="O42" s="7">
        <f t="shared" si="11"/>
        <v>7673273</v>
      </c>
      <c r="P42" s="10"/>
      <c r="Q42" s="11"/>
      <c r="R42" s="11" t="s">
        <v>240</v>
      </c>
      <c r="S42" s="12"/>
      <c r="T42" s="12"/>
      <c r="U42" s="12"/>
      <c r="V42" s="12"/>
      <c r="W42" s="18" t="str">
        <f t="shared" si="17"/>
        <v/>
      </c>
      <c r="X42" s="7" t="str">
        <f t="shared" si="18"/>
        <v/>
      </c>
      <c r="Y42" s="7" t="str">
        <f t="shared" si="19"/>
        <v/>
      </c>
      <c r="Z42" s="7" t="str">
        <f t="shared" si="12"/>
        <v/>
      </c>
      <c r="AA42" s="14">
        <f>SUMIFS('09_CF_원금'!$E$6:$E$92,'09_CF_원금'!$D$6:$D$92,"국장",'09_CF_원금'!$A$6:$A$92,"&lt;="&amp;$A42)-SUMIFS('09_CF_원금'!$E$6:$E$92,'09_CF_원금'!$C$6:$C$92,"국장",'09_CF_원금'!$A$6:$A$92,"&lt;="&amp;$A42)</f>
        <v>198000000</v>
      </c>
      <c r="AB42" s="14">
        <f>SUMIFS('09_CF_원금'!$E$6:$E$92,'09_CF_원금'!$D$6:$D$92,"미장",'09_CF_원금'!$A$6:$A$92,"&lt;="&amp;$A42)-SUMIFS('09_CF_원금'!$E$6:$E$92,'09_CF_원금'!$C$6:$C$92,"미장",'09_CF_원금'!$A$6:$A$92,"&lt;="&amp;$A42)</f>
        <v>110000000</v>
      </c>
      <c r="AC42" s="14">
        <f>SUMIFS('09_CF_원금'!$E$6:$E$92,'09_CF_원금'!$D$6:$D$92,"ISA",'09_CF_원금'!$A$6:$A$92,"&lt;="&amp;$A42)-SUMIFS('09_CF_원금'!$E$6:$E$92,'09_CF_원금'!$C$6:$C$92,"ISA",'09_CF_원금'!$A$6:$A$92,"&lt;="&amp;$A42)</f>
        <v>40000000</v>
      </c>
      <c r="AD42" s="14">
        <f>IF($A42="","",$AA42+$AB42+$AC42+SUMIFS('09_CF_원금'!$E$6:$E$92,'09_CF_원금'!$D$6:$D$92,"중국",'09_CF_원금'!$A$6:$A$92,"&lt;="&amp;$A42)-SUMIFS('09_CF_원금'!$E$6:$E$92,'09_CF_원금'!$C$6:$C$92,"중국",'09_CF_원금'!$A$6:$A$92,"&lt;="&amp;$A42))</f>
        <v>348000000</v>
      </c>
      <c r="AE42" s="14">
        <f t="shared" si="13"/>
        <v>594772002</v>
      </c>
      <c r="AF42" s="15">
        <v>25163.0</v>
      </c>
      <c r="AG42" s="14">
        <v>1.66028654E8</v>
      </c>
      <c r="AH42" s="14">
        <v>1.24694738E8</v>
      </c>
      <c r="AI42" s="14">
        <v>3.3660643E7</v>
      </c>
      <c r="AJ42" s="14">
        <v>7673273.0</v>
      </c>
      <c r="AK42" s="16">
        <f t="shared" si="14"/>
        <v>202602</v>
      </c>
      <c r="AL42" s="17" t="str">
        <f t="shared" si="15"/>
        <v/>
      </c>
    </row>
    <row r="43" ht="15.75" customHeight="1">
      <c r="A43" s="6">
        <v>46062.0</v>
      </c>
      <c r="B43" s="7" t="str">
        <f t="shared" si="1"/>
        <v/>
      </c>
      <c r="C43" s="7" t="str">
        <f t="shared" si="16"/>
        <v/>
      </c>
      <c r="D43" s="7" t="str">
        <f t="shared" si="2"/>
        <v/>
      </c>
      <c r="E43" s="8" t="str">
        <f t="shared" si="3"/>
        <v/>
      </c>
      <c r="F43" s="8" t="str">
        <f>IF(OR($Y43="",$Y43=0,$G43="",$G43=0),"",($S43-$G43*'03_포지션'!$B$13)/$Y43)</f>
        <v/>
      </c>
      <c r="G43" s="7" t="str">
        <f t="shared" si="4"/>
        <v/>
      </c>
      <c r="H43" s="7" t="str">
        <f t="shared" si="5"/>
        <v/>
      </c>
      <c r="I43" s="7" t="str">
        <f t="shared" si="6"/>
        <v/>
      </c>
      <c r="J43" s="9" t="str">
        <f>IF(OR($I43="",'09_CF_원금'!$B$108=0),"",$I43/'09_CF_원금'!$B$108)</f>
        <v/>
      </c>
      <c r="K43" s="8" t="str">
        <f t="shared" si="7"/>
        <v/>
      </c>
      <c r="L43" s="8" t="str">
        <f t="shared" si="8"/>
        <v/>
      </c>
      <c r="M43" s="7" t="str">
        <f t="shared" si="9"/>
        <v/>
      </c>
      <c r="N43" s="7" t="str">
        <f t="shared" si="10"/>
        <v/>
      </c>
      <c r="O43" s="7" t="str">
        <f t="shared" si="11"/>
        <v/>
      </c>
      <c r="P43" s="10"/>
      <c r="Q43" s="11"/>
      <c r="R43" s="11"/>
      <c r="S43" s="12"/>
      <c r="T43" s="12"/>
      <c r="U43" s="12"/>
      <c r="V43" s="12"/>
      <c r="W43" s="18" t="str">
        <f t="shared" si="17"/>
        <v/>
      </c>
      <c r="X43" s="7" t="str">
        <f t="shared" si="18"/>
        <v/>
      </c>
      <c r="Y43" s="7" t="str">
        <f t="shared" si="19"/>
        <v/>
      </c>
      <c r="Z43" s="7" t="str">
        <f t="shared" si="12"/>
        <v/>
      </c>
      <c r="AA43" s="14">
        <f>SUMIFS('09_CF_원금'!$E$6:$E$92,'09_CF_원금'!$D$6:$D$92,"국장",'09_CF_원금'!$A$6:$A$92,"&lt;="&amp;$A43)-SUMIFS('09_CF_원금'!$E$6:$E$92,'09_CF_원금'!$C$6:$C$92,"국장",'09_CF_원금'!$A$6:$A$92,"&lt;="&amp;$A43)</f>
        <v>198000000</v>
      </c>
      <c r="AB43" s="14">
        <f>SUMIFS('09_CF_원금'!$E$6:$E$92,'09_CF_원금'!$D$6:$D$92,"미장",'09_CF_원금'!$A$6:$A$92,"&lt;="&amp;$A43)-SUMIFS('09_CF_원금'!$E$6:$E$92,'09_CF_원금'!$C$6:$C$92,"미장",'09_CF_원금'!$A$6:$A$92,"&lt;="&amp;$A43)</f>
        <v>110000000</v>
      </c>
      <c r="AC43" s="14">
        <f>SUMIFS('09_CF_원금'!$E$6:$E$92,'09_CF_원금'!$D$6:$D$92,"ISA",'09_CF_원금'!$A$6:$A$92,"&lt;="&amp;$A43)-SUMIFS('09_CF_원금'!$E$6:$E$92,'09_CF_원금'!$C$6:$C$92,"ISA",'09_CF_원금'!$A$6:$A$92,"&lt;="&amp;$A43)</f>
        <v>40000000</v>
      </c>
      <c r="AD43" s="14">
        <f>IF($A43="","",$AA43+$AB43+$AC43+SUMIFS('09_CF_원금'!$E$6:$E$92,'09_CF_원금'!$D$6:$D$92,"중국",'09_CF_원금'!$A$6:$A$92,"&lt;="&amp;$A43)-SUMIFS('09_CF_원금'!$E$6:$E$92,'09_CF_원금'!$C$6:$C$92,"중국",'09_CF_원금'!$A$6:$A$92,"&lt;="&amp;$A43))</f>
        <v>348000000</v>
      </c>
      <c r="AE43" s="14" t="str">
        <f t="shared" si="13"/>
        <v/>
      </c>
      <c r="AF43" s="15"/>
      <c r="AG43" s="14"/>
      <c r="AH43" s="14"/>
      <c r="AI43" s="14"/>
      <c r="AJ43" s="14"/>
      <c r="AK43" s="16">
        <f t="shared" si="14"/>
        <v>202602</v>
      </c>
      <c r="AL43" s="17" t="str">
        <f t="shared" si="15"/>
        <v/>
      </c>
    </row>
    <row r="44" ht="15.75" customHeight="1">
      <c r="A44" s="6">
        <v>46063.0</v>
      </c>
      <c r="B44" s="7" t="str">
        <f t="shared" si="1"/>
        <v/>
      </c>
      <c r="C44" s="7" t="str">
        <f t="shared" si="16"/>
        <v/>
      </c>
      <c r="D44" s="7" t="str">
        <f t="shared" si="2"/>
        <v/>
      </c>
      <c r="E44" s="8" t="str">
        <f t="shared" si="3"/>
        <v/>
      </c>
      <c r="F44" s="8" t="str">
        <f>IF(OR($Y44="",$Y44=0,$G44="",$G44=0),"",($S44-$G44*'03_포지션'!$B$13)/$Y44)</f>
        <v/>
      </c>
      <c r="G44" s="7" t="str">
        <f t="shared" si="4"/>
        <v/>
      </c>
      <c r="H44" s="7" t="str">
        <f t="shared" si="5"/>
        <v/>
      </c>
      <c r="I44" s="7" t="str">
        <f t="shared" si="6"/>
        <v/>
      </c>
      <c r="J44" s="9" t="str">
        <f>IF(OR($I44="",'09_CF_원금'!$B$108=0),"",$I44/'09_CF_원금'!$B$108)</f>
        <v/>
      </c>
      <c r="K44" s="8" t="str">
        <f t="shared" si="7"/>
        <v/>
      </c>
      <c r="L44" s="8" t="str">
        <f t="shared" si="8"/>
        <v/>
      </c>
      <c r="M44" s="7" t="str">
        <f t="shared" si="9"/>
        <v/>
      </c>
      <c r="N44" s="7" t="str">
        <f t="shared" si="10"/>
        <v/>
      </c>
      <c r="O44" s="7" t="str">
        <f t="shared" si="11"/>
        <v/>
      </c>
      <c r="P44" s="10"/>
      <c r="Q44" s="11"/>
      <c r="R44" s="11"/>
      <c r="S44" s="12"/>
      <c r="T44" s="12"/>
      <c r="U44" s="12"/>
      <c r="V44" s="12"/>
      <c r="W44" s="18" t="str">
        <f t="shared" si="17"/>
        <v/>
      </c>
      <c r="X44" s="7" t="str">
        <f t="shared" si="18"/>
        <v/>
      </c>
      <c r="Y44" s="7" t="str">
        <f t="shared" si="19"/>
        <v/>
      </c>
      <c r="Z44" s="7" t="str">
        <f t="shared" si="12"/>
        <v/>
      </c>
      <c r="AA44" s="14">
        <f>SUMIFS('09_CF_원금'!$E$6:$E$92,'09_CF_원금'!$D$6:$D$92,"국장",'09_CF_원금'!$A$6:$A$92,"&lt;="&amp;$A44)-SUMIFS('09_CF_원금'!$E$6:$E$92,'09_CF_원금'!$C$6:$C$92,"국장",'09_CF_원금'!$A$6:$A$92,"&lt;="&amp;$A44)</f>
        <v>198000000</v>
      </c>
      <c r="AB44" s="14">
        <f>SUMIFS('09_CF_원금'!$E$6:$E$92,'09_CF_원금'!$D$6:$D$92,"미장",'09_CF_원금'!$A$6:$A$92,"&lt;="&amp;$A44)-SUMIFS('09_CF_원금'!$E$6:$E$92,'09_CF_원금'!$C$6:$C$92,"미장",'09_CF_원금'!$A$6:$A$92,"&lt;="&amp;$A44)</f>
        <v>110000000</v>
      </c>
      <c r="AC44" s="14">
        <f>SUMIFS('09_CF_원금'!$E$6:$E$92,'09_CF_원금'!$D$6:$D$92,"ISA",'09_CF_원금'!$A$6:$A$92,"&lt;="&amp;$A44)-SUMIFS('09_CF_원금'!$E$6:$E$92,'09_CF_원금'!$C$6:$C$92,"ISA",'09_CF_원금'!$A$6:$A$92,"&lt;="&amp;$A44)</f>
        <v>40000000</v>
      </c>
      <c r="AD44" s="14">
        <f>IF($A44="","",$AA44+$AB44+$AC44+SUMIFS('09_CF_원금'!$E$6:$E$92,'09_CF_원금'!$D$6:$D$92,"중국",'09_CF_원금'!$A$6:$A$92,"&lt;="&amp;$A44)-SUMIFS('09_CF_원금'!$E$6:$E$92,'09_CF_원금'!$C$6:$C$92,"중국",'09_CF_원금'!$A$6:$A$92,"&lt;="&amp;$A44))</f>
        <v>348000000</v>
      </c>
      <c r="AE44" s="14" t="str">
        <f t="shared" si="13"/>
        <v/>
      </c>
      <c r="AF44" s="15"/>
      <c r="AG44" s="14"/>
      <c r="AH44" s="14"/>
      <c r="AI44" s="14"/>
      <c r="AJ44" s="14"/>
      <c r="AK44" s="16">
        <f t="shared" si="14"/>
        <v>202602</v>
      </c>
      <c r="AL44" s="17" t="str">
        <f t="shared" si="15"/>
        <v/>
      </c>
    </row>
    <row r="45" ht="15.75" customHeight="1">
      <c r="A45" s="6">
        <v>46064.0</v>
      </c>
      <c r="B45" s="7" t="str">
        <f t="shared" si="1"/>
        <v/>
      </c>
      <c r="C45" s="7" t="str">
        <f t="shared" si="16"/>
        <v/>
      </c>
      <c r="D45" s="7" t="str">
        <f t="shared" si="2"/>
        <v/>
      </c>
      <c r="E45" s="8" t="str">
        <f t="shared" si="3"/>
        <v/>
      </c>
      <c r="F45" s="8" t="str">
        <f>IF(OR($Y45="",$Y45=0,$G45="",$G45=0),"",($S45-$G45*'03_포지션'!$B$13)/$Y45)</f>
        <v/>
      </c>
      <c r="G45" s="7" t="str">
        <f t="shared" si="4"/>
        <v/>
      </c>
      <c r="H45" s="7" t="str">
        <f t="shared" si="5"/>
        <v/>
      </c>
      <c r="I45" s="7" t="str">
        <f t="shared" si="6"/>
        <v/>
      </c>
      <c r="J45" s="9" t="str">
        <f>IF(OR($I45="",'09_CF_원금'!$B$108=0),"",$I45/'09_CF_원금'!$B$108)</f>
        <v/>
      </c>
      <c r="K45" s="8" t="str">
        <f t="shared" si="7"/>
        <v/>
      </c>
      <c r="L45" s="8" t="str">
        <f t="shared" si="8"/>
        <v/>
      </c>
      <c r="M45" s="7" t="str">
        <f t="shared" si="9"/>
        <v/>
      </c>
      <c r="N45" s="7" t="str">
        <f t="shared" si="10"/>
        <v/>
      </c>
      <c r="O45" s="7" t="str">
        <f t="shared" si="11"/>
        <v/>
      </c>
      <c r="P45" s="10"/>
      <c r="Q45" s="11"/>
      <c r="R45" s="11"/>
      <c r="S45" s="12"/>
      <c r="T45" s="12"/>
      <c r="U45" s="12"/>
      <c r="V45" s="12"/>
      <c r="W45" s="18" t="str">
        <f t="shared" si="17"/>
        <v/>
      </c>
      <c r="X45" s="7" t="str">
        <f t="shared" si="18"/>
        <v/>
      </c>
      <c r="Y45" s="7" t="str">
        <f t="shared" si="19"/>
        <v/>
      </c>
      <c r="Z45" s="7" t="str">
        <f t="shared" si="12"/>
        <v/>
      </c>
      <c r="AA45" s="14">
        <f>SUMIFS('09_CF_원금'!$E$6:$E$92,'09_CF_원금'!$D$6:$D$92,"국장",'09_CF_원금'!$A$6:$A$92,"&lt;="&amp;$A45)-SUMIFS('09_CF_원금'!$E$6:$E$92,'09_CF_원금'!$C$6:$C$92,"국장",'09_CF_원금'!$A$6:$A$92,"&lt;="&amp;$A45)</f>
        <v>198000000</v>
      </c>
      <c r="AB45" s="14">
        <f>SUMIFS('09_CF_원금'!$E$6:$E$92,'09_CF_원금'!$D$6:$D$92,"미장",'09_CF_원금'!$A$6:$A$92,"&lt;="&amp;$A45)-SUMIFS('09_CF_원금'!$E$6:$E$92,'09_CF_원금'!$C$6:$C$92,"미장",'09_CF_원금'!$A$6:$A$92,"&lt;="&amp;$A45)</f>
        <v>110000000</v>
      </c>
      <c r="AC45" s="14">
        <f>SUMIFS('09_CF_원금'!$E$6:$E$92,'09_CF_원금'!$D$6:$D$92,"ISA",'09_CF_원금'!$A$6:$A$92,"&lt;="&amp;$A45)-SUMIFS('09_CF_원금'!$E$6:$E$92,'09_CF_원금'!$C$6:$C$92,"ISA",'09_CF_원금'!$A$6:$A$92,"&lt;="&amp;$A45)</f>
        <v>40000000</v>
      </c>
      <c r="AD45" s="14">
        <f>IF($A45="","",$AA45+$AB45+$AC45+SUMIFS('09_CF_원금'!$E$6:$E$92,'09_CF_원금'!$D$6:$D$92,"중국",'09_CF_원금'!$A$6:$A$92,"&lt;="&amp;$A45)-SUMIFS('09_CF_원금'!$E$6:$E$92,'09_CF_원금'!$C$6:$C$92,"중국",'09_CF_원금'!$A$6:$A$92,"&lt;="&amp;$A45))</f>
        <v>348000000</v>
      </c>
      <c r="AE45" s="14" t="str">
        <f t="shared" si="13"/>
        <v/>
      </c>
      <c r="AF45" s="15"/>
      <c r="AG45" s="14"/>
      <c r="AH45" s="14"/>
      <c r="AI45" s="14"/>
      <c r="AJ45" s="14"/>
      <c r="AK45" s="16">
        <f t="shared" si="14"/>
        <v>202602</v>
      </c>
      <c r="AL45" s="17" t="str">
        <f t="shared" si="15"/>
        <v/>
      </c>
    </row>
    <row r="46" ht="15.75" customHeight="1">
      <c r="A46" s="6">
        <v>46065.0</v>
      </c>
      <c r="B46" s="7" t="str">
        <f t="shared" si="1"/>
        <v/>
      </c>
      <c r="C46" s="7" t="str">
        <f t="shared" si="16"/>
        <v/>
      </c>
      <c r="D46" s="7" t="str">
        <f t="shared" si="2"/>
        <v/>
      </c>
      <c r="E46" s="8" t="str">
        <f t="shared" si="3"/>
        <v/>
      </c>
      <c r="F46" s="8" t="str">
        <f>IF(OR($Y46="",$Y46=0,$G46="",$G46=0),"",($S46-$G46*'03_포지션'!$B$13)/$Y46)</f>
        <v/>
      </c>
      <c r="G46" s="7" t="str">
        <f t="shared" si="4"/>
        <v/>
      </c>
      <c r="H46" s="7" t="str">
        <f t="shared" si="5"/>
        <v/>
      </c>
      <c r="I46" s="7" t="str">
        <f t="shared" si="6"/>
        <v/>
      </c>
      <c r="J46" s="9" t="str">
        <f>IF(OR($I46="",'09_CF_원금'!$B$108=0),"",$I46/'09_CF_원금'!$B$108)</f>
        <v/>
      </c>
      <c r="K46" s="8" t="str">
        <f t="shared" si="7"/>
        <v/>
      </c>
      <c r="L46" s="8" t="str">
        <f t="shared" si="8"/>
        <v/>
      </c>
      <c r="M46" s="7" t="str">
        <f t="shared" si="9"/>
        <v/>
      </c>
      <c r="N46" s="7" t="str">
        <f t="shared" si="10"/>
        <v/>
      </c>
      <c r="O46" s="7" t="str">
        <f t="shared" si="11"/>
        <v/>
      </c>
      <c r="P46" s="10"/>
      <c r="Q46" s="11"/>
      <c r="R46" s="11"/>
      <c r="S46" s="12"/>
      <c r="T46" s="12"/>
      <c r="U46" s="12"/>
      <c r="V46" s="12"/>
      <c r="W46" s="18" t="str">
        <f t="shared" si="17"/>
        <v/>
      </c>
      <c r="X46" s="7" t="str">
        <f t="shared" si="18"/>
        <v/>
      </c>
      <c r="Y46" s="7" t="str">
        <f t="shared" si="19"/>
        <v/>
      </c>
      <c r="Z46" s="7" t="str">
        <f t="shared" si="12"/>
        <v/>
      </c>
      <c r="AA46" s="14">
        <f>SUMIFS('09_CF_원금'!$E$6:$E$92,'09_CF_원금'!$D$6:$D$92,"국장",'09_CF_원금'!$A$6:$A$92,"&lt;="&amp;$A46)-SUMIFS('09_CF_원금'!$E$6:$E$92,'09_CF_원금'!$C$6:$C$92,"국장",'09_CF_원금'!$A$6:$A$92,"&lt;="&amp;$A46)</f>
        <v>198000000</v>
      </c>
      <c r="AB46" s="14">
        <f>SUMIFS('09_CF_원금'!$E$6:$E$92,'09_CF_원금'!$D$6:$D$92,"미장",'09_CF_원금'!$A$6:$A$92,"&lt;="&amp;$A46)-SUMIFS('09_CF_원금'!$E$6:$E$92,'09_CF_원금'!$C$6:$C$92,"미장",'09_CF_원금'!$A$6:$A$92,"&lt;="&amp;$A46)</f>
        <v>110000000</v>
      </c>
      <c r="AC46" s="14">
        <f>SUMIFS('09_CF_원금'!$E$6:$E$92,'09_CF_원금'!$D$6:$D$92,"ISA",'09_CF_원금'!$A$6:$A$92,"&lt;="&amp;$A46)-SUMIFS('09_CF_원금'!$E$6:$E$92,'09_CF_원금'!$C$6:$C$92,"ISA",'09_CF_원금'!$A$6:$A$92,"&lt;="&amp;$A46)</f>
        <v>40000000</v>
      </c>
      <c r="AD46" s="14">
        <f>IF($A46="","",$AA46+$AB46+$AC46+SUMIFS('09_CF_원금'!$E$6:$E$92,'09_CF_원금'!$D$6:$D$92,"중국",'09_CF_원금'!$A$6:$A$92,"&lt;="&amp;$A46)-SUMIFS('09_CF_원금'!$E$6:$E$92,'09_CF_원금'!$C$6:$C$92,"중국",'09_CF_원금'!$A$6:$A$92,"&lt;="&amp;$A46))</f>
        <v>348000000</v>
      </c>
      <c r="AE46" s="14" t="str">
        <f t="shared" si="13"/>
        <v/>
      </c>
      <c r="AF46" s="15"/>
      <c r="AG46" s="14"/>
      <c r="AH46" s="14"/>
      <c r="AI46" s="14"/>
      <c r="AJ46" s="14"/>
      <c r="AK46" s="16">
        <f t="shared" si="14"/>
        <v>202602</v>
      </c>
      <c r="AL46" s="17" t="str">
        <f t="shared" si="15"/>
        <v/>
      </c>
    </row>
    <row r="47" ht="15.75" customHeight="1">
      <c r="A47" s="6">
        <v>46066.0</v>
      </c>
      <c r="B47" s="7">
        <f t="shared" si="1"/>
        <v>545378168</v>
      </c>
      <c r="C47" s="7" t="str">
        <f t="shared" si="16"/>
        <v/>
      </c>
      <c r="D47" s="7">
        <f t="shared" si="2"/>
        <v>195378168</v>
      </c>
      <c r="E47" s="8">
        <f t="shared" si="3"/>
        <v>-0.08304666971</v>
      </c>
      <c r="F47" s="8" t="str">
        <f>IF(OR($Y47="",$Y47=0,$G47="",$G47=0),"",($S47-$G47*'03_포지션'!$B$13)/$Y47)</f>
        <v/>
      </c>
      <c r="G47" s="7" t="str">
        <f t="shared" si="4"/>
        <v/>
      </c>
      <c r="H47" s="7" t="str">
        <f t="shared" si="5"/>
        <v/>
      </c>
      <c r="I47" s="7" t="str">
        <f t="shared" si="6"/>
        <v/>
      </c>
      <c r="J47" s="9" t="str">
        <f>IF(OR($I47="",'09_CF_원금'!$B$108=0),"",$I47/'09_CF_원금'!$B$108)</f>
        <v/>
      </c>
      <c r="K47" s="8" t="str">
        <f t="shared" si="7"/>
        <v/>
      </c>
      <c r="L47" s="8" t="str">
        <f t="shared" si="8"/>
        <v/>
      </c>
      <c r="M47" s="7">
        <f t="shared" si="9"/>
        <v>159945767</v>
      </c>
      <c r="N47" s="7">
        <f t="shared" si="10"/>
        <v>27170421</v>
      </c>
      <c r="O47" s="7">
        <f t="shared" si="11"/>
        <v>8261980</v>
      </c>
      <c r="P47" s="10"/>
      <c r="Q47" s="11"/>
      <c r="R47" s="11"/>
      <c r="S47" s="12"/>
      <c r="T47" s="12"/>
      <c r="U47" s="12"/>
      <c r="V47" s="12"/>
      <c r="W47" s="18" t="str">
        <f t="shared" si="17"/>
        <v/>
      </c>
      <c r="X47" s="7" t="str">
        <f t="shared" si="18"/>
        <v/>
      </c>
      <c r="Y47" s="7" t="str">
        <f t="shared" si="19"/>
        <v/>
      </c>
      <c r="Z47" s="7" t="str">
        <f t="shared" si="12"/>
        <v/>
      </c>
      <c r="AA47" s="14">
        <f>SUMIFS('09_CF_원금'!$E$6:$E$92,'09_CF_원금'!$D$6:$D$92,"국장",'09_CF_원금'!$A$6:$A$92,"&lt;="&amp;$A47)-SUMIFS('09_CF_원금'!$E$6:$E$92,'09_CF_원금'!$C$6:$C$92,"국장",'09_CF_원금'!$A$6:$A$92,"&lt;="&amp;$A47)</f>
        <v>200000000</v>
      </c>
      <c r="AB47" s="14">
        <f>SUMIFS('09_CF_원금'!$E$6:$E$92,'09_CF_원금'!$D$6:$D$92,"미장",'09_CF_원금'!$A$6:$A$92,"&lt;="&amp;$A47)-SUMIFS('09_CF_원금'!$E$6:$E$92,'09_CF_원금'!$C$6:$C$92,"미장",'09_CF_원금'!$A$6:$A$92,"&lt;="&amp;$A47)</f>
        <v>110000000</v>
      </c>
      <c r="AC47" s="14">
        <f>SUMIFS('09_CF_원금'!$E$6:$E$92,'09_CF_원금'!$D$6:$D$92,"ISA",'09_CF_원금'!$A$6:$A$92,"&lt;="&amp;$A47)-SUMIFS('09_CF_원금'!$E$6:$E$92,'09_CF_원금'!$C$6:$C$92,"ISA",'09_CF_원금'!$A$6:$A$92,"&lt;="&amp;$A47)</f>
        <v>40000000</v>
      </c>
      <c r="AD47" s="14">
        <f>IF($A47="","",$AA47+$AB47+$AC47+SUMIFS('09_CF_원금'!$E$6:$E$92,'09_CF_원금'!$D$6:$D$92,"중국",'09_CF_원금'!$A$6:$A$92,"&lt;="&amp;$A47)-SUMIFS('09_CF_원금'!$E$6:$E$92,'09_CF_원금'!$C$6:$C$92,"중국",'09_CF_원금'!$A$6:$A$92,"&lt;="&amp;$A47))</f>
        <v>350000000</v>
      </c>
      <c r="AE47" s="14">
        <f t="shared" si="13"/>
        <v>594772002</v>
      </c>
      <c r="AF47" s="15">
        <v>24803.0</v>
      </c>
      <c r="AG47" s="14">
        <v>1.95378168E8</v>
      </c>
      <c r="AH47" s="14">
        <v>1.59945767E8</v>
      </c>
      <c r="AI47" s="14">
        <v>2.7170421E7</v>
      </c>
      <c r="AJ47" s="14">
        <v>8261980.0</v>
      </c>
      <c r="AK47" s="16">
        <f t="shared" si="14"/>
        <v>202602</v>
      </c>
      <c r="AL47" s="17" t="str">
        <f t="shared" si="15"/>
        <v/>
      </c>
    </row>
    <row r="48" ht="15.75" customHeight="1">
      <c r="A48" s="6">
        <v>46069.0</v>
      </c>
      <c r="B48" s="7" t="str">
        <f t="shared" si="1"/>
        <v/>
      </c>
      <c r="C48" s="7" t="str">
        <f t="shared" si="16"/>
        <v/>
      </c>
      <c r="D48" s="7" t="str">
        <f t="shared" si="2"/>
        <v/>
      </c>
      <c r="E48" s="8" t="str">
        <f t="shared" si="3"/>
        <v/>
      </c>
      <c r="F48" s="8" t="str">
        <f>IF(OR($Y48="",$Y48=0,$G48="",$G48=0),"",($S48-$G48*'03_포지션'!$B$13)/$Y48)</f>
        <v/>
      </c>
      <c r="G48" s="7" t="str">
        <f t="shared" si="4"/>
        <v/>
      </c>
      <c r="H48" s="7" t="str">
        <f t="shared" si="5"/>
        <v/>
      </c>
      <c r="I48" s="7" t="str">
        <f t="shared" si="6"/>
        <v/>
      </c>
      <c r="J48" s="9" t="str">
        <f>IF(OR($I48="",'09_CF_원금'!$B$108=0),"",$I48/'09_CF_원금'!$B$108)</f>
        <v/>
      </c>
      <c r="K48" s="8" t="str">
        <f t="shared" si="7"/>
        <v/>
      </c>
      <c r="L48" s="8" t="str">
        <f t="shared" si="8"/>
        <v/>
      </c>
      <c r="M48" s="7" t="str">
        <f t="shared" si="9"/>
        <v/>
      </c>
      <c r="N48" s="7" t="str">
        <f t="shared" si="10"/>
        <v/>
      </c>
      <c r="O48" s="7" t="str">
        <f t="shared" si="11"/>
        <v/>
      </c>
      <c r="P48" s="10"/>
      <c r="Q48" s="11"/>
      <c r="R48" s="11"/>
      <c r="S48" s="12"/>
      <c r="T48" s="12"/>
      <c r="U48" s="12"/>
      <c r="V48" s="12"/>
      <c r="W48" s="18" t="str">
        <f t="shared" si="17"/>
        <v/>
      </c>
      <c r="X48" s="7" t="str">
        <f t="shared" si="18"/>
        <v/>
      </c>
      <c r="Y48" s="7" t="str">
        <f t="shared" si="19"/>
        <v/>
      </c>
      <c r="Z48" s="7" t="str">
        <f t="shared" si="12"/>
        <v/>
      </c>
      <c r="AA48" s="14">
        <f>SUMIFS('09_CF_원금'!$E$6:$E$92,'09_CF_원금'!$D$6:$D$92,"국장",'09_CF_원금'!$A$6:$A$92,"&lt;="&amp;$A48)-SUMIFS('09_CF_원금'!$E$6:$E$92,'09_CF_원금'!$C$6:$C$92,"국장",'09_CF_원금'!$A$6:$A$92,"&lt;="&amp;$A48)</f>
        <v>200000000</v>
      </c>
      <c r="AB48" s="14">
        <f>SUMIFS('09_CF_원금'!$E$6:$E$92,'09_CF_원금'!$D$6:$D$92,"미장",'09_CF_원금'!$A$6:$A$92,"&lt;="&amp;$A48)-SUMIFS('09_CF_원금'!$E$6:$E$92,'09_CF_원금'!$C$6:$C$92,"미장",'09_CF_원금'!$A$6:$A$92,"&lt;="&amp;$A48)</f>
        <v>110000000</v>
      </c>
      <c r="AC48" s="14">
        <f>SUMIFS('09_CF_원금'!$E$6:$E$92,'09_CF_원금'!$D$6:$D$92,"ISA",'09_CF_원금'!$A$6:$A$92,"&lt;="&amp;$A48)-SUMIFS('09_CF_원금'!$E$6:$E$92,'09_CF_원금'!$C$6:$C$92,"ISA",'09_CF_원금'!$A$6:$A$92,"&lt;="&amp;$A48)</f>
        <v>40000000</v>
      </c>
      <c r="AD48" s="14">
        <f>IF($A48="","",$AA48+$AB48+$AC48+SUMIFS('09_CF_원금'!$E$6:$E$92,'09_CF_원금'!$D$6:$D$92,"중국",'09_CF_원금'!$A$6:$A$92,"&lt;="&amp;$A48)-SUMIFS('09_CF_원금'!$E$6:$E$92,'09_CF_원금'!$C$6:$C$92,"중국",'09_CF_원금'!$A$6:$A$92,"&lt;="&amp;$A48))</f>
        <v>350000000</v>
      </c>
      <c r="AE48" s="14" t="str">
        <f t="shared" si="13"/>
        <v/>
      </c>
      <c r="AF48" s="15"/>
      <c r="AG48" s="14"/>
      <c r="AH48" s="14"/>
      <c r="AI48" s="14"/>
      <c r="AJ48" s="14"/>
      <c r="AK48" s="16">
        <f t="shared" si="14"/>
        <v>202602</v>
      </c>
      <c r="AL48" s="17" t="str">
        <f t="shared" si="15"/>
        <v/>
      </c>
    </row>
    <row r="49" ht="15.75" customHeight="1">
      <c r="A49" s="6">
        <v>46070.0</v>
      </c>
      <c r="B49" s="7" t="str">
        <f t="shared" si="1"/>
        <v/>
      </c>
      <c r="C49" s="7" t="str">
        <f t="shared" si="16"/>
        <v/>
      </c>
      <c r="D49" s="7" t="str">
        <f t="shared" si="2"/>
        <v/>
      </c>
      <c r="E49" s="8" t="str">
        <f t="shared" si="3"/>
        <v/>
      </c>
      <c r="F49" s="8" t="str">
        <f>IF(OR($Y49="",$Y49=0,$G49="",$G49=0),"",($S49-$G49*'03_포지션'!$B$13)/$Y49)</f>
        <v/>
      </c>
      <c r="G49" s="7" t="str">
        <f t="shared" si="4"/>
        <v/>
      </c>
      <c r="H49" s="7" t="str">
        <f t="shared" si="5"/>
        <v/>
      </c>
      <c r="I49" s="7" t="str">
        <f t="shared" si="6"/>
        <v/>
      </c>
      <c r="J49" s="9" t="str">
        <f>IF(OR($I49="",'09_CF_원금'!$B$108=0),"",$I49/'09_CF_원금'!$B$108)</f>
        <v/>
      </c>
      <c r="K49" s="8" t="str">
        <f t="shared" si="7"/>
        <v/>
      </c>
      <c r="L49" s="8" t="str">
        <f t="shared" si="8"/>
        <v/>
      </c>
      <c r="M49" s="7" t="str">
        <f t="shared" si="9"/>
        <v/>
      </c>
      <c r="N49" s="7" t="str">
        <f t="shared" si="10"/>
        <v/>
      </c>
      <c r="O49" s="7" t="str">
        <f t="shared" si="11"/>
        <v/>
      </c>
      <c r="P49" s="10"/>
      <c r="Q49" s="11"/>
      <c r="R49" s="11"/>
      <c r="S49" s="12"/>
      <c r="T49" s="12"/>
      <c r="U49" s="12"/>
      <c r="V49" s="12"/>
      <c r="W49" s="18" t="str">
        <f t="shared" si="17"/>
        <v/>
      </c>
      <c r="X49" s="7" t="str">
        <f t="shared" si="18"/>
        <v/>
      </c>
      <c r="Y49" s="7" t="str">
        <f t="shared" si="19"/>
        <v/>
      </c>
      <c r="Z49" s="7" t="str">
        <f t="shared" si="12"/>
        <v/>
      </c>
      <c r="AA49" s="14">
        <f>SUMIFS('09_CF_원금'!$E$6:$E$92,'09_CF_원금'!$D$6:$D$92,"국장",'09_CF_원금'!$A$6:$A$92,"&lt;="&amp;$A49)-SUMIFS('09_CF_원금'!$E$6:$E$92,'09_CF_원금'!$C$6:$C$92,"국장",'09_CF_원금'!$A$6:$A$92,"&lt;="&amp;$A49)</f>
        <v>200000000</v>
      </c>
      <c r="AB49" s="14">
        <f>SUMIFS('09_CF_원금'!$E$6:$E$92,'09_CF_원금'!$D$6:$D$92,"미장",'09_CF_원금'!$A$6:$A$92,"&lt;="&amp;$A49)-SUMIFS('09_CF_원금'!$E$6:$E$92,'09_CF_원금'!$C$6:$C$92,"미장",'09_CF_원금'!$A$6:$A$92,"&lt;="&amp;$A49)</f>
        <v>110000000</v>
      </c>
      <c r="AC49" s="14">
        <f>SUMIFS('09_CF_원금'!$E$6:$E$92,'09_CF_원금'!$D$6:$D$92,"ISA",'09_CF_원금'!$A$6:$A$92,"&lt;="&amp;$A49)-SUMIFS('09_CF_원금'!$E$6:$E$92,'09_CF_원금'!$C$6:$C$92,"ISA",'09_CF_원금'!$A$6:$A$92,"&lt;="&amp;$A49)</f>
        <v>40000000</v>
      </c>
      <c r="AD49" s="14">
        <f>IF($A49="","",$AA49+$AB49+$AC49+SUMIFS('09_CF_원금'!$E$6:$E$92,'09_CF_원금'!$D$6:$D$92,"중국",'09_CF_원금'!$A$6:$A$92,"&lt;="&amp;$A49)-SUMIFS('09_CF_원금'!$E$6:$E$92,'09_CF_원금'!$C$6:$C$92,"중국",'09_CF_원금'!$A$6:$A$92,"&lt;="&amp;$A49))</f>
        <v>350000000</v>
      </c>
      <c r="AE49" s="14" t="str">
        <f t="shared" si="13"/>
        <v/>
      </c>
      <c r="AF49" s="15"/>
      <c r="AG49" s="14"/>
      <c r="AH49" s="14"/>
      <c r="AI49" s="14"/>
      <c r="AJ49" s="14"/>
      <c r="AK49" s="16">
        <f t="shared" si="14"/>
        <v>202602</v>
      </c>
      <c r="AL49" s="17" t="str">
        <f t="shared" si="15"/>
        <v/>
      </c>
    </row>
    <row r="50" ht="15.75" customHeight="1">
      <c r="A50" s="6">
        <v>46071.0</v>
      </c>
      <c r="B50" s="7" t="str">
        <f t="shared" si="1"/>
        <v/>
      </c>
      <c r="C50" s="7" t="str">
        <f t="shared" si="16"/>
        <v/>
      </c>
      <c r="D50" s="7" t="str">
        <f t="shared" si="2"/>
        <v/>
      </c>
      <c r="E50" s="8" t="str">
        <f t="shared" si="3"/>
        <v/>
      </c>
      <c r="F50" s="8" t="str">
        <f>IF(OR($Y50="",$Y50=0,$G50="",$G50=0),"",($S50-$G50*'03_포지션'!$B$13)/$Y50)</f>
        <v/>
      </c>
      <c r="G50" s="7" t="str">
        <f t="shared" si="4"/>
        <v/>
      </c>
      <c r="H50" s="7" t="str">
        <f t="shared" si="5"/>
        <v/>
      </c>
      <c r="I50" s="7" t="str">
        <f t="shared" si="6"/>
        <v/>
      </c>
      <c r="J50" s="9" t="str">
        <f>IF(OR($I50="",'09_CF_원금'!$B$108=0),"",$I50/'09_CF_원금'!$B$108)</f>
        <v/>
      </c>
      <c r="K50" s="8" t="str">
        <f t="shared" si="7"/>
        <v/>
      </c>
      <c r="L50" s="8" t="str">
        <f t="shared" si="8"/>
        <v/>
      </c>
      <c r="M50" s="7" t="str">
        <f t="shared" si="9"/>
        <v/>
      </c>
      <c r="N50" s="7" t="str">
        <f t="shared" si="10"/>
        <v/>
      </c>
      <c r="O50" s="7" t="str">
        <f t="shared" si="11"/>
        <v/>
      </c>
      <c r="P50" s="10"/>
      <c r="Q50" s="11"/>
      <c r="R50" s="11"/>
      <c r="S50" s="12"/>
      <c r="T50" s="12"/>
      <c r="U50" s="12"/>
      <c r="V50" s="12"/>
      <c r="W50" s="18" t="str">
        <f t="shared" si="17"/>
        <v/>
      </c>
      <c r="X50" s="7" t="str">
        <f t="shared" si="18"/>
        <v/>
      </c>
      <c r="Y50" s="7" t="str">
        <f t="shared" si="19"/>
        <v/>
      </c>
      <c r="Z50" s="7" t="str">
        <f t="shared" si="12"/>
        <v/>
      </c>
      <c r="AA50" s="14">
        <f>SUMIFS('09_CF_원금'!$E$6:$E$92,'09_CF_원금'!$D$6:$D$92,"국장",'09_CF_원금'!$A$6:$A$92,"&lt;="&amp;$A50)-SUMIFS('09_CF_원금'!$E$6:$E$92,'09_CF_원금'!$C$6:$C$92,"국장",'09_CF_원금'!$A$6:$A$92,"&lt;="&amp;$A50)</f>
        <v>200000000</v>
      </c>
      <c r="AB50" s="14">
        <f>SUMIFS('09_CF_원금'!$E$6:$E$92,'09_CF_원금'!$D$6:$D$92,"미장",'09_CF_원금'!$A$6:$A$92,"&lt;="&amp;$A50)-SUMIFS('09_CF_원금'!$E$6:$E$92,'09_CF_원금'!$C$6:$C$92,"미장",'09_CF_원금'!$A$6:$A$92,"&lt;="&amp;$A50)</f>
        <v>110000000</v>
      </c>
      <c r="AC50" s="14">
        <f>SUMIFS('09_CF_원금'!$E$6:$E$92,'09_CF_원금'!$D$6:$D$92,"ISA",'09_CF_원금'!$A$6:$A$92,"&lt;="&amp;$A50)-SUMIFS('09_CF_원금'!$E$6:$E$92,'09_CF_원금'!$C$6:$C$92,"ISA",'09_CF_원금'!$A$6:$A$92,"&lt;="&amp;$A50)</f>
        <v>40000000</v>
      </c>
      <c r="AD50" s="14">
        <f>IF($A50="","",$AA50+$AB50+$AC50+SUMIFS('09_CF_원금'!$E$6:$E$92,'09_CF_원금'!$D$6:$D$92,"중국",'09_CF_원금'!$A$6:$A$92,"&lt;="&amp;$A50)-SUMIFS('09_CF_원금'!$E$6:$E$92,'09_CF_원금'!$C$6:$C$92,"중국",'09_CF_원금'!$A$6:$A$92,"&lt;="&amp;$A50))</f>
        <v>350000000</v>
      </c>
      <c r="AE50" s="14" t="str">
        <f t="shared" si="13"/>
        <v/>
      </c>
      <c r="AF50" s="15"/>
      <c r="AG50" s="14"/>
      <c r="AH50" s="14"/>
      <c r="AI50" s="14"/>
      <c r="AJ50" s="14"/>
      <c r="AK50" s="16">
        <f t="shared" si="14"/>
        <v>202602</v>
      </c>
      <c r="AL50" s="17" t="str">
        <f t="shared" si="15"/>
        <v/>
      </c>
    </row>
    <row r="51" ht="15.75" customHeight="1">
      <c r="A51" s="6">
        <v>46072.0</v>
      </c>
      <c r="B51" s="7" t="str">
        <f t="shared" si="1"/>
        <v/>
      </c>
      <c r="C51" s="7" t="str">
        <f t="shared" si="16"/>
        <v/>
      </c>
      <c r="D51" s="7" t="str">
        <f t="shared" si="2"/>
        <v/>
      </c>
      <c r="E51" s="8" t="str">
        <f t="shared" si="3"/>
        <v/>
      </c>
      <c r="F51" s="8" t="str">
        <f>IF(OR($Y51="",$Y51=0,$G51="",$G51=0),"",($S51-$G51*'03_포지션'!$B$13)/$Y51)</f>
        <v/>
      </c>
      <c r="G51" s="7" t="str">
        <f t="shared" si="4"/>
        <v/>
      </c>
      <c r="H51" s="7" t="str">
        <f t="shared" si="5"/>
        <v/>
      </c>
      <c r="I51" s="7" t="str">
        <f t="shared" si="6"/>
        <v/>
      </c>
      <c r="J51" s="9" t="str">
        <f>IF(OR($I51="",'09_CF_원금'!$B$108=0),"",$I51/'09_CF_원금'!$B$108)</f>
        <v/>
      </c>
      <c r="K51" s="8" t="str">
        <f t="shared" si="7"/>
        <v/>
      </c>
      <c r="L51" s="8" t="str">
        <f t="shared" si="8"/>
        <v/>
      </c>
      <c r="M51" s="7" t="str">
        <f t="shared" si="9"/>
        <v/>
      </c>
      <c r="N51" s="7" t="str">
        <f t="shared" si="10"/>
        <v/>
      </c>
      <c r="O51" s="7" t="str">
        <f t="shared" si="11"/>
        <v/>
      </c>
      <c r="P51" s="10"/>
      <c r="Q51" s="11"/>
      <c r="R51" s="11"/>
      <c r="S51" s="12"/>
      <c r="T51" s="12"/>
      <c r="U51" s="12"/>
      <c r="V51" s="12"/>
      <c r="W51" s="18" t="str">
        <f t="shared" si="17"/>
        <v/>
      </c>
      <c r="X51" s="7" t="str">
        <f t="shared" si="18"/>
        <v/>
      </c>
      <c r="Y51" s="7" t="str">
        <f t="shared" si="19"/>
        <v/>
      </c>
      <c r="Z51" s="7" t="str">
        <f t="shared" si="12"/>
        <v/>
      </c>
      <c r="AA51" s="14">
        <f>SUMIFS('09_CF_원금'!$E$6:$E$92,'09_CF_원금'!$D$6:$D$92,"국장",'09_CF_원금'!$A$6:$A$92,"&lt;="&amp;$A51)-SUMIFS('09_CF_원금'!$E$6:$E$92,'09_CF_원금'!$C$6:$C$92,"국장",'09_CF_원금'!$A$6:$A$92,"&lt;="&amp;$A51)</f>
        <v>200000000</v>
      </c>
      <c r="AB51" s="14">
        <f>SUMIFS('09_CF_원금'!$E$6:$E$92,'09_CF_원금'!$D$6:$D$92,"미장",'09_CF_원금'!$A$6:$A$92,"&lt;="&amp;$A51)-SUMIFS('09_CF_원금'!$E$6:$E$92,'09_CF_원금'!$C$6:$C$92,"미장",'09_CF_원금'!$A$6:$A$92,"&lt;="&amp;$A51)</f>
        <v>110000000</v>
      </c>
      <c r="AC51" s="14">
        <f>SUMIFS('09_CF_원금'!$E$6:$E$92,'09_CF_원금'!$D$6:$D$92,"ISA",'09_CF_원금'!$A$6:$A$92,"&lt;="&amp;$A51)-SUMIFS('09_CF_원금'!$E$6:$E$92,'09_CF_원금'!$C$6:$C$92,"ISA",'09_CF_원금'!$A$6:$A$92,"&lt;="&amp;$A51)</f>
        <v>40000000</v>
      </c>
      <c r="AD51" s="14">
        <f>IF($A51="","",$AA51+$AB51+$AC51+SUMIFS('09_CF_원금'!$E$6:$E$92,'09_CF_원금'!$D$6:$D$92,"중국",'09_CF_원금'!$A$6:$A$92,"&lt;="&amp;$A51)-SUMIFS('09_CF_원금'!$E$6:$E$92,'09_CF_원금'!$C$6:$C$92,"중국",'09_CF_원금'!$A$6:$A$92,"&lt;="&amp;$A51))</f>
        <v>350000000</v>
      </c>
      <c r="AE51" s="14" t="str">
        <f t="shared" si="13"/>
        <v/>
      </c>
      <c r="AF51" s="15"/>
      <c r="AG51" s="14"/>
      <c r="AH51" s="14"/>
      <c r="AI51" s="14"/>
      <c r="AJ51" s="14"/>
      <c r="AK51" s="16">
        <f t="shared" si="14"/>
        <v>202602</v>
      </c>
      <c r="AL51" s="17" t="str">
        <f t="shared" si="15"/>
        <v/>
      </c>
    </row>
    <row r="52" ht="15.75" customHeight="1">
      <c r="A52" s="6">
        <v>46073.0</v>
      </c>
      <c r="B52" s="7">
        <f t="shared" si="1"/>
        <v>585766797</v>
      </c>
      <c r="C52" s="7" t="str">
        <f t="shared" si="16"/>
        <v/>
      </c>
      <c r="D52" s="7">
        <f t="shared" si="2"/>
        <v>235766797</v>
      </c>
      <c r="E52" s="8">
        <f t="shared" si="3"/>
        <v>-0.01514060004</v>
      </c>
      <c r="F52" s="8" t="str">
        <f>IF(OR($Y52="",$Y52=0,$G52="",$G52=0),"",($S52-$G52*'03_포지션'!$B$13)/$Y52)</f>
        <v/>
      </c>
      <c r="G52" s="7" t="str">
        <f t="shared" si="4"/>
        <v/>
      </c>
      <c r="H52" s="7" t="str">
        <f t="shared" si="5"/>
        <v/>
      </c>
      <c r="I52" s="7" t="str">
        <f t="shared" si="6"/>
        <v/>
      </c>
      <c r="J52" s="9" t="str">
        <f>IF(OR($I52="",'09_CF_원금'!$B$108=0),"",$I52/'09_CF_원금'!$B$108)</f>
        <v/>
      </c>
      <c r="K52" s="8" t="str">
        <f t="shared" si="7"/>
        <v/>
      </c>
      <c r="L52" s="8" t="str">
        <f t="shared" si="8"/>
        <v/>
      </c>
      <c r="M52" s="7">
        <f t="shared" si="9"/>
        <v>192834168</v>
      </c>
      <c r="N52" s="7">
        <f t="shared" si="10"/>
        <v>33037662</v>
      </c>
      <c r="O52" s="7">
        <f t="shared" si="11"/>
        <v>9894967</v>
      </c>
      <c r="P52" s="10"/>
      <c r="Q52" s="11"/>
      <c r="R52" s="11"/>
      <c r="S52" s="12"/>
      <c r="T52" s="12"/>
      <c r="U52" s="12"/>
      <c r="V52" s="12"/>
      <c r="W52" s="18" t="str">
        <f t="shared" si="17"/>
        <v/>
      </c>
      <c r="X52" s="7" t="str">
        <f t="shared" si="18"/>
        <v/>
      </c>
      <c r="Y52" s="7" t="str">
        <f t="shared" si="19"/>
        <v/>
      </c>
      <c r="Z52" s="7" t="str">
        <f t="shared" si="12"/>
        <v/>
      </c>
      <c r="AA52" s="14">
        <f>SUMIFS('09_CF_원금'!$E$6:$E$92,'09_CF_원금'!$D$6:$D$92,"국장",'09_CF_원금'!$A$6:$A$92,"&lt;="&amp;$A52)-SUMIFS('09_CF_원금'!$E$6:$E$92,'09_CF_원금'!$C$6:$C$92,"국장",'09_CF_원금'!$A$6:$A$92,"&lt;="&amp;$A52)</f>
        <v>200000000</v>
      </c>
      <c r="AB52" s="14">
        <f>SUMIFS('09_CF_원금'!$E$6:$E$92,'09_CF_원금'!$D$6:$D$92,"미장",'09_CF_원금'!$A$6:$A$92,"&lt;="&amp;$A52)-SUMIFS('09_CF_원금'!$E$6:$E$92,'09_CF_원금'!$C$6:$C$92,"미장",'09_CF_원금'!$A$6:$A$92,"&lt;="&amp;$A52)</f>
        <v>110000000</v>
      </c>
      <c r="AC52" s="14">
        <f>SUMIFS('09_CF_원금'!$E$6:$E$92,'09_CF_원금'!$D$6:$D$92,"ISA",'09_CF_원금'!$A$6:$A$92,"&lt;="&amp;$A52)-SUMIFS('09_CF_원금'!$E$6:$E$92,'09_CF_원금'!$C$6:$C$92,"ISA",'09_CF_원금'!$A$6:$A$92,"&lt;="&amp;$A52)</f>
        <v>40000000</v>
      </c>
      <c r="AD52" s="14">
        <f>IF($A52="","",$AA52+$AB52+$AC52+SUMIFS('09_CF_원금'!$E$6:$E$92,'09_CF_원금'!$D$6:$D$92,"중국",'09_CF_원금'!$A$6:$A$92,"&lt;="&amp;$A52)-SUMIFS('09_CF_원금'!$E$6:$E$92,'09_CF_원금'!$C$6:$C$92,"중국",'09_CF_원금'!$A$6:$A$92,"&lt;="&amp;$A52))</f>
        <v>350000000</v>
      </c>
      <c r="AE52" s="14">
        <f t="shared" si="13"/>
        <v>594772002</v>
      </c>
      <c r="AF52" s="15">
        <v>25067.5</v>
      </c>
      <c r="AG52" s="14">
        <v>2.35766797E8</v>
      </c>
      <c r="AH52" s="14">
        <v>1.92834168E8</v>
      </c>
      <c r="AI52" s="14">
        <v>3.3037662E7</v>
      </c>
      <c r="AJ52" s="14">
        <v>9894967.0</v>
      </c>
      <c r="AK52" s="16">
        <f t="shared" si="14"/>
        <v>202602</v>
      </c>
      <c r="AL52" s="17" t="str">
        <f t="shared" si="15"/>
        <v/>
      </c>
    </row>
    <row r="53" ht="15.75" customHeight="1">
      <c r="A53" s="6">
        <v>46076.0</v>
      </c>
      <c r="B53" s="7" t="str">
        <f t="shared" si="1"/>
        <v/>
      </c>
      <c r="C53" s="7" t="str">
        <f t="shared" si="16"/>
        <v/>
      </c>
      <c r="D53" s="7" t="str">
        <f t="shared" si="2"/>
        <v/>
      </c>
      <c r="E53" s="8" t="str">
        <f t="shared" si="3"/>
        <v/>
      </c>
      <c r="F53" s="8" t="str">
        <f>IF(OR($Y53="",$Y53=0,$G53="",$G53=0),"",($S53-$G53*'03_포지션'!$B$13)/$Y53)</f>
        <v/>
      </c>
      <c r="G53" s="7" t="str">
        <f t="shared" si="4"/>
        <v/>
      </c>
      <c r="H53" s="7" t="str">
        <f t="shared" si="5"/>
        <v/>
      </c>
      <c r="I53" s="7" t="str">
        <f t="shared" si="6"/>
        <v/>
      </c>
      <c r="J53" s="9" t="str">
        <f>IF(OR($I53="",'09_CF_원금'!$B$108=0),"",$I53/'09_CF_원금'!$B$108)</f>
        <v/>
      </c>
      <c r="K53" s="8" t="str">
        <f t="shared" si="7"/>
        <v/>
      </c>
      <c r="L53" s="8" t="str">
        <f t="shared" si="8"/>
        <v/>
      </c>
      <c r="M53" s="7" t="str">
        <f t="shared" si="9"/>
        <v/>
      </c>
      <c r="N53" s="7" t="str">
        <f t="shared" si="10"/>
        <v/>
      </c>
      <c r="O53" s="7" t="str">
        <f t="shared" si="11"/>
        <v/>
      </c>
      <c r="P53" s="10"/>
      <c r="Q53" s="11"/>
      <c r="R53" s="11"/>
      <c r="S53" s="12"/>
      <c r="T53" s="12"/>
      <c r="U53" s="12"/>
      <c r="V53" s="12"/>
      <c r="W53" s="18" t="str">
        <f t="shared" si="17"/>
        <v/>
      </c>
      <c r="X53" s="7" t="str">
        <f t="shared" si="18"/>
        <v/>
      </c>
      <c r="Y53" s="7" t="str">
        <f t="shared" si="19"/>
        <v/>
      </c>
      <c r="Z53" s="7" t="str">
        <f t="shared" si="12"/>
        <v/>
      </c>
      <c r="AA53" s="14">
        <f>SUMIFS('09_CF_원금'!$E$6:$E$92,'09_CF_원금'!$D$6:$D$92,"국장",'09_CF_원금'!$A$6:$A$92,"&lt;="&amp;$A53)-SUMIFS('09_CF_원금'!$E$6:$E$92,'09_CF_원금'!$C$6:$C$92,"국장",'09_CF_원금'!$A$6:$A$92,"&lt;="&amp;$A53)</f>
        <v>200000000</v>
      </c>
      <c r="AB53" s="14">
        <f>SUMIFS('09_CF_원금'!$E$6:$E$92,'09_CF_원금'!$D$6:$D$92,"미장",'09_CF_원금'!$A$6:$A$92,"&lt;="&amp;$A53)-SUMIFS('09_CF_원금'!$E$6:$E$92,'09_CF_원금'!$C$6:$C$92,"미장",'09_CF_원금'!$A$6:$A$92,"&lt;="&amp;$A53)</f>
        <v>110000000</v>
      </c>
      <c r="AC53" s="14">
        <f>SUMIFS('09_CF_원금'!$E$6:$E$92,'09_CF_원금'!$D$6:$D$92,"ISA",'09_CF_원금'!$A$6:$A$92,"&lt;="&amp;$A53)-SUMIFS('09_CF_원금'!$E$6:$E$92,'09_CF_원금'!$C$6:$C$92,"ISA",'09_CF_원금'!$A$6:$A$92,"&lt;="&amp;$A53)</f>
        <v>40000000</v>
      </c>
      <c r="AD53" s="14">
        <f>IF($A53="","",$AA53+$AB53+$AC53+SUMIFS('09_CF_원금'!$E$6:$E$92,'09_CF_원금'!$D$6:$D$92,"중국",'09_CF_원금'!$A$6:$A$92,"&lt;="&amp;$A53)-SUMIFS('09_CF_원금'!$E$6:$E$92,'09_CF_원금'!$C$6:$C$92,"중국",'09_CF_원금'!$A$6:$A$92,"&lt;="&amp;$A53))</f>
        <v>350000000</v>
      </c>
      <c r="AE53" s="14" t="str">
        <f t="shared" si="13"/>
        <v/>
      </c>
      <c r="AF53" s="15"/>
      <c r="AG53" s="14"/>
      <c r="AH53" s="14"/>
      <c r="AI53" s="14"/>
      <c r="AJ53" s="14"/>
      <c r="AK53" s="16">
        <f t="shared" si="14"/>
        <v>202602</v>
      </c>
      <c r="AL53" s="17" t="str">
        <f t="shared" si="15"/>
        <v/>
      </c>
    </row>
    <row r="54" ht="15.75" customHeight="1">
      <c r="A54" s="6">
        <v>46077.0</v>
      </c>
      <c r="B54" s="7" t="str">
        <f t="shared" si="1"/>
        <v/>
      </c>
      <c r="C54" s="7" t="str">
        <f t="shared" si="16"/>
        <v/>
      </c>
      <c r="D54" s="7" t="str">
        <f t="shared" si="2"/>
        <v/>
      </c>
      <c r="E54" s="8" t="str">
        <f t="shared" si="3"/>
        <v/>
      </c>
      <c r="F54" s="8" t="str">
        <f>IF(OR($Y54="",$Y54=0,$G54="",$G54=0),"",($S54-$G54*'03_포지션'!$B$13)/$Y54)</f>
        <v/>
      </c>
      <c r="G54" s="7" t="str">
        <f t="shared" si="4"/>
        <v/>
      </c>
      <c r="H54" s="7" t="str">
        <f t="shared" si="5"/>
        <v/>
      </c>
      <c r="I54" s="7" t="str">
        <f t="shared" si="6"/>
        <v/>
      </c>
      <c r="J54" s="9" t="str">
        <f>IF(OR($I54="",'09_CF_원금'!$B$108=0),"",$I54/'09_CF_원금'!$B$108)</f>
        <v/>
      </c>
      <c r="K54" s="8" t="str">
        <f t="shared" si="7"/>
        <v/>
      </c>
      <c r="L54" s="8" t="str">
        <f t="shared" si="8"/>
        <v/>
      </c>
      <c r="M54" s="7" t="str">
        <f t="shared" si="9"/>
        <v/>
      </c>
      <c r="N54" s="7" t="str">
        <f t="shared" si="10"/>
        <v/>
      </c>
      <c r="O54" s="7" t="str">
        <f t="shared" si="11"/>
        <v/>
      </c>
      <c r="P54" s="10"/>
      <c r="Q54" s="11"/>
      <c r="R54" s="11"/>
      <c r="S54" s="12"/>
      <c r="T54" s="12"/>
      <c r="U54" s="12"/>
      <c r="V54" s="12"/>
      <c r="W54" s="18" t="str">
        <f t="shared" si="17"/>
        <v/>
      </c>
      <c r="X54" s="7" t="str">
        <f t="shared" si="18"/>
        <v/>
      </c>
      <c r="Y54" s="7" t="str">
        <f t="shared" si="19"/>
        <v/>
      </c>
      <c r="Z54" s="7" t="str">
        <f t="shared" si="12"/>
        <v/>
      </c>
      <c r="AA54" s="14">
        <f>SUMIFS('09_CF_원금'!$E$6:$E$92,'09_CF_원금'!$D$6:$D$92,"국장",'09_CF_원금'!$A$6:$A$92,"&lt;="&amp;$A54)-SUMIFS('09_CF_원금'!$E$6:$E$92,'09_CF_원금'!$C$6:$C$92,"국장",'09_CF_원금'!$A$6:$A$92,"&lt;="&amp;$A54)</f>
        <v>200000000</v>
      </c>
      <c r="AB54" s="14">
        <f>SUMIFS('09_CF_원금'!$E$6:$E$92,'09_CF_원금'!$D$6:$D$92,"미장",'09_CF_원금'!$A$6:$A$92,"&lt;="&amp;$A54)-SUMIFS('09_CF_원금'!$E$6:$E$92,'09_CF_원금'!$C$6:$C$92,"미장",'09_CF_원금'!$A$6:$A$92,"&lt;="&amp;$A54)</f>
        <v>110000000</v>
      </c>
      <c r="AC54" s="14">
        <f>SUMIFS('09_CF_원금'!$E$6:$E$92,'09_CF_원금'!$D$6:$D$92,"ISA",'09_CF_원금'!$A$6:$A$92,"&lt;="&amp;$A54)-SUMIFS('09_CF_원금'!$E$6:$E$92,'09_CF_원금'!$C$6:$C$92,"ISA",'09_CF_원금'!$A$6:$A$92,"&lt;="&amp;$A54)</f>
        <v>40000000</v>
      </c>
      <c r="AD54" s="14">
        <f>IF($A54="","",$AA54+$AB54+$AC54+SUMIFS('09_CF_원금'!$E$6:$E$92,'09_CF_원금'!$D$6:$D$92,"중국",'09_CF_원금'!$A$6:$A$92,"&lt;="&amp;$A54)-SUMIFS('09_CF_원금'!$E$6:$E$92,'09_CF_원금'!$C$6:$C$92,"중국",'09_CF_원금'!$A$6:$A$92,"&lt;="&amp;$A54))</f>
        <v>350000000</v>
      </c>
      <c r="AE54" s="14" t="str">
        <f t="shared" si="13"/>
        <v/>
      </c>
      <c r="AF54" s="15"/>
      <c r="AG54" s="14"/>
      <c r="AH54" s="14"/>
      <c r="AI54" s="14"/>
      <c r="AJ54" s="14"/>
      <c r="AK54" s="16">
        <f t="shared" si="14"/>
        <v>202602</v>
      </c>
      <c r="AL54" s="17" t="str">
        <f t="shared" si="15"/>
        <v/>
      </c>
    </row>
    <row r="55" ht="15.75" customHeight="1">
      <c r="A55" s="6">
        <v>46078.0</v>
      </c>
      <c r="B55" s="7" t="str">
        <f t="shared" si="1"/>
        <v/>
      </c>
      <c r="C55" s="7" t="str">
        <f t="shared" si="16"/>
        <v/>
      </c>
      <c r="D55" s="7" t="str">
        <f t="shared" si="2"/>
        <v/>
      </c>
      <c r="E55" s="8" t="str">
        <f t="shared" si="3"/>
        <v/>
      </c>
      <c r="F55" s="8" t="str">
        <f>IF(OR($Y55="",$Y55=0,$G55="",$G55=0),"",($S55-$G55*'03_포지션'!$B$13)/$Y55)</f>
        <v/>
      </c>
      <c r="G55" s="7" t="str">
        <f t="shared" si="4"/>
        <v/>
      </c>
      <c r="H55" s="7" t="str">
        <f t="shared" si="5"/>
        <v/>
      </c>
      <c r="I55" s="7" t="str">
        <f t="shared" si="6"/>
        <v/>
      </c>
      <c r="J55" s="9" t="str">
        <f>IF(OR($I55="",'09_CF_원금'!$B$108=0),"",$I55/'09_CF_원금'!$B$108)</f>
        <v/>
      </c>
      <c r="K55" s="8" t="str">
        <f t="shared" si="7"/>
        <v/>
      </c>
      <c r="L55" s="8" t="str">
        <f t="shared" si="8"/>
        <v/>
      </c>
      <c r="M55" s="7" t="str">
        <f t="shared" si="9"/>
        <v/>
      </c>
      <c r="N55" s="7" t="str">
        <f t="shared" si="10"/>
        <v/>
      </c>
      <c r="O55" s="7" t="str">
        <f t="shared" si="11"/>
        <v/>
      </c>
      <c r="P55" s="10"/>
      <c r="Q55" s="11"/>
      <c r="R55" s="11"/>
      <c r="S55" s="12"/>
      <c r="T55" s="12"/>
      <c r="U55" s="12"/>
      <c r="V55" s="12"/>
      <c r="W55" s="18" t="str">
        <f t="shared" si="17"/>
        <v/>
      </c>
      <c r="X55" s="7" t="str">
        <f t="shared" si="18"/>
        <v/>
      </c>
      <c r="Y55" s="7" t="str">
        <f t="shared" si="19"/>
        <v/>
      </c>
      <c r="Z55" s="7" t="str">
        <f t="shared" si="12"/>
        <v/>
      </c>
      <c r="AA55" s="14">
        <f>SUMIFS('09_CF_원금'!$E$6:$E$92,'09_CF_원금'!$D$6:$D$92,"국장",'09_CF_원금'!$A$6:$A$92,"&lt;="&amp;$A55)-SUMIFS('09_CF_원금'!$E$6:$E$92,'09_CF_원금'!$C$6:$C$92,"국장",'09_CF_원금'!$A$6:$A$92,"&lt;="&amp;$A55)</f>
        <v>200000000</v>
      </c>
      <c r="AB55" s="14">
        <f>SUMIFS('09_CF_원금'!$E$6:$E$92,'09_CF_원금'!$D$6:$D$92,"미장",'09_CF_원금'!$A$6:$A$92,"&lt;="&amp;$A55)-SUMIFS('09_CF_원금'!$E$6:$E$92,'09_CF_원금'!$C$6:$C$92,"미장",'09_CF_원금'!$A$6:$A$92,"&lt;="&amp;$A55)</f>
        <v>110000000</v>
      </c>
      <c r="AC55" s="14">
        <f>SUMIFS('09_CF_원금'!$E$6:$E$92,'09_CF_원금'!$D$6:$D$92,"ISA",'09_CF_원금'!$A$6:$A$92,"&lt;="&amp;$A55)-SUMIFS('09_CF_원금'!$E$6:$E$92,'09_CF_원금'!$C$6:$C$92,"ISA",'09_CF_원금'!$A$6:$A$92,"&lt;="&amp;$A55)</f>
        <v>40000000</v>
      </c>
      <c r="AD55" s="14">
        <f>IF($A55="","",$AA55+$AB55+$AC55+SUMIFS('09_CF_원금'!$E$6:$E$92,'09_CF_원금'!$D$6:$D$92,"중국",'09_CF_원금'!$A$6:$A$92,"&lt;="&amp;$A55)-SUMIFS('09_CF_원금'!$E$6:$E$92,'09_CF_원금'!$C$6:$C$92,"중국",'09_CF_원금'!$A$6:$A$92,"&lt;="&amp;$A55))</f>
        <v>350000000</v>
      </c>
      <c r="AE55" s="14" t="str">
        <f t="shared" si="13"/>
        <v/>
      </c>
      <c r="AF55" s="15"/>
      <c r="AG55" s="14"/>
      <c r="AH55" s="14"/>
      <c r="AI55" s="14"/>
      <c r="AJ55" s="14"/>
      <c r="AK55" s="16">
        <f t="shared" si="14"/>
        <v>202602</v>
      </c>
      <c r="AL55" s="17" t="str">
        <f t="shared" si="15"/>
        <v/>
      </c>
    </row>
    <row r="56" ht="15.75" customHeight="1">
      <c r="A56" s="6">
        <v>46079.0</v>
      </c>
      <c r="B56" s="7" t="str">
        <f t="shared" si="1"/>
        <v/>
      </c>
      <c r="C56" s="7" t="str">
        <f t="shared" si="16"/>
        <v/>
      </c>
      <c r="D56" s="7" t="str">
        <f t="shared" si="2"/>
        <v/>
      </c>
      <c r="E56" s="8" t="str">
        <f t="shared" si="3"/>
        <v/>
      </c>
      <c r="F56" s="8" t="str">
        <f>IF(OR($Y56="",$Y56=0,$G56="",$G56=0),"",($S56-$G56*'03_포지션'!$B$13)/$Y56)</f>
        <v/>
      </c>
      <c r="G56" s="7" t="str">
        <f t="shared" si="4"/>
        <v/>
      </c>
      <c r="H56" s="7" t="str">
        <f t="shared" si="5"/>
        <v/>
      </c>
      <c r="I56" s="7" t="str">
        <f t="shared" si="6"/>
        <v/>
      </c>
      <c r="J56" s="9" t="str">
        <f>IF(OR($I56="",'09_CF_원금'!$B$108=0),"",$I56/'09_CF_원금'!$B$108)</f>
        <v/>
      </c>
      <c r="K56" s="8" t="str">
        <f t="shared" si="7"/>
        <v/>
      </c>
      <c r="L56" s="8" t="str">
        <f t="shared" si="8"/>
        <v/>
      </c>
      <c r="M56" s="7" t="str">
        <f t="shared" si="9"/>
        <v/>
      </c>
      <c r="N56" s="7" t="str">
        <f t="shared" si="10"/>
        <v/>
      </c>
      <c r="O56" s="7" t="str">
        <f t="shared" si="11"/>
        <v/>
      </c>
      <c r="P56" s="10"/>
      <c r="Q56" s="11"/>
      <c r="R56" s="11"/>
      <c r="S56" s="12"/>
      <c r="T56" s="12"/>
      <c r="U56" s="12"/>
      <c r="V56" s="12"/>
      <c r="W56" s="18" t="str">
        <f t="shared" si="17"/>
        <v/>
      </c>
      <c r="X56" s="7" t="str">
        <f t="shared" si="18"/>
        <v/>
      </c>
      <c r="Y56" s="7" t="str">
        <f t="shared" si="19"/>
        <v/>
      </c>
      <c r="Z56" s="7" t="str">
        <f t="shared" si="12"/>
        <v/>
      </c>
      <c r="AA56" s="14">
        <f>SUMIFS('09_CF_원금'!$E$6:$E$92,'09_CF_원금'!$D$6:$D$92,"국장",'09_CF_원금'!$A$6:$A$92,"&lt;="&amp;$A56)-SUMIFS('09_CF_원금'!$E$6:$E$92,'09_CF_원금'!$C$6:$C$92,"국장",'09_CF_원금'!$A$6:$A$92,"&lt;="&amp;$A56)</f>
        <v>200000000</v>
      </c>
      <c r="AB56" s="14">
        <f>SUMIFS('09_CF_원금'!$E$6:$E$92,'09_CF_원금'!$D$6:$D$92,"미장",'09_CF_원금'!$A$6:$A$92,"&lt;="&amp;$A56)-SUMIFS('09_CF_원금'!$E$6:$E$92,'09_CF_원금'!$C$6:$C$92,"미장",'09_CF_원금'!$A$6:$A$92,"&lt;="&amp;$A56)</f>
        <v>110000000</v>
      </c>
      <c r="AC56" s="14">
        <f>SUMIFS('09_CF_원금'!$E$6:$E$92,'09_CF_원금'!$D$6:$D$92,"ISA",'09_CF_원금'!$A$6:$A$92,"&lt;="&amp;$A56)-SUMIFS('09_CF_원금'!$E$6:$E$92,'09_CF_원금'!$C$6:$C$92,"ISA",'09_CF_원금'!$A$6:$A$92,"&lt;="&amp;$A56)</f>
        <v>40000000</v>
      </c>
      <c r="AD56" s="14">
        <f>IF($A56="","",$AA56+$AB56+$AC56+SUMIFS('09_CF_원금'!$E$6:$E$92,'09_CF_원금'!$D$6:$D$92,"중국",'09_CF_원금'!$A$6:$A$92,"&lt;="&amp;$A56)-SUMIFS('09_CF_원금'!$E$6:$E$92,'09_CF_원금'!$C$6:$C$92,"중국",'09_CF_원금'!$A$6:$A$92,"&lt;="&amp;$A56))</f>
        <v>350000000</v>
      </c>
      <c r="AE56" s="14" t="str">
        <f t="shared" si="13"/>
        <v/>
      </c>
      <c r="AF56" s="15"/>
      <c r="AG56" s="14"/>
      <c r="AH56" s="14"/>
      <c r="AI56" s="14"/>
      <c r="AJ56" s="14"/>
      <c r="AK56" s="16">
        <f t="shared" si="14"/>
        <v>202602</v>
      </c>
      <c r="AL56" s="17" t="str">
        <f t="shared" si="15"/>
        <v/>
      </c>
    </row>
    <row r="57" ht="15.75" customHeight="1">
      <c r="A57" s="6">
        <v>46080.0</v>
      </c>
      <c r="B57" s="7">
        <f t="shared" si="1"/>
        <v>656753322</v>
      </c>
      <c r="C57" s="7" t="str">
        <f t="shared" si="16"/>
        <v/>
      </c>
      <c r="D57" s="7">
        <f t="shared" si="2"/>
        <v>306753322</v>
      </c>
      <c r="E57" s="8">
        <f t="shared" si="3"/>
        <v>0</v>
      </c>
      <c r="F57" s="8" t="str">
        <f>IF(OR($Y57="",$Y57=0,$G57="",$G57=0),"",($S57-$G57*'03_포지션'!$B$13)/$Y57)</f>
        <v/>
      </c>
      <c r="G57" s="7" t="str">
        <f t="shared" si="4"/>
        <v/>
      </c>
      <c r="H57" s="7" t="str">
        <f t="shared" si="5"/>
        <v/>
      </c>
      <c r="I57" s="7" t="str">
        <f t="shared" si="6"/>
        <v/>
      </c>
      <c r="J57" s="9" t="str">
        <f>IF(OR($I57="",'09_CF_원금'!$B$108=0),"",$I57/'09_CF_원금'!$B$108)</f>
        <v/>
      </c>
      <c r="K57" s="8" t="str">
        <f t="shared" si="7"/>
        <v/>
      </c>
      <c r="L57" s="8" t="str">
        <f t="shared" si="8"/>
        <v/>
      </c>
      <c r="M57" s="7">
        <f t="shared" si="9"/>
        <v>271306879</v>
      </c>
      <c r="N57" s="7">
        <f t="shared" si="10"/>
        <v>24580175</v>
      </c>
      <c r="O57" s="7">
        <f t="shared" si="11"/>
        <v>10866268</v>
      </c>
      <c r="P57" s="10"/>
      <c r="Q57" s="11"/>
      <c r="R57" s="11" t="s">
        <v>334</v>
      </c>
      <c r="S57" s="12"/>
      <c r="T57" s="12"/>
      <c r="U57" s="12"/>
      <c r="V57" s="12"/>
      <c r="W57" s="18" t="str">
        <f t="shared" si="17"/>
        <v/>
      </c>
      <c r="X57" s="7" t="str">
        <f t="shared" si="18"/>
        <v/>
      </c>
      <c r="Y57" s="7" t="str">
        <f t="shared" si="19"/>
        <v/>
      </c>
      <c r="Z57" s="7" t="str">
        <f t="shared" si="12"/>
        <v/>
      </c>
      <c r="AA57" s="14">
        <f>SUMIFS('09_CF_원금'!$E$6:$E$92,'09_CF_원금'!$D$6:$D$92,"국장",'09_CF_원금'!$A$6:$A$92,"&lt;="&amp;$A57)-SUMIFS('09_CF_원금'!$E$6:$E$92,'09_CF_원금'!$C$6:$C$92,"국장",'09_CF_원금'!$A$6:$A$92,"&lt;="&amp;$A57)</f>
        <v>200000000</v>
      </c>
      <c r="AB57" s="14">
        <f>SUMIFS('09_CF_원금'!$E$6:$E$92,'09_CF_원금'!$D$6:$D$92,"미장",'09_CF_원금'!$A$6:$A$92,"&lt;="&amp;$A57)-SUMIFS('09_CF_원금'!$E$6:$E$92,'09_CF_원금'!$C$6:$C$92,"미장",'09_CF_원금'!$A$6:$A$92,"&lt;="&amp;$A57)</f>
        <v>110000000</v>
      </c>
      <c r="AC57" s="14">
        <f>SUMIFS('09_CF_원금'!$E$6:$E$92,'09_CF_원금'!$D$6:$D$92,"ISA",'09_CF_원금'!$A$6:$A$92,"&lt;="&amp;$A57)-SUMIFS('09_CF_원금'!$E$6:$E$92,'09_CF_원금'!$C$6:$C$92,"ISA",'09_CF_원금'!$A$6:$A$92,"&lt;="&amp;$A57)</f>
        <v>40000000</v>
      </c>
      <c r="AD57" s="14">
        <f>IF($A57="","",$AA57+$AB57+$AC57+SUMIFS('09_CF_원금'!$E$6:$E$92,'09_CF_원금'!$D$6:$D$92,"중국",'09_CF_원금'!$A$6:$A$92,"&lt;="&amp;$A57)-SUMIFS('09_CF_원금'!$E$6:$E$92,'09_CF_원금'!$C$6:$C$92,"중국",'09_CF_원금'!$A$6:$A$92,"&lt;="&amp;$A57))</f>
        <v>350000000</v>
      </c>
      <c r="AE57" s="14">
        <f t="shared" si="13"/>
        <v>656753322</v>
      </c>
      <c r="AF57" s="15">
        <v>24977.25</v>
      </c>
      <c r="AG57" s="14">
        <v>3.06753322E8</v>
      </c>
      <c r="AH57" s="14">
        <v>2.71306879E8</v>
      </c>
      <c r="AI57" s="14">
        <v>2.4580175E7</v>
      </c>
      <c r="AJ57" s="14">
        <v>1.0866268E7</v>
      </c>
      <c r="AK57" s="16">
        <f t="shared" si="14"/>
        <v>202602</v>
      </c>
      <c r="AL57" s="17" t="str">
        <f t="shared" si="15"/>
        <v/>
      </c>
    </row>
    <row r="58" ht="15.75" customHeight="1">
      <c r="A58" s="6">
        <v>46083.0</v>
      </c>
      <c r="B58" s="7" t="str">
        <f t="shared" si="1"/>
        <v/>
      </c>
      <c r="C58" s="7" t="str">
        <f t="shared" si="16"/>
        <v/>
      </c>
      <c r="D58" s="7" t="str">
        <f t="shared" si="2"/>
        <v/>
      </c>
      <c r="E58" s="8" t="str">
        <f t="shared" si="3"/>
        <v/>
      </c>
      <c r="F58" s="8" t="str">
        <f>IF(OR($Y58="",$Y58=0,$G58="",$G58=0),"",($S58-$G58*'03_포지션'!$B$13)/$Y58)</f>
        <v/>
      </c>
      <c r="G58" s="7" t="str">
        <f t="shared" si="4"/>
        <v/>
      </c>
      <c r="H58" s="7" t="str">
        <f t="shared" si="5"/>
        <v/>
      </c>
      <c r="I58" s="7" t="str">
        <f t="shared" si="6"/>
        <v/>
      </c>
      <c r="J58" s="9" t="str">
        <f>IF(OR($I58="",'09_CF_원금'!$B$108=0),"",$I58/'09_CF_원금'!$B$108)</f>
        <v/>
      </c>
      <c r="K58" s="8" t="str">
        <f t="shared" si="7"/>
        <v/>
      </c>
      <c r="L58" s="8" t="str">
        <f t="shared" si="8"/>
        <v/>
      </c>
      <c r="M58" s="7" t="str">
        <f t="shared" si="9"/>
        <v/>
      </c>
      <c r="N58" s="7" t="str">
        <f t="shared" si="10"/>
        <v/>
      </c>
      <c r="O58" s="7" t="str">
        <f t="shared" si="11"/>
        <v/>
      </c>
      <c r="P58" s="10"/>
      <c r="Q58" s="11"/>
      <c r="R58" s="11"/>
      <c r="S58" s="12"/>
      <c r="T58" s="12"/>
      <c r="U58" s="12"/>
      <c r="V58" s="12"/>
      <c r="W58" s="18" t="str">
        <f t="shared" si="17"/>
        <v/>
      </c>
      <c r="X58" s="7" t="str">
        <f t="shared" si="18"/>
        <v/>
      </c>
      <c r="Y58" s="7" t="str">
        <f t="shared" si="19"/>
        <v/>
      </c>
      <c r="Z58" s="7" t="str">
        <f t="shared" si="12"/>
        <v/>
      </c>
      <c r="AA58" s="14">
        <f>SUMIFS('09_CF_원금'!$E$6:$E$92,'09_CF_원금'!$D$6:$D$92,"국장",'09_CF_원금'!$A$6:$A$92,"&lt;="&amp;$A58)-SUMIFS('09_CF_원금'!$E$6:$E$92,'09_CF_원금'!$C$6:$C$92,"국장",'09_CF_원금'!$A$6:$A$92,"&lt;="&amp;$A58)</f>
        <v>200000000</v>
      </c>
      <c r="AB58" s="14">
        <f>SUMIFS('09_CF_원금'!$E$6:$E$92,'09_CF_원금'!$D$6:$D$92,"미장",'09_CF_원금'!$A$6:$A$92,"&lt;="&amp;$A58)-SUMIFS('09_CF_원금'!$E$6:$E$92,'09_CF_원금'!$C$6:$C$92,"미장",'09_CF_원금'!$A$6:$A$92,"&lt;="&amp;$A58)</f>
        <v>110000000</v>
      </c>
      <c r="AC58" s="14">
        <f>SUMIFS('09_CF_원금'!$E$6:$E$92,'09_CF_원금'!$D$6:$D$92,"ISA",'09_CF_원금'!$A$6:$A$92,"&lt;="&amp;$A58)-SUMIFS('09_CF_원금'!$E$6:$E$92,'09_CF_원금'!$C$6:$C$92,"ISA",'09_CF_원금'!$A$6:$A$92,"&lt;="&amp;$A58)</f>
        <v>40000000</v>
      </c>
      <c r="AD58" s="14">
        <f>IF($A58="","",$AA58+$AB58+$AC58+SUMIFS('09_CF_원금'!$E$6:$E$92,'09_CF_원금'!$D$6:$D$92,"중국",'09_CF_원금'!$A$6:$A$92,"&lt;="&amp;$A58)-SUMIFS('09_CF_원금'!$E$6:$E$92,'09_CF_원금'!$C$6:$C$92,"중국",'09_CF_원금'!$A$6:$A$92,"&lt;="&amp;$A58))</f>
        <v>350000000</v>
      </c>
      <c r="AE58" s="14" t="str">
        <f t="shared" si="13"/>
        <v/>
      </c>
      <c r="AF58" s="15"/>
      <c r="AG58" s="14"/>
      <c r="AH58" s="14"/>
      <c r="AI58" s="14"/>
      <c r="AJ58" s="14"/>
      <c r="AK58" s="16">
        <f t="shared" si="14"/>
        <v>202603</v>
      </c>
      <c r="AL58" s="17" t="str">
        <f t="shared" si="15"/>
        <v/>
      </c>
    </row>
    <row r="59" ht="15.75" customHeight="1">
      <c r="A59" s="6">
        <v>46084.0</v>
      </c>
      <c r="B59" s="7" t="str">
        <f t="shared" si="1"/>
        <v/>
      </c>
      <c r="C59" s="7" t="str">
        <f t="shared" si="16"/>
        <v/>
      </c>
      <c r="D59" s="7" t="str">
        <f t="shared" si="2"/>
        <v/>
      </c>
      <c r="E59" s="8" t="str">
        <f t="shared" si="3"/>
        <v/>
      </c>
      <c r="F59" s="8" t="str">
        <f>IF(OR($Y59="",$Y59=0,$G59="",$G59=0),"",($S59-$G59*'03_포지션'!$B$13)/$Y59)</f>
        <v/>
      </c>
      <c r="G59" s="7" t="str">
        <f t="shared" si="4"/>
        <v/>
      </c>
      <c r="H59" s="7" t="str">
        <f t="shared" si="5"/>
        <v/>
      </c>
      <c r="I59" s="7" t="str">
        <f t="shared" si="6"/>
        <v/>
      </c>
      <c r="J59" s="9" t="str">
        <f>IF(OR($I59="",'09_CF_원금'!$B$108=0),"",$I59/'09_CF_원금'!$B$108)</f>
        <v/>
      </c>
      <c r="K59" s="8" t="str">
        <f t="shared" si="7"/>
        <v/>
      </c>
      <c r="L59" s="8" t="str">
        <f t="shared" si="8"/>
        <v/>
      </c>
      <c r="M59" s="7" t="str">
        <f t="shared" si="9"/>
        <v/>
      </c>
      <c r="N59" s="7" t="str">
        <f t="shared" si="10"/>
        <v/>
      </c>
      <c r="O59" s="7" t="str">
        <f t="shared" si="11"/>
        <v/>
      </c>
      <c r="P59" s="10"/>
      <c r="Q59" s="11"/>
      <c r="R59" s="11"/>
      <c r="S59" s="12"/>
      <c r="T59" s="12"/>
      <c r="U59" s="12"/>
      <c r="V59" s="12"/>
      <c r="W59" s="18" t="str">
        <f t="shared" si="17"/>
        <v/>
      </c>
      <c r="X59" s="7" t="str">
        <f t="shared" si="18"/>
        <v/>
      </c>
      <c r="Y59" s="7" t="str">
        <f t="shared" si="19"/>
        <v/>
      </c>
      <c r="Z59" s="7" t="str">
        <f t="shared" si="12"/>
        <v/>
      </c>
      <c r="AA59" s="14">
        <f>SUMIFS('09_CF_원금'!$E$6:$E$92,'09_CF_원금'!$D$6:$D$92,"국장",'09_CF_원금'!$A$6:$A$92,"&lt;="&amp;$A59)-SUMIFS('09_CF_원금'!$E$6:$E$92,'09_CF_원금'!$C$6:$C$92,"국장",'09_CF_원금'!$A$6:$A$92,"&lt;="&amp;$A59)</f>
        <v>200000000</v>
      </c>
      <c r="AB59" s="14">
        <f>SUMIFS('09_CF_원금'!$E$6:$E$92,'09_CF_원금'!$D$6:$D$92,"미장",'09_CF_원금'!$A$6:$A$92,"&lt;="&amp;$A59)-SUMIFS('09_CF_원금'!$E$6:$E$92,'09_CF_원금'!$C$6:$C$92,"미장",'09_CF_원금'!$A$6:$A$92,"&lt;="&amp;$A59)</f>
        <v>110000000</v>
      </c>
      <c r="AC59" s="14">
        <f>SUMIFS('09_CF_원금'!$E$6:$E$92,'09_CF_원금'!$D$6:$D$92,"ISA",'09_CF_원금'!$A$6:$A$92,"&lt;="&amp;$A59)-SUMIFS('09_CF_원금'!$E$6:$E$92,'09_CF_원금'!$C$6:$C$92,"ISA",'09_CF_원금'!$A$6:$A$92,"&lt;="&amp;$A59)</f>
        <v>40000000</v>
      </c>
      <c r="AD59" s="14">
        <f>IF($A59="","",$AA59+$AB59+$AC59+SUMIFS('09_CF_원금'!$E$6:$E$92,'09_CF_원금'!$D$6:$D$92,"중국",'09_CF_원금'!$A$6:$A$92,"&lt;="&amp;$A59)-SUMIFS('09_CF_원금'!$E$6:$E$92,'09_CF_원금'!$C$6:$C$92,"중국",'09_CF_원금'!$A$6:$A$92,"&lt;="&amp;$A59))</f>
        <v>350000000</v>
      </c>
      <c r="AE59" s="14" t="str">
        <f t="shared" si="13"/>
        <v/>
      </c>
      <c r="AF59" s="15"/>
      <c r="AG59" s="14"/>
      <c r="AH59" s="14"/>
      <c r="AI59" s="14"/>
      <c r="AJ59" s="14"/>
      <c r="AK59" s="16">
        <f t="shared" si="14"/>
        <v>202603</v>
      </c>
      <c r="AL59" s="17" t="str">
        <f t="shared" si="15"/>
        <v/>
      </c>
    </row>
    <row r="60" ht="15.75" customHeight="1">
      <c r="A60" s="6">
        <v>46085.0</v>
      </c>
      <c r="B60" s="7" t="str">
        <f t="shared" si="1"/>
        <v/>
      </c>
      <c r="C60" s="7" t="str">
        <f t="shared" si="16"/>
        <v/>
      </c>
      <c r="D60" s="7" t="str">
        <f t="shared" si="2"/>
        <v/>
      </c>
      <c r="E60" s="8" t="str">
        <f t="shared" si="3"/>
        <v/>
      </c>
      <c r="F60" s="8" t="str">
        <f>IF(OR($Y60="",$Y60=0,$G60="",$G60=0),"",($S60-$G60*'03_포지션'!$B$13)/$Y60)</f>
        <v/>
      </c>
      <c r="G60" s="7" t="str">
        <f t="shared" si="4"/>
        <v/>
      </c>
      <c r="H60" s="7" t="str">
        <f t="shared" si="5"/>
        <v/>
      </c>
      <c r="I60" s="7" t="str">
        <f t="shared" si="6"/>
        <v/>
      </c>
      <c r="J60" s="9" t="str">
        <f>IF(OR($I60="",'09_CF_원금'!$B$108=0),"",$I60/'09_CF_원금'!$B$108)</f>
        <v/>
      </c>
      <c r="K60" s="8" t="str">
        <f t="shared" si="7"/>
        <v/>
      </c>
      <c r="L60" s="8" t="str">
        <f t="shared" si="8"/>
        <v/>
      </c>
      <c r="M60" s="7" t="str">
        <f t="shared" si="9"/>
        <v/>
      </c>
      <c r="N60" s="7" t="str">
        <f t="shared" si="10"/>
        <v/>
      </c>
      <c r="O60" s="7" t="str">
        <f t="shared" si="11"/>
        <v/>
      </c>
      <c r="P60" s="10"/>
      <c r="Q60" s="11"/>
      <c r="R60" s="11"/>
      <c r="S60" s="12"/>
      <c r="T60" s="12"/>
      <c r="U60" s="12"/>
      <c r="V60" s="12"/>
      <c r="W60" s="18" t="str">
        <f t="shared" si="17"/>
        <v/>
      </c>
      <c r="X60" s="7" t="str">
        <f t="shared" si="18"/>
        <v/>
      </c>
      <c r="Y60" s="7" t="str">
        <f t="shared" si="19"/>
        <v/>
      </c>
      <c r="Z60" s="7" t="str">
        <f t="shared" si="12"/>
        <v/>
      </c>
      <c r="AA60" s="14">
        <f>SUMIFS('09_CF_원금'!$E$6:$E$92,'09_CF_원금'!$D$6:$D$92,"국장",'09_CF_원금'!$A$6:$A$92,"&lt;="&amp;$A60)-SUMIFS('09_CF_원금'!$E$6:$E$92,'09_CF_원금'!$C$6:$C$92,"국장",'09_CF_원금'!$A$6:$A$92,"&lt;="&amp;$A60)</f>
        <v>200000000</v>
      </c>
      <c r="AB60" s="14">
        <f>SUMIFS('09_CF_원금'!$E$6:$E$92,'09_CF_원금'!$D$6:$D$92,"미장",'09_CF_원금'!$A$6:$A$92,"&lt;="&amp;$A60)-SUMIFS('09_CF_원금'!$E$6:$E$92,'09_CF_원금'!$C$6:$C$92,"미장",'09_CF_원금'!$A$6:$A$92,"&lt;="&amp;$A60)</f>
        <v>110000000</v>
      </c>
      <c r="AC60" s="14">
        <f>SUMIFS('09_CF_원금'!$E$6:$E$92,'09_CF_원금'!$D$6:$D$92,"ISA",'09_CF_원금'!$A$6:$A$92,"&lt;="&amp;$A60)-SUMIFS('09_CF_원금'!$E$6:$E$92,'09_CF_원금'!$C$6:$C$92,"ISA",'09_CF_원금'!$A$6:$A$92,"&lt;="&amp;$A60)</f>
        <v>40000000</v>
      </c>
      <c r="AD60" s="14">
        <f>IF($A60="","",$AA60+$AB60+$AC60+SUMIFS('09_CF_원금'!$E$6:$E$92,'09_CF_원금'!$D$6:$D$92,"중국",'09_CF_원금'!$A$6:$A$92,"&lt;="&amp;$A60)-SUMIFS('09_CF_원금'!$E$6:$E$92,'09_CF_원금'!$C$6:$C$92,"중국",'09_CF_원금'!$A$6:$A$92,"&lt;="&amp;$A60))</f>
        <v>350000000</v>
      </c>
      <c r="AE60" s="14" t="str">
        <f t="shared" si="13"/>
        <v/>
      </c>
      <c r="AF60" s="15"/>
      <c r="AG60" s="14"/>
      <c r="AH60" s="14"/>
      <c r="AI60" s="14"/>
      <c r="AJ60" s="14"/>
      <c r="AK60" s="16">
        <f t="shared" si="14"/>
        <v>202603</v>
      </c>
      <c r="AL60" s="17" t="str">
        <f t="shared" si="15"/>
        <v/>
      </c>
    </row>
    <row r="61" ht="15.75" customHeight="1">
      <c r="A61" s="6">
        <v>46086.0</v>
      </c>
      <c r="B61" s="7" t="str">
        <f t="shared" si="1"/>
        <v/>
      </c>
      <c r="C61" s="7" t="str">
        <f t="shared" si="16"/>
        <v/>
      </c>
      <c r="D61" s="7" t="str">
        <f t="shared" si="2"/>
        <v/>
      </c>
      <c r="E61" s="8" t="str">
        <f t="shared" si="3"/>
        <v/>
      </c>
      <c r="F61" s="8" t="str">
        <f>IF(OR($Y61="",$Y61=0,$G61="",$G61=0),"",($S61-$G61*'03_포지션'!$B$13)/$Y61)</f>
        <v/>
      </c>
      <c r="G61" s="7" t="str">
        <f t="shared" si="4"/>
        <v/>
      </c>
      <c r="H61" s="7" t="str">
        <f t="shared" si="5"/>
        <v/>
      </c>
      <c r="I61" s="7" t="str">
        <f t="shared" si="6"/>
        <v/>
      </c>
      <c r="J61" s="9" t="str">
        <f>IF(OR($I61="",'09_CF_원금'!$B$108=0),"",$I61/'09_CF_원금'!$B$108)</f>
        <v/>
      </c>
      <c r="K61" s="8" t="str">
        <f t="shared" si="7"/>
        <v/>
      </c>
      <c r="L61" s="8" t="str">
        <f t="shared" si="8"/>
        <v/>
      </c>
      <c r="M61" s="7" t="str">
        <f t="shared" si="9"/>
        <v/>
      </c>
      <c r="N61" s="7" t="str">
        <f t="shared" si="10"/>
        <v/>
      </c>
      <c r="O61" s="7" t="str">
        <f t="shared" si="11"/>
        <v/>
      </c>
      <c r="P61" s="10"/>
      <c r="Q61" s="11"/>
      <c r="R61" s="11"/>
      <c r="S61" s="12"/>
      <c r="T61" s="12"/>
      <c r="U61" s="12"/>
      <c r="V61" s="12"/>
      <c r="W61" s="18" t="str">
        <f t="shared" si="17"/>
        <v/>
      </c>
      <c r="X61" s="7" t="str">
        <f t="shared" si="18"/>
        <v/>
      </c>
      <c r="Y61" s="7" t="str">
        <f t="shared" si="19"/>
        <v/>
      </c>
      <c r="Z61" s="7" t="str">
        <f t="shared" si="12"/>
        <v/>
      </c>
      <c r="AA61" s="14">
        <f>SUMIFS('09_CF_원금'!$E$6:$E$92,'09_CF_원금'!$D$6:$D$92,"국장",'09_CF_원금'!$A$6:$A$92,"&lt;="&amp;$A61)-SUMIFS('09_CF_원금'!$E$6:$E$92,'09_CF_원금'!$C$6:$C$92,"국장",'09_CF_원금'!$A$6:$A$92,"&lt;="&amp;$A61)</f>
        <v>200000000</v>
      </c>
      <c r="AB61" s="14">
        <f>SUMIFS('09_CF_원금'!$E$6:$E$92,'09_CF_원금'!$D$6:$D$92,"미장",'09_CF_원금'!$A$6:$A$92,"&lt;="&amp;$A61)-SUMIFS('09_CF_원금'!$E$6:$E$92,'09_CF_원금'!$C$6:$C$92,"미장",'09_CF_원금'!$A$6:$A$92,"&lt;="&amp;$A61)</f>
        <v>110000000</v>
      </c>
      <c r="AC61" s="14">
        <f>SUMIFS('09_CF_원금'!$E$6:$E$92,'09_CF_원금'!$D$6:$D$92,"ISA",'09_CF_원금'!$A$6:$A$92,"&lt;="&amp;$A61)-SUMIFS('09_CF_원금'!$E$6:$E$92,'09_CF_원금'!$C$6:$C$92,"ISA",'09_CF_원금'!$A$6:$A$92,"&lt;="&amp;$A61)</f>
        <v>40000000</v>
      </c>
      <c r="AD61" s="14">
        <f>IF($A61="","",$AA61+$AB61+$AC61+SUMIFS('09_CF_원금'!$E$6:$E$92,'09_CF_원금'!$D$6:$D$92,"중국",'09_CF_원금'!$A$6:$A$92,"&lt;="&amp;$A61)-SUMIFS('09_CF_원금'!$E$6:$E$92,'09_CF_원금'!$C$6:$C$92,"중국",'09_CF_원금'!$A$6:$A$92,"&lt;="&amp;$A61))</f>
        <v>350000000</v>
      </c>
      <c r="AE61" s="14" t="str">
        <f t="shared" si="13"/>
        <v/>
      </c>
      <c r="AF61" s="15"/>
      <c r="AG61" s="14"/>
      <c r="AH61" s="14"/>
      <c r="AI61" s="14"/>
      <c r="AJ61" s="14"/>
      <c r="AK61" s="16">
        <f t="shared" si="14"/>
        <v>202603</v>
      </c>
      <c r="AL61" s="17" t="str">
        <f t="shared" si="15"/>
        <v/>
      </c>
    </row>
    <row r="62" ht="15.75" customHeight="1">
      <c r="A62" s="6">
        <v>46087.0</v>
      </c>
      <c r="B62" s="7">
        <f t="shared" si="1"/>
        <v>540550122</v>
      </c>
      <c r="C62" s="7" t="str">
        <f t="shared" si="16"/>
        <v/>
      </c>
      <c r="D62" s="7">
        <f t="shared" si="2"/>
        <v>190550122</v>
      </c>
      <c r="E62" s="8">
        <f t="shared" si="3"/>
        <v>-0.1769358389</v>
      </c>
      <c r="F62" s="8" t="str">
        <f>IF(OR($Y62="",$Y62=0,$G62="",$G62=0),"",($S62-$G62*'03_포지션'!$B$13)/$Y62)</f>
        <v/>
      </c>
      <c r="G62" s="7" t="str">
        <f t="shared" si="4"/>
        <v/>
      </c>
      <c r="H62" s="7" t="str">
        <f t="shared" si="5"/>
        <v/>
      </c>
      <c r="I62" s="7" t="str">
        <f t="shared" si="6"/>
        <v/>
      </c>
      <c r="J62" s="9" t="str">
        <f>IF(OR($I62="",'09_CF_원금'!$B$108=0),"",$I62/'09_CF_원금'!$B$108)</f>
        <v/>
      </c>
      <c r="K62" s="8" t="str">
        <f t="shared" si="7"/>
        <v/>
      </c>
      <c r="L62" s="8" t="str">
        <f t="shared" si="8"/>
        <v/>
      </c>
      <c r="M62" s="7">
        <f t="shared" si="9"/>
        <v>180778664</v>
      </c>
      <c r="N62" s="7">
        <f t="shared" si="10"/>
        <v>3787603</v>
      </c>
      <c r="O62" s="7">
        <f t="shared" si="11"/>
        <v>5983855</v>
      </c>
      <c r="P62" s="10"/>
      <c r="Q62" s="11"/>
      <c r="R62" s="11" t="s">
        <v>346</v>
      </c>
      <c r="S62" s="12"/>
      <c r="T62" s="12"/>
      <c r="U62" s="12"/>
      <c r="V62" s="12"/>
      <c r="W62" s="18" t="str">
        <f t="shared" si="17"/>
        <v/>
      </c>
      <c r="X62" s="7" t="str">
        <f t="shared" si="18"/>
        <v/>
      </c>
      <c r="Y62" s="7" t="str">
        <f t="shared" si="19"/>
        <v/>
      </c>
      <c r="Z62" s="7" t="str">
        <f t="shared" si="12"/>
        <v/>
      </c>
      <c r="AA62" s="14">
        <f>SUMIFS('09_CF_원금'!$E$6:$E$92,'09_CF_원금'!$D$6:$D$92,"국장",'09_CF_원금'!$A$6:$A$92,"&lt;="&amp;$A62)-SUMIFS('09_CF_원금'!$E$6:$E$92,'09_CF_원금'!$C$6:$C$92,"국장",'09_CF_원금'!$A$6:$A$92,"&lt;="&amp;$A62)</f>
        <v>200000000</v>
      </c>
      <c r="AB62" s="14">
        <f>SUMIFS('09_CF_원금'!$E$6:$E$92,'09_CF_원금'!$D$6:$D$92,"미장",'09_CF_원금'!$A$6:$A$92,"&lt;="&amp;$A62)-SUMIFS('09_CF_원금'!$E$6:$E$92,'09_CF_원금'!$C$6:$C$92,"미장",'09_CF_원금'!$A$6:$A$92,"&lt;="&amp;$A62)</f>
        <v>110000000</v>
      </c>
      <c r="AC62" s="14">
        <f>SUMIFS('09_CF_원금'!$E$6:$E$92,'09_CF_원금'!$D$6:$D$92,"ISA",'09_CF_원금'!$A$6:$A$92,"&lt;="&amp;$A62)-SUMIFS('09_CF_원금'!$E$6:$E$92,'09_CF_원금'!$C$6:$C$92,"ISA",'09_CF_원금'!$A$6:$A$92,"&lt;="&amp;$A62)</f>
        <v>40000000</v>
      </c>
      <c r="AD62" s="14">
        <f>IF($A62="","",$AA62+$AB62+$AC62+SUMIFS('09_CF_원금'!$E$6:$E$92,'09_CF_원금'!$D$6:$D$92,"중국",'09_CF_원금'!$A$6:$A$92,"&lt;="&amp;$A62)-SUMIFS('09_CF_원금'!$E$6:$E$92,'09_CF_원금'!$C$6:$C$92,"중국",'09_CF_원금'!$A$6:$A$92,"&lt;="&amp;$A62))</f>
        <v>350000000</v>
      </c>
      <c r="AE62" s="14">
        <f t="shared" si="13"/>
        <v>656753322</v>
      </c>
      <c r="AF62" s="15">
        <v>24670.0</v>
      </c>
      <c r="AG62" s="14">
        <v>1.90550122E8</v>
      </c>
      <c r="AH62" s="14">
        <v>1.80778664E8</v>
      </c>
      <c r="AI62" s="14">
        <v>3787603.0</v>
      </c>
      <c r="AJ62" s="14">
        <v>5983855.0</v>
      </c>
      <c r="AK62" s="16">
        <f t="shared" si="14"/>
        <v>202603</v>
      </c>
      <c r="AL62" s="17" t="str">
        <f t="shared" si="15"/>
        <v/>
      </c>
    </row>
    <row r="63" ht="15.75" customHeight="1">
      <c r="A63" s="6">
        <v>46090.0</v>
      </c>
      <c r="B63" s="7" t="str">
        <f t="shared" si="1"/>
        <v/>
      </c>
      <c r="C63" s="7" t="str">
        <f t="shared" si="16"/>
        <v/>
      </c>
      <c r="D63" s="7" t="str">
        <f t="shared" si="2"/>
        <v/>
      </c>
      <c r="E63" s="8" t="str">
        <f t="shared" si="3"/>
        <v/>
      </c>
      <c r="F63" s="8" t="str">
        <f>IF(OR($Y63="",$Y63=0,$G63="",$G63=0),"",($S63-$G63*'03_포지션'!$B$13)/$Y63)</f>
        <v/>
      </c>
      <c r="G63" s="7" t="str">
        <f t="shared" si="4"/>
        <v/>
      </c>
      <c r="H63" s="7" t="str">
        <f t="shared" si="5"/>
        <v/>
      </c>
      <c r="I63" s="7" t="str">
        <f t="shared" si="6"/>
        <v/>
      </c>
      <c r="J63" s="9" t="str">
        <f>IF(OR($I63="",'09_CF_원금'!$B$108=0),"",$I63/'09_CF_원금'!$B$108)</f>
        <v/>
      </c>
      <c r="K63" s="8" t="str">
        <f t="shared" si="7"/>
        <v/>
      </c>
      <c r="L63" s="8" t="str">
        <f t="shared" si="8"/>
        <v/>
      </c>
      <c r="M63" s="7" t="str">
        <f t="shared" si="9"/>
        <v/>
      </c>
      <c r="N63" s="7" t="str">
        <f t="shared" si="10"/>
        <v/>
      </c>
      <c r="O63" s="7" t="str">
        <f t="shared" si="11"/>
        <v/>
      </c>
      <c r="P63" s="10"/>
      <c r="Q63" s="11"/>
      <c r="R63" s="11"/>
      <c r="S63" s="12"/>
      <c r="T63" s="12"/>
      <c r="U63" s="12"/>
      <c r="V63" s="12"/>
      <c r="W63" s="18" t="str">
        <f t="shared" si="17"/>
        <v/>
      </c>
      <c r="X63" s="7" t="str">
        <f t="shared" si="18"/>
        <v/>
      </c>
      <c r="Y63" s="7" t="str">
        <f t="shared" si="19"/>
        <v/>
      </c>
      <c r="Z63" s="7" t="str">
        <f t="shared" si="12"/>
        <v/>
      </c>
      <c r="AA63" s="14">
        <f>SUMIFS('09_CF_원금'!$E$6:$E$92,'09_CF_원금'!$D$6:$D$92,"국장",'09_CF_원금'!$A$6:$A$92,"&lt;="&amp;$A63)-SUMIFS('09_CF_원금'!$E$6:$E$92,'09_CF_원금'!$C$6:$C$92,"국장",'09_CF_원금'!$A$6:$A$92,"&lt;="&amp;$A63)</f>
        <v>200000000</v>
      </c>
      <c r="AB63" s="14">
        <f>SUMIFS('09_CF_원금'!$E$6:$E$92,'09_CF_원금'!$D$6:$D$92,"미장",'09_CF_원금'!$A$6:$A$92,"&lt;="&amp;$A63)-SUMIFS('09_CF_원금'!$E$6:$E$92,'09_CF_원금'!$C$6:$C$92,"미장",'09_CF_원금'!$A$6:$A$92,"&lt;="&amp;$A63)</f>
        <v>110000000</v>
      </c>
      <c r="AC63" s="14">
        <f>SUMIFS('09_CF_원금'!$E$6:$E$92,'09_CF_원금'!$D$6:$D$92,"ISA",'09_CF_원금'!$A$6:$A$92,"&lt;="&amp;$A63)-SUMIFS('09_CF_원금'!$E$6:$E$92,'09_CF_원금'!$C$6:$C$92,"ISA",'09_CF_원금'!$A$6:$A$92,"&lt;="&amp;$A63)</f>
        <v>40000000</v>
      </c>
      <c r="AD63" s="14">
        <f>IF($A63="","",$AA63+$AB63+$AC63+SUMIFS('09_CF_원금'!$E$6:$E$92,'09_CF_원금'!$D$6:$D$92,"중국",'09_CF_원금'!$A$6:$A$92,"&lt;="&amp;$A63)-SUMIFS('09_CF_원금'!$E$6:$E$92,'09_CF_원금'!$C$6:$C$92,"중국",'09_CF_원금'!$A$6:$A$92,"&lt;="&amp;$A63))</f>
        <v>350000000</v>
      </c>
      <c r="AE63" s="14" t="str">
        <f t="shared" si="13"/>
        <v/>
      </c>
      <c r="AF63" s="15"/>
      <c r="AG63" s="14"/>
      <c r="AH63" s="14"/>
      <c r="AI63" s="14"/>
      <c r="AJ63" s="14"/>
      <c r="AK63" s="16">
        <f t="shared" si="14"/>
        <v>202603</v>
      </c>
      <c r="AL63" s="17" t="str">
        <f t="shared" si="15"/>
        <v/>
      </c>
    </row>
    <row r="64" ht="15.75" customHeight="1">
      <c r="A64" s="6">
        <v>46091.0</v>
      </c>
      <c r="B64" s="7" t="str">
        <f t="shared" si="1"/>
        <v/>
      </c>
      <c r="C64" s="7" t="str">
        <f t="shared" si="16"/>
        <v/>
      </c>
      <c r="D64" s="7" t="str">
        <f t="shared" si="2"/>
        <v/>
      </c>
      <c r="E64" s="8" t="str">
        <f t="shared" si="3"/>
        <v/>
      </c>
      <c r="F64" s="8" t="str">
        <f>IF(OR($Y64="",$Y64=0,$G64="",$G64=0),"",($S64-$G64*'03_포지션'!$B$13)/$Y64)</f>
        <v/>
      </c>
      <c r="G64" s="7" t="str">
        <f t="shared" si="4"/>
        <v/>
      </c>
      <c r="H64" s="7" t="str">
        <f t="shared" si="5"/>
        <v/>
      </c>
      <c r="I64" s="7" t="str">
        <f t="shared" si="6"/>
        <v/>
      </c>
      <c r="J64" s="9" t="str">
        <f>IF(OR($I64="",'09_CF_원금'!$B$108=0),"",$I64/'09_CF_원금'!$B$108)</f>
        <v/>
      </c>
      <c r="K64" s="8" t="str">
        <f t="shared" si="7"/>
        <v/>
      </c>
      <c r="L64" s="8" t="str">
        <f t="shared" si="8"/>
        <v/>
      </c>
      <c r="M64" s="7" t="str">
        <f t="shared" si="9"/>
        <v/>
      </c>
      <c r="N64" s="7" t="str">
        <f t="shared" si="10"/>
        <v/>
      </c>
      <c r="O64" s="7" t="str">
        <f t="shared" si="11"/>
        <v/>
      </c>
      <c r="P64" s="10"/>
      <c r="Q64" s="11"/>
      <c r="R64" s="11"/>
      <c r="S64" s="12"/>
      <c r="T64" s="12"/>
      <c r="U64" s="12"/>
      <c r="V64" s="12"/>
      <c r="W64" s="18" t="str">
        <f t="shared" si="17"/>
        <v/>
      </c>
      <c r="X64" s="7" t="str">
        <f t="shared" si="18"/>
        <v/>
      </c>
      <c r="Y64" s="7" t="str">
        <f t="shared" si="19"/>
        <v/>
      </c>
      <c r="Z64" s="7" t="str">
        <f t="shared" si="12"/>
        <v/>
      </c>
      <c r="AA64" s="14">
        <f>SUMIFS('09_CF_원금'!$E$6:$E$92,'09_CF_원금'!$D$6:$D$92,"국장",'09_CF_원금'!$A$6:$A$92,"&lt;="&amp;$A64)-SUMIFS('09_CF_원금'!$E$6:$E$92,'09_CF_원금'!$C$6:$C$92,"국장",'09_CF_원금'!$A$6:$A$92,"&lt;="&amp;$A64)</f>
        <v>200000000</v>
      </c>
      <c r="AB64" s="14">
        <f>SUMIFS('09_CF_원금'!$E$6:$E$92,'09_CF_원금'!$D$6:$D$92,"미장",'09_CF_원금'!$A$6:$A$92,"&lt;="&amp;$A64)-SUMIFS('09_CF_원금'!$E$6:$E$92,'09_CF_원금'!$C$6:$C$92,"미장",'09_CF_원금'!$A$6:$A$92,"&lt;="&amp;$A64)</f>
        <v>110000000</v>
      </c>
      <c r="AC64" s="14">
        <f>SUMIFS('09_CF_원금'!$E$6:$E$92,'09_CF_원금'!$D$6:$D$92,"ISA",'09_CF_원금'!$A$6:$A$92,"&lt;="&amp;$A64)-SUMIFS('09_CF_원금'!$E$6:$E$92,'09_CF_원금'!$C$6:$C$92,"ISA",'09_CF_원금'!$A$6:$A$92,"&lt;="&amp;$A64)</f>
        <v>40000000</v>
      </c>
      <c r="AD64" s="14">
        <f>IF($A64="","",$AA64+$AB64+$AC64+SUMIFS('09_CF_원금'!$E$6:$E$92,'09_CF_원금'!$D$6:$D$92,"중국",'09_CF_원금'!$A$6:$A$92,"&lt;="&amp;$A64)-SUMIFS('09_CF_원금'!$E$6:$E$92,'09_CF_원금'!$C$6:$C$92,"중국",'09_CF_원금'!$A$6:$A$92,"&lt;="&amp;$A64))</f>
        <v>350000000</v>
      </c>
      <c r="AE64" s="14" t="str">
        <f t="shared" si="13"/>
        <v/>
      </c>
      <c r="AF64" s="15"/>
      <c r="AG64" s="14"/>
      <c r="AH64" s="14"/>
      <c r="AI64" s="14"/>
      <c r="AJ64" s="14"/>
      <c r="AK64" s="16">
        <f t="shared" si="14"/>
        <v>202603</v>
      </c>
      <c r="AL64" s="17" t="str">
        <f t="shared" si="15"/>
        <v/>
      </c>
    </row>
    <row r="65" ht="15.75" customHeight="1">
      <c r="A65" s="6">
        <v>46092.0</v>
      </c>
      <c r="B65" s="7" t="str">
        <f t="shared" si="1"/>
        <v/>
      </c>
      <c r="C65" s="7" t="str">
        <f t="shared" si="16"/>
        <v/>
      </c>
      <c r="D65" s="7" t="str">
        <f t="shared" si="2"/>
        <v/>
      </c>
      <c r="E65" s="8" t="str">
        <f t="shared" si="3"/>
        <v/>
      </c>
      <c r="F65" s="8" t="str">
        <f>IF(OR($Y65="",$Y65=0,$G65="",$G65=0),"",($S65-$G65*'03_포지션'!$B$13)/$Y65)</f>
        <v/>
      </c>
      <c r="G65" s="7" t="str">
        <f t="shared" si="4"/>
        <v/>
      </c>
      <c r="H65" s="7" t="str">
        <f t="shared" si="5"/>
        <v/>
      </c>
      <c r="I65" s="7" t="str">
        <f t="shared" si="6"/>
        <v/>
      </c>
      <c r="J65" s="9" t="str">
        <f>IF(OR($I65="",'09_CF_원금'!$B$108=0),"",$I65/'09_CF_원금'!$B$108)</f>
        <v/>
      </c>
      <c r="K65" s="8" t="str">
        <f t="shared" si="7"/>
        <v/>
      </c>
      <c r="L65" s="8" t="str">
        <f t="shared" si="8"/>
        <v/>
      </c>
      <c r="M65" s="7" t="str">
        <f t="shared" si="9"/>
        <v/>
      </c>
      <c r="N65" s="7" t="str">
        <f t="shared" si="10"/>
        <v/>
      </c>
      <c r="O65" s="7" t="str">
        <f t="shared" si="11"/>
        <v/>
      </c>
      <c r="P65" s="10"/>
      <c r="Q65" s="11"/>
      <c r="R65" s="11"/>
      <c r="S65" s="12"/>
      <c r="T65" s="12"/>
      <c r="U65" s="12"/>
      <c r="V65" s="12"/>
      <c r="W65" s="18" t="str">
        <f t="shared" si="17"/>
        <v/>
      </c>
      <c r="X65" s="7" t="str">
        <f t="shared" si="18"/>
        <v/>
      </c>
      <c r="Y65" s="7" t="str">
        <f t="shared" si="19"/>
        <v/>
      </c>
      <c r="Z65" s="7" t="str">
        <f t="shared" si="12"/>
        <v/>
      </c>
      <c r="AA65" s="14">
        <f>SUMIFS('09_CF_원금'!$E$6:$E$92,'09_CF_원금'!$D$6:$D$92,"국장",'09_CF_원금'!$A$6:$A$92,"&lt;="&amp;$A65)-SUMIFS('09_CF_원금'!$E$6:$E$92,'09_CF_원금'!$C$6:$C$92,"국장",'09_CF_원금'!$A$6:$A$92,"&lt;="&amp;$A65)</f>
        <v>200000000</v>
      </c>
      <c r="AB65" s="14">
        <f>SUMIFS('09_CF_원금'!$E$6:$E$92,'09_CF_원금'!$D$6:$D$92,"미장",'09_CF_원금'!$A$6:$A$92,"&lt;="&amp;$A65)-SUMIFS('09_CF_원금'!$E$6:$E$92,'09_CF_원금'!$C$6:$C$92,"미장",'09_CF_원금'!$A$6:$A$92,"&lt;="&amp;$A65)</f>
        <v>110000000</v>
      </c>
      <c r="AC65" s="14">
        <f>SUMIFS('09_CF_원금'!$E$6:$E$92,'09_CF_원금'!$D$6:$D$92,"ISA",'09_CF_원금'!$A$6:$A$92,"&lt;="&amp;$A65)-SUMIFS('09_CF_원금'!$E$6:$E$92,'09_CF_원금'!$C$6:$C$92,"ISA",'09_CF_원금'!$A$6:$A$92,"&lt;="&amp;$A65)</f>
        <v>40000000</v>
      </c>
      <c r="AD65" s="14">
        <f>IF($A65="","",$AA65+$AB65+$AC65+SUMIFS('09_CF_원금'!$E$6:$E$92,'09_CF_원금'!$D$6:$D$92,"중국",'09_CF_원금'!$A$6:$A$92,"&lt;="&amp;$A65)-SUMIFS('09_CF_원금'!$E$6:$E$92,'09_CF_원금'!$C$6:$C$92,"중국",'09_CF_원금'!$A$6:$A$92,"&lt;="&amp;$A65))</f>
        <v>350000000</v>
      </c>
      <c r="AE65" s="14" t="str">
        <f t="shared" si="13"/>
        <v/>
      </c>
      <c r="AF65" s="15"/>
      <c r="AG65" s="14"/>
      <c r="AH65" s="14"/>
      <c r="AI65" s="14"/>
      <c r="AJ65" s="14"/>
      <c r="AK65" s="16">
        <f t="shared" si="14"/>
        <v>202603</v>
      </c>
      <c r="AL65" s="17" t="str">
        <f t="shared" si="15"/>
        <v/>
      </c>
    </row>
    <row r="66" ht="15.75" customHeight="1">
      <c r="A66" s="6">
        <v>46093.0</v>
      </c>
      <c r="B66" s="7" t="str">
        <f t="shared" si="1"/>
        <v/>
      </c>
      <c r="C66" s="7" t="str">
        <f t="shared" si="16"/>
        <v/>
      </c>
      <c r="D66" s="7" t="str">
        <f t="shared" si="2"/>
        <v/>
      </c>
      <c r="E66" s="8" t="str">
        <f t="shared" si="3"/>
        <v/>
      </c>
      <c r="F66" s="8" t="str">
        <f>IF(OR($Y66="",$Y66=0,$G66="",$G66=0),"",($S66-$G66*'03_포지션'!$B$13)/$Y66)</f>
        <v/>
      </c>
      <c r="G66" s="7" t="str">
        <f t="shared" si="4"/>
        <v/>
      </c>
      <c r="H66" s="7" t="str">
        <f t="shared" si="5"/>
        <v/>
      </c>
      <c r="I66" s="7" t="str">
        <f t="shared" si="6"/>
        <v/>
      </c>
      <c r="J66" s="9" t="str">
        <f>IF(OR($I66="",'09_CF_원금'!$B$108=0),"",$I66/'09_CF_원금'!$B$108)</f>
        <v/>
      </c>
      <c r="K66" s="8" t="str">
        <f t="shared" si="7"/>
        <v/>
      </c>
      <c r="L66" s="8" t="str">
        <f t="shared" si="8"/>
        <v/>
      </c>
      <c r="M66" s="7" t="str">
        <f t="shared" si="9"/>
        <v/>
      </c>
      <c r="N66" s="7" t="str">
        <f t="shared" si="10"/>
        <v/>
      </c>
      <c r="O66" s="7" t="str">
        <f t="shared" si="11"/>
        <v/>
      </c>
      <c r="P66" s="10"/>
      <c r="Q66" s="11"/>
      <c r="R66" s="11"/>
      <c r="S66" s="12"/>
      <c r="T66" s="12"/>
      <c r="U66" s="12"/>
      <c r="V66" s="12"/>
      <c r="W66" s="18" t="str">
        <f t="shared" si="17"/>
        <v/>
      </c>
      <c r="X66" s="7" t="str">
        <f t="shared" si="18"/>
        <v/>
      </c>
      <c r="Y66" s="7" t="str">
        <f t="shared" si="19"/>
        <v/>
      </c>
      <c r="Z66" s="7" t="str">
        <f t="shared" si="12"/>
        <v/>
      </c>
      <c r="AA66" s="14">
        <f>SUMIFS('09_CF_원금'!$E$6:$E$92,'09_CF_원금'!$D$6:$D$92,"국장",'09_CF_원금'!$A$6:$A$92,"&lt;="&amp;$A66)-SUMIFS('09_CF_원금'!$E$6:$E$92,'09_CF_원금'!$C$6:$C$92,"국장",'09_CF_원금'!$A$6:$A$92,"&lt;="&amp;$A66)</f>
        <v>200000000</v>
      </c>
      <c r="AB66" s="14">
        <f>SUMIFS('09_CF_원금'!$E$6:$E$92,'09_CF_원금'!$D$6:$D$92,"미장",'09_CF_원금'!$A$6:$A$92,"&lt;="&amp;$A66)-SUMIFS('09_CF_원금'!$E$6:$E$92,'09_CF_원금'!$C$6:$C$92,"미장",'09_CF_원금'!$A$6:$A$92,"&lt;="&amp;$A66)</f>
        <v>110000000</v>
      </c>
      <c r="AC66" s="14">
        <f>SUMIFS('09_CF_원금'!$E$6:$E$92,'09_CF_원금'!$D$6:$D$92,"ISA",'09_CF_원금'!$A$6:$A$92,"&lt;="&amp;$A66)-SUMIFS('09_CF_원금'!$E$6:$E$92,'09_CF_원금'!$C$6:$C$92,"ISA",'09_CF_원금'!$A$6:$A$92,"&lt;="&amp;$A66)</f>
        <v>40000000</v>
      </c>
      <c r="AD66" s="14">
        <f>IF($A66="","",$AA66+$AB66+$AC66+SUMIFS('09_CF_원금'!$E$6:$E$92,'09_CF_원금'!$D$6:$D$92,"중국",'09_CF_원금'!$A$6:$A$92,"&lt;="&amp;$A66)-SUMIFS('09_CF_원금'!$E$6:$E$92,'09_CF_원금'!$C$6:$C$92,"중국",'09_CF_원금'!$A$6:$A$92,"&lt;="&amp;$A66))</f>
        <v>350000000</v>
      </c>
      <c r="AE66" s="14" t="str">
        <f t="shared" si="13"/>
        <v/>
      </c>
      <c r="AF66" s="15"/>
      <c r="AG66" s="14"/>
      <c r="AH66" s="14"/>
      <c r="AI66" s="14"/>
      <c r="AJ66" s="14"/>
      <c r="AK66" s="16">
        <f t="shared" si="14"/>
        <v>202603</v>
      </c>
      <c r="AL66" s="17" t="str">
        <f t="shared" si="15"/>
        <v/>
      </c>
    </row>
    <row r="67" ht="15.75" customHeight="1">
      <c r="A67" s="6">
        <v>46094.0</v>
      </c>
      <c r="B67" s="7">
        <f t="shared" si="1"/>
        <v>551303827</v>
      </c>
      <c r="C67" s="7" t="str">
        <f t="shared" si="16"/>
        <v/>
      </c>
      <c r="D67" s="7">
        <f t="shared" si="2"/>
        <v>201303827</v>
      </c>
      <c r="E67" s="8">
        <f t="shared" si="3"/>
        <v>-0.1605617992</v>
      </c>
      <c r="F67" s="8" t="str">
        <f>IF(OR($Y67="",$Y67=0,$G67="",$G67=0),"",($S67-$G67*'03_포지션'!$B$13)/$Y67)</f>
        <v/>
      </c>
      <c r="G67" s="7" t="str">
        <f t="shared" si="4"/>
        <v/>
      </c>
      <c r="H67" s="7" t="str">
        <f t="shared" si="5"/>
        <v/>
      </c>
      <c r="I67" s="7" t="str">
        <f t="shared" si="6"/>
        <v/>
      </c>
      <c r="J67" s="9" t="str">
        <f>IF(OR($I67="",'09_CF_원금'!$B$108=0),"",$I67/'09_CF_원금'!$B$108)</f>
        <v/>
      </c>
      <c r="K67" s="8" t="str">
        <f t="shared" si="7"/>
        <v/>
      </c>
      <c r="L67" s="8" t="str">
        <f t="shared" si="8"/>
        <v/>
      </c>
      <c r="M67" s="7">
        <f t="shared" si="9"/>
        <v>166704451</v>
      </c>
      <c r="N67" s="7">
        <f t="shared" si="10"/>
        <v>28266315</v>
      </c>
      <c r="O67" s="7">
        <f t="shared" si="11"/>
        <v>6333061</v>
      </c>
      <c r="P67" s="10"/>
      <c r="Q67" s="11"/>
      <c r="R67" s="11"/>
      <c r="S67" s="12"/>
      <c r="T67" s="12"/>
      <c r="U67" s="12"/>
      <c r="V67" s="12"/>
      <c r="W67" s="18" t="str">
        <f t="shared" si="17"/>
        <v/>
      </c>
      <c r="X67" s="7" t="str">
        <f t="shared" si="18"/>
        <v/>
      </c>
      <c r="Y67" s="7" t="str">
        <f t="shared" si="19"/>
        <v/>
      </c>
      <c r="Z67" s="7" t="str">
        <f t="shared" si="12"/>
        <v/>
      </c>
      <c r="AA67" s="14">
        <f>SUMIFS('09_CF_원금'!$E$6:$E$92,'09_CF_원금'!$D$6:$D$92,"국장",'09_CF_원금'!$A$6:$A$92,"&lt;="&amp;$A67)-SUMIFS('09_CF_원금'!$E$6:$E$92,'09_CF_원금'!$C$6:$C$92,"국장",'09_CF_원금'!$A$6:$A$92,"&lt;="&amp;$A67)</f>
        <v>200000000</v>
      </c>
      <c r="AB67" s="14">
        <f>SUMIFS('09_CF_원금'!$E$6:$E$92,'09_CF_원금'!$D$6:$D$92,"미장",'09_CF_원금'!$A$6:$A$92,"&lt;="&amp;$A67)-SUMIFS('09_CF_원금'!$E$6:$E$92,'09_CF_원금'!$C$6:$C$92,"미장",'09_CF_원금'!$A$6:$A$92,"&lt;="&amp;$A67)</f>
        <v>110000000</v>
      </c>
      <c r="AC67" s="14">
        <f>SUMIFS('09_CF_원금'!$E$6:$E$92,'09_CF_원금'!$D$6:$D$92,"ISA",'09_CF_원금'!$A$6:$A$92,"&lt;="&amp;$A67)-SUMIFS('09_CF_원금'!$E$6:$E$92,'09_CF_원금'!$C$6:$C$92,"ISA",'09_CF_원금'!$A$6:$A$92,"&lt;="&amp;$A67)</f>
        <v>40000000</v>
      </c>
      <c r="AD67" s="14">
        <f>IF($A67="","",$AA67+$AB67+$AC67+SUMIFS('09_CF_원금'!$E$6:$E$92,'09_CF_원금'!$D$6:$D$92,"중국",'09_CF_원금'!$A$6:$A$92,"&lt;="&amp;$A67)-SUMIFS('09_CF_원금'!$E$6:$E$92,'09_CF_원금'!$C$6:$C$92,"중국",'09_CF_원금'!$A$6:$A$92,"&lt;="&amp;$A67))</f>
        <v>350000000</v>
      </c>
      <c r="AE67" s="14">
        <f t="shared" si="13"/>
        <v>656753322</v>
      </c>
      <c r="AF67" s="15">
        <v>24560.0</v>
      </c>
      <c r="AG67" s="14">
        <v>2.01303827E8</v>
      </c>
      <c r="AH67" s="14">
        <v>1.66704451E8</v>
      </c>
      <c r="AI67" s="14">
        <v>2.8266315E7</v>
      </c>
      <c r="AJ67" s="14">
        <v>6333061.0</v>
      </c>
      <c r="AK67" s="16">
        <f t="shared" si="14"/>
        <v>202603</v>
      </c>
      <c r="AL67" s="17" t="str">
        <f t="shared" si="15"/>
        <v/>
      </c>
    </row>
    <row r="68" ht="15.75" customHeight="1">
      <c r="A68" s="6">
        <v>46097.0</v>
      </c>
      <c r="B68" s="7" t="str">
        <f t="shared" si="1"/>
        <v/>
      </c>
      <c r="C68" s="7" t="str">
        <f t="shared" si="16"/>
        <v/>
      </c>
      <c r="D68" s="7" t="str">
        <f t="shared" si="2"/>
        <v/>
      </c>
      <c r="E68" s="8" t="str">
        <f t="shared" si="3"/>
        <v/>
      </c>
      <c r="F68" s="8" t="str">
        <f>IF(OR($Y68="",$Y68=0,$G68="",$G68=0),"",($S68-$G68*'03_포지션'!$B$13)/$Y68)</f>
        <v/>
      </c>
      <c r="G68" s="7" t="str">
        <f t="shared" si="4"/>
        <v/>
      </c>
      <c r="H68" s="7" t="str">
        <f t="shared" si="5"/>
        <v/>
      </c>
      <c r="I68" s="7" t="str">
        <f t="shared" si="6"/>
        <v/>
      </c>
      <c r="J68" s="9" t="str">
        <f>IF(OR($I68="",'09_CF_원금'!$B$108=0),"",$I68/'09_CF_원금'!$B$108)</f>
        <v/>
      </c>
      <c r="K68" s="8" t="str">
        <f t="shared" si="7"/>
        <v/>
      </c>
      <c r="L68" s="8" t="str">
        <f t="shared" si="8"/>
        <v/>
      </c>
      <c r="M68" s="7" t="str">
        <f t="shared" si="9"/>
        <v/>
      </c>
      <c r="N68" s="7" t="str">
        <f t="shared" si="10"/>
        <v/>
      </c>
      <c r="O68" s="7" t="str">
        <f t="shared" si="11"/>
        <v/>
      </c>
      <c r="P68" s="10"/>
      <c r="Q68" s="11"/>
      <c r="R68" s="11"/>
      <c r="S68" s="12"/>
      <c r="T68" s="12"/>
      <c r="U68" s="12"/>
      <c r="V68" s="12"/>
      <c r="W68" s="18" t="str">
        <f t="shared" si="17"/>
        <v/>
      </c>
      <c r="X68" s="7" t="str">
        <f t="shared" si="18"/>
        <v/>
      </c>
      <c r="Y68" s="7" t="str">
        <f t="shared" si="19"/>
        <v/>
      </c>
      <c r="Z68" s="7" t="str">
        <f t="shared" si="12"/>
        <v/>
      </c>
      <c r="AA68" s="14">
        <f>SUMIFS('09_CF_원금'!$E$6:$E$92,'09_CF_원금'!$D$6:$D$92,"국장",'09_CF_원금'!$A$6:$A$92,"&lt;="&amp;$A68)-SUMIFS('09_CF_원금'!$E$6:$E$92,'09_CF_원금'!$C$6:$C$92,"국장",'09_CF_원금'!$A$6:$A$92,"&lt;="&amp;$A68)</f>
        <v>210000000</v>
      </c>
      <c r="AB68" s="14">
        <f>SUMIFS('09_CF_원금'!$E$6:$E$92,'09_CF_원금'!$D$6:$D$92,"미장",'09_CF_원금'!$A$6:$A$92,"&lt;="&amp;$A68)-SUMIFS('09_CF_원금'!$E$6:$E$92,'09_CF_원금'!$C$6:$C$92,"미장",'09_CF_원금'!$A$6:$A$92,"&lt;="&amp;$A68)</f>
        <v>100000000</v>
      </c>
      <c r="AC68" s="14">
        <f>SUMIFS('09_CF_원금'!$E$6:$E$92,'09_CF_원금'!$D$6:$D$92,"ISA",'09_CF_원금'!$A$6:$A$92,"&lt;="&amp;$A68)-SUMIFS('09_CF_원금'!$E$6:$E$92,'09_CF_원금'!$C$6:$C$92,"ISA",'09_CF_원금'!$A$6:$A$92,"&lt;="&amp;$A68)</f>
        <v>40000000</v>
      </c>
      <c r="AD68" s="14">
        <f>IF($A68="","",$AA68+$AB68+$AC68+SUMIFS('09_CF_원금'!$E$6:$E$92,'09_CF_원금'!$D$6:$D$92,"중국",'09_CF_원금'!$A$6:$A$92,"&lt;="&amp;$A68)-SUMIFS('09_CF_원금'!$E$6:$E$92,'09_CF_원금'!$C$6:$C$92,"중국",'09_CF_원금'!$A$6:$A$92,"&lt;="&amp;$A68))</f>
        <v>350000000</v>
      </c>
      <c r="AE68" s="14" t="str">
        <f t="shared" si="13"/>
        <v/>
      </c>
      <c r="AF68" s="15"/>
      <c r="AG68" s="14"/>
      <c r="AH68" s="14"/>
      <c r="AI68" s="14"/>
      <c r="AJ68" s="14"/>
      <c r="AK68" s="16">
        <f t="shared" si="14"/>
        <v>202603</v>
      </c>
      <c r="AL68" s="17" t="str">
        <f t="shared" si="15"/>
        <v/>
      </c>
    </row>
    <row r="69" ht="15.75" customHeight="1">
      <c r="A69" s="6">
        <v>46098.0</v>
      </c>
      <c r="B69" s="7" t="str">
        <f t="shared" si="1"/>
        <v/>
      </c>
      <c r="C69" s="7" t="str">
        <f t="shared" si="16"/>
        <v/>
      </c>
      <c r="D69" s="7" t="str">
        <f t="shared" si="2"/>
        <v/>
      </c>
      <c r="E69" s="8" t="str">
        <f t="shared" si="3"/>
        <v/>
      </c>
      <c r="F69" s="8" t="str">
        <f>IF(OR($Y69="",$Y69=0,$G69="",$G69=0),"",($S69-$G69*'03_포지션'!$B$13)/$Y69)</f>
        <v/>
      </c>
      <c r="G69" s="7" t="str">
        <f t="shared" si="4"/>
        <v/>
      </c>
      <c r="H69" s="7" t="str">
        <f t="shared" si="5"/>
        <v/>
      </c>
      <c r="I69" s="7" t="str">
        <f t="shared" si="6"/>
        <v/>
      </c>
      <c r="J69" s="9" t="str">
        <f>IF(OR($I69="",'09_CF_원금'!$B$108=0),"",$I69/'09_CF_원금'!$B$108)</f>
        <v/>
      </c>
      <c r="K69" s="8" t="str">
        <f t="shared" si="7"/>
        <v/>
      </c>
      <c r="L69" s="8" t="str">
        <f t="shared" si="8"/>
        <v/>
      </c>
      <c r="M69" s="7" t="str">
        <f t="shared" si="9"/>
        <v/>
      </c>
      <c r="N69" s="7" t="str">
        <f t="shared" si="10"/>
        <v/>
      </c>
      <c r="O69" s="7" t="str">
        <f t="shared" si="11"/>
        <v/>
      </c>
      <c r="P69" s="10"/>
      <c r="Q69" s="11"/>
      <c r="R69" s="11"/>
      <c r="S69" s="12"/>
      <c r="T69" s="12"/>
      <c r="U69" s="12"/>
      <c r="V69" s="12"/>
      <c r="W69" s="18" t="str">
        <f t="shared" si="17"/>
        <v/>
      </c>
      <c r="X69" s="7" t="str">
        <f t="shared" si="18"/>
        <v/>
      </c>
      <c r="Y69" s="7" t="str">
        <f t="shared" si="19"/>
        <v/>
      </c>
      <c r="Z69" s="7" t="str">
        <f t="shared" si="12"/>
        <v/>
      </c>
      <c r="AA69" s="14">
        <f>SUMIFS('09_CF_원금'!$E$6:$E$92,'09_CF_원금'!$D$6:$D$92,"국장",'09_CF_원금'!$A$6:$A$92,"&lt;="&amp;$A69)-SUMIFS('09_CF_원금'!$E$6:$E$92,'09_CF_원금'!$C$6:$C$92,"국장",'09_CF_원금'!$A$6:$A$92,"&lt;="&amp;$A69)</f>
        <v>210000000</v>
      </c>
      <c r="AB69" s="14">
        <f>SUMIFS('09_CF_원금'!$E$6:$E$92,'09_CF_원금'!$D$6:$D$92,"미장",'09_CF_원금'!$A$6:$A$92,"&lt;="&amp;$A69)-SUMIFS('09_CF_원금'!$E$6:$E$92,'09_CF_원금'!$C$6:$C$92,"미장",'09_CF_원금'!$A$6:$A$92,"&lt;="&amp;$A69)</f>
        <v>100000000</v>
      </c>
      <c r="AC69" s="14">
        <f>SUMIFS('09_CF_원금'!$E$6:$E$92,'09_CF_원금'!$D$6:$D$92,"ISA",'09_CF_원금'!$A$6:$A$92,"&lt;="&amp;$A69)-SUMIFS('09_CF_원금'!$E$6:$E$92,'09_CF_원금'!$C$6:$C$92,"ISA",'09_CF_원금'!$A$6:$A$92,"&lt;="&amp;$A69)</f>
        <v>40000000</v>
      </c>
      <c r="AD69" s="14">
        <f>IF($A69="","",$AA69+$AB69+$AC69+SUMIFS('09_CF_원금'!$E$6:$E$92,'09_CF_원금'!$D$6:$D$92,"중국",'09_CF_원금'!$A$6:$A$92,"&lt;="&amp;$A69)-SUMIFS('09_CF_원금'!$E$6:$E$92,'09_CF_원금'!$C$6:$C$92,"중국",'09_CF_원금'!$A$6:$A$92,"&lt;="&amp;$A69))</f>
        <v>350000000</v>
      </c>
      <c r="AE69" s="14" t="str">
        <f t="shared" si="13"/>
        <v/>
      </c>
      <c r="AF69" s="15"/>
      <c r="AG69" s="14"/>
      <c r="AH69" s="14"/>
      <c r="AI69" s="14"/>
      <c r="AJ69" s="14"/>
      <c r="AK69" s="16">
        <f t="shared" si="14"/>
        <v>202603</v>
      </c>
      <c r="AL69" s="17" t="str">
        <f t="shared" si="15"/>
        <v/>
      </c>
    </row>
    <row r="70" ht="15.75" customHeight="1">
      <c r="A70" s="6">
        <v>46099.0</v>
      </c>
      <c r="B70" s="7" t="str">
        <f t="shared" si="1"/>
        <v/>
      </c>
      <c r="C70" s="7" t="str">
        <f t="shared" si="16"/>
        <v/>
      </c>
      <c r="D70" s="7" t="str">
        <f t="shared" si="2"/>
        <v/>
      </c>
      <c r="E70" s="8" t="str">
        <f t="shared" si="3"/>
        <v/>
      </c>
      <c r="F70" s="8" t="str">
        <f>IF(OR($Y70="",$Y70=0,$G70="",$G70=0),"",($S70-$G70*'03_포지션'!$B$13)/$Y70)</f>
        <v/>
      </c>
      <c r="G70" s="7" t="str">
        <f t="shared" si="4"/>
        <v/>
      </c>
      <c r="H70" s="7" t="str">
        <f t="shared" si="5"/>
        <v/>
      </c>
      <c r="I70" s="7" t="str">
        <f t="shared" si="6"/>
        <v/>
      </c>
      <c r="J70" s="9" t="str">
        <f>IF(OR($I70="",'09_CF_원금'!$B$108=0),"",$I70/'09_CF_원금'!$B$108)</f>
        <v/>
      </c>
      <c r="K70" s="8" t="str">
        <f t="shared" si="7"/>
        <v/>
      </c>
      <c r="L70" s="8" t="str">
        <f t="shared" si="8"/>
        <v/>
      </c>
      <c r="M70" s="7" t="str">
        <f t="shared" si="9"/>
        <v/>
      </c>
      <c r="N70" s="7" t="str">
        <f t="shared" si="10"/>
        <v/>
      </c>
      <c r="O70" s="7" t="str">
        <f t="shared" si="11"/>
        <v/>
      </c>
      <c r="P70" s="10"/>
      <c r="Q70" s="11"/>
      <c r="R70" s="11"/>
      <c r="S70" s="12"/>
      <c r="T70" s="12"/>
      <c r="U70" s="12"/>
      <c r="V70" s="12"/>
      <c r="W70" s="18" t="str">
        <f t="shared" si="17"/>
        <v/>
      </c>
      <c r="X70" s="7" t="str">
        <f t="shared" si="18"/>
        <v/>
      </c>
      <c r="Y70" s="7" t="str">
        <f t="shared" si="19"/>
        <v/>
      </c>
      <c r="Z70" s="7" t="str">
        <f t="shared" si="12"/>
        <v/>
      </c>
      <c r="AA70" s="14">
        <f>SUMIFS('09_CF_원금'!$E$6:$E$92,'09_CF_원금'!$D$6:$D$92,"국장",'09_CF_원금'!$A$6:$A$92,"&lt;="&amp;$A70)-SUMIFS('09_CF_원금'!$E$6:$E$92,'09_CF_원금'!$C$6:$C$92,"국장",'09_CF_원금'!$A$6:$A$92,"&lt;="&amp;$A70)</f>
        <v>210000000</v>
      </c>
      <c r="AB70" s="14">
        <f>SUMIFS('09_CF_원금'!$E$6:$E$92,'09_CF_원금'!$D$6:$D$92,"미장",'09_CF_원금'!$A$6:$A$92,"&lt;="&amp;$A70)-SUMIFS('09_CF_원금'!$E$6:$E$92,'09_CF_원금'!$C$6:$C$92,"미장",'09_CF_원금'!$A$6:$A$92,"&lt;="&amp;$A70)</f>
        <v>100000000</v>
      </c>
      <c r="AC70" s="14">
        <f>SUMIFS('09_CF_원금'!$E$6:$E$92,'09_CF_원금'!$D$6:$D$92,"ISA",'09_CF_원금'!$A$6:$A$92,"&lt;="&amp;$A70)-SUMIFS('09_CF_원금'!$E$6:$E$92,'09_CF_원금'!$C$6:$C$92,"ISA",'09_CF_원금'!$A$6:$A$92,"&lt;="&amp;$A70)</f>
        <v>40000000</v>
      </c>
      <c r="AD70" s="14">
        <f>IF($A70="","",$AA70+$AB70+$AC70+SUMIFS('09_CF_원금'!$E$6:$E$92,'09_CF_원금'!$D$6:$D$92,"중국",'09_CF_원금'!$A$6:$A$92,"&lt;="&amp;$A70)-SUMIFS('09_CF_원금'!$E$6:$E$92,'09_CF_원금'!$C$6:$C$92,"중국",'09_CF_원금'!$A$6:$A$92,"&lt;="&amp;$A70))</f>
        <v>350000000</v>
      </c>
      <c r="AE70" s="14" t="str">
        <f t="shared" si="13"/>
        <v/>
      </c>
      <c r="AF70" s="15"/>
      <c r="AG70" s="14"/>
      <c r="AH70" s="14"/>
      <c r="AI70" s="14"/>
      <c r="AJ70" s="14"/>
      <c r="AK70" s="16">
        <f t="shared" si="14"/>
        <v>202603</v>
      </c>
      <c r="AL70" s="17" t="str">
        <f t="shared" si="15"/>
        <v/>
      </c>
    </row>
    <row r="71" ht="15.75" customHeight="1">
      <c r="A71" s="6">
        <v>46100.0</v>
      </c>
      <c r="B71" s="7" t="str">
        <f t="shared" si="1"/>
        <v/>
      </c>
      <c r="C71" s="7" t="str">
        <f t="shared" si="16"/>
        <v/>
      </c>
      <c r="D71" s="7" t="str">
        <f t="shared" si="2"/>
        <v/>
      </c>
      <c r="E71" s="8" t="str">
        <f t="shared" si="3"/>
        <v/>
      </c>
      <c r="F71" s="8" t="str">
        <f>IF(OR($Y71="",$Y71=0,$G71="",$G71=0),"",($S71-$G71*'03_포지션'!$B$13)/$Y71)</f>
        <v/>
      </c>
      <c r="G71" s="7" t="str">
        <f t="shared" si="4"/>
        <v/>
      </c>
      <c r="H71" s="7" t="str">
        <f t="shared" si="5"/>
        <v/>
      </c>
      <c r="I71" s="7" t="str">
        <f t="shared" si="6"/>
        <v/>
      </c>
      <c r="J71" s="9" t="str">
        <f>IF(OR($I71="",'09_CF_원금'!$B$108=0),"",$I71/'09_CF_원금'!$B$108)</f>
        <v/>
      </c>
      <c r="K71" s="8" t="str">
        <f t="shared" si="7"/>
        <v/>
      </c>
      <c r="L71" s="8" t="str">
        <f t="shared" si="8"/>
        <v/>
      </c>
      <c r="M71" s="7" t="str">
        <f t="shared" si="9"/>
        <v/>
      </c>
      <c r="N71" s="7" t="str">
        <f t="shared" si="10"/>
        <v/>
      </c>
      <c r="O71" s="7" t="str">
        <f t="shared" si="11"/>
        <v/>
      </c>
      <c r="P71" s="10"/>
      <c r="Q71" s="11"/>
      <c r="R71" s="11"/>
      <c r="S71" s="12"/>
      <c r="T71" s="12"/>
      <c r="U71" s="12"/>
      <c r="V71" s="12"/>
      <c r="W71" s="18" t="str">
        <f t="shared" si="17"/>
        <v/>
      </c>
      <c r="X71" s="7" t="str">
        <f t="shared" si="18"/>
        <v/>
      </c>
      <c r="Y71" s="7" t="str">
        <f t="shared" si="19"/>
        <v/>
      </c>
      <c r="Z71" s="7" t="str">
        <f t="shared" si="12"/>
        <v/>
      </c>
      <c r="AA71" s="14">
        <f>SUMIFS('09_CF_원금'!$E$6:$E$92,'09_CF_원금'!$D$6:$D$92,"국장",'09_CF_원금'!$A$6:$A$92,"&lt;="&amp;$A71)-SUMIFS('09_CF_원금'!$E$6:$E$92,'09_CF_원금'!$C$6:$C$92,"국장",'09_CF_원금'!$A$6:$A$92,"&lt;="&amp;$A71)</f>
        <v>210000000</v>
      </c>
      <c r="AB71" s="14">
        <f>SUMIFS('09_CF_원금'!$E$6:$E$92,'09_CF_원금'!$D$6:$D$92,"미장",'09_CF_원금'!$A$6:$A$92,"&lt;="&amp;$A71)-SUMIFS('09_CF_원금'!$E$6:$E$92,'09_CF_원금'!$C$6:$C$92,"미장",'09_CF_원금'!$A$6:$A$92,"&lt;="&amp;$A71)</f>
        <v>100000000</v>
      </c>
      <c r="AC71" s="14">
        <f>SUMIFS('09_CF_원금'!$E$6:$E$92,'09_CF_원금'!$D$6:$D$92,"ISA",'09_CF_원금'!$A$6:$A$92,"&lt;="&amp;$A71)-SUMIFS('09_CF_원금'!$E$6:$E$92,'09_CF_원금'!$C$6:$C$92,"ISA",'09_CF_원금'!$A$6:$A$92,"&lt;="&amp;$A71)</f>
        <v>40000000</v>
      </c>
      <c r="AD71" s="14">
        <f>IF($A71="","",$AA71+$AB71+$AC71+SUMIFS('09_CF_원금'!$E$6:$E$92,'09_CF_원금'!$D$6:$D$92,"중국",'09_CF_원금'!$A$6:$A$92,"&lt;="&amp;$A71)-SUMIFS('09_CF_원금'!$E$6:$E$92,'09_CF_원금'!$C$6:$C$92,"중국",'09_CF_원금'!$A$6:$A$92,"&lt;="&amp;$A71))</f>
        <v>350000000</v>
      </c>
      <c r="AE71" s="14" t="str">
        <f t="shared" si="13"/>
        <v/>
      </c>
      <c r="AF71" s="15"/>
      <c r="AG71" s="14"/>
      <c r="AH71" s="14"/>
      <c r="AI71" s="14"/>
      <c r="AJ71" s="14"/>
      <c r="AK71" s="16">
        <f t="shared" si="14"/>
        <v>202603</v>
      </c>
      <c r="AL71" s="17" t="str">
        <f t="shared" si="15"/>
        <v/>
      </c>
    </row>
    <row r="72" ht="15.75" customHeight="1">
      <c r="A72" s="6">
        <v>46101.0</v>
      </c>
      <c r="B72" s="7">
        <f t="shared" si="1"/>
        <v>605103384</v>
      </c>
      <c r="C72" s="7" t="str">
        <f t="shared" si="16"/>
        <v/>
      </c>
      <c r="D72" s="7">
        <f t="shared" si="2"/>
        <v>255103384</v>
      </c>
      <c r="E72" s="8">
        <f t="shared" si="3"/>
        <v>-0.07864434982</v>
      </c>
      <c r="F72" s="8" t="str">
        <f>IF(OR($Y72="",$Y72=0,$G72="",$G72=0),"",($S72-$G72*'03_포지션'!$B$13)/$Y72)</f>
        <v/>
      </c>
      <c r="G72" s="7" t="str">
        <f t="shared" si="4"/>
        <v/>
      </c>
      <c r="H72" s="7" t="str">
        <f t="shared" si="5"/>
        <v/>
      </c>
      <c r="I72" s="7" t="str">
        <f t="shared" si="6"/>
        <v/>
      </c>
      <c r="J72" s="9" t="str">
        <f>IF(OR($I72="",'09_CF_원금'!$B$108=0),"",$I72/'09_CF_원금'!$B$108)</f>
        <v/>
      </c>
      <c r="K72" s="8" t="str">
        <f t="shared" si="7"/>
        <v/>
      </c>
      <c r="L72" s="8" t="str">
        <f t="shared" si="8"/>
        <v/>
      </c>
      <c r="M72" s="7">
        <f t="shared" si="9"/>
        <v>214759356</v>
      </c>
      <c r="N72" s="7">
        <f t="shared" si="10"/>
        <v>31983128</v>
      </c>
      <c r="O72" s="7">
        <f t="shared" si="11"/>
        <v>8360900</v>
      </c>
      <c r="P72" s="10"/>
      <c r="Q72" s="11"/>
      <c r="R72" s="11"/>
      <c r="S72" s="12"/>
      <c r="T72" s="12"/>
      <c r="U72" s="12"/>
      <c r="V72" s="12"/>
      <c r="W72" s="18" t="str">
        <f t="shared" si="17"/>
        <v/>
      </c>
      <c r="X72" s="7" t="str">
        <f t="shared" si="18"/>
        <v/>
      </c>
      <c r="Y72" s="7" t="str">
        <f t="shared" si="19"/>
        <v/>
      </c>
      <c r="Z72" s="7" t="str">
        <f t="shared" si="12"/>
        <v/>
      </c>
      <c r="AA72" s="14">
        <f>SUMIFS('09_CF_원금'!$E$6:$E$92,'09_CF_원금'!$D$6:$D$92,"국장",'09_CF_원금'!$A$6:$A$92,"&lt;="&amp;$A72)-SUMIFS('09_CF_원금'!$E$6:$E$92,'09_CF_원금'!$C$6:$C$92,"국장",'09_CF_원금'!$A$6:$A$92,"&lt;="&amp;$A72)</f>
        <v>220000000</v>
      </c>
      <c r="AB72" s="14">
        <f>SUMIFS('09_CF_원금'!$E$6:$E$92,'09_CF_원금'!$D$6:$D$92,"미장",'09_CF_원금'!$A$6:$A$92,"&lt;="&amp;$A72)-SUMIFS('09_CF_원금'!$E$6:$E$92,'09_CF_원금'!$C$6:$C$92,"미장",'09_CF_원금'!$A$6:$A$92,"&lt;="&amp;$A72)</f>
        <v>90000000</v>
      </c>
      <c r="AC72" s="14">
        <f>SUMIFS('09_CF_원금'!$E$6:$E$92,'09_CF_원금'!$D$6:$D$92,"ISA",'09_CF_원금'!$A$6:$A$92,"&lt;="&amp;$A72)-SUMIFS('09_CF_원금'!$E$6:$E$92,'09_CF_원금'!$C$6:$C$92,"ISA",'09_CF_원금'!$A$6:$A$92,"&lt;="&amp;$A72)</f>
        <v>40000000</v>
      </c>
      <c r="AD72" s="14">
        <f>IF($A72="","",$AA72+$AB72+$AC72+SUMIFS('09_CF_원금'!$E$6:$E$92,'09_CF_원금'!$D$6:$D$92,"중국",'09_CF_원금'!$A$6:$A$92,"&lt;="&amp;$A72)-SUMIFS('09_CF_원금'!$E$6:$E$92,'09_CF_원금'!$C$6:$C$92,"중국",'09_CF_원금'!$A$6:$A$92,"&lt;="&amp;$A72))</f>
        <v>350000000</v>
      </c>
      <c r="AE72" s="14">
        <f t="shared" si="13"/>
        <v>656753322</v>
      </c>
      <c r="AF72" s="15">
        <v>24101.0</v>
      </c>
      <c r="AG72" s="14">
        <v>2.55103384E8</v>
      </c>
      <c r="AH72" s="14">
        <v>2.14759356E8</v>
      </c>
      <c r="AI72" s="14">
        <v>3.1983128E7</v>
      </c>
      <c r="AJ72" s="14">
        <v>8360900.0</v>
      </c>
      <c r="AK72" s="16">
        <f t="shared" si="14"/>
        <v>202603</v>
      </c>
      <c r="AL72" s="17" t="str">
        <f t="shared" si="15"/>
        <v/>
      </c>
    </row>
    <row r="73" ht="15.75" customHeight="1">
      <c r="A73" s="6">
        <v>46104.0</v>
      </c>
      <c r="B73" s="7" t="str">
        <f t="shared" si="1"/>
        <v/>
      </c>
      <c r="C73" s="7" t="str">
        <f t="shared" si="16"/>
        <v/>
      </c>
      <c r="D73" s="7" t="str">
        <f t="shared" si="2"/>
        <v/>
      </c>
      <c r="E73" s="8" t="str">
        <f t="shared" si="3"/>
        <v/>
      </c>
      <c r="F73" s="8" t="str">
        <f>IF(OR($Y73="",$Y73=0,$G73="",$G73=0),"",($S73-$G73*'03_포지션'!$B$13)/$Y73)</f>
        <v/>
      </c>
      <c r="G73" s="7" t="str">
        <f t="shared" si="4"/>
        <v/>
      </c>
      <c r="H73" s="7" t="str">
        <f t="shared" si="5"/>
        <v/>
      </c>
      <c r="I73" s="7" t="str">
        <f t="shared" si="6"/>
        <v/>
      </c>
      <c r="J73" s="9" t="str">
        <f>IF(OR($I73="",'09_CF_원금'!$B$108=0),"",$I73/'09_CF_원금'!$B$108)</f>
        <v/>
      </c>
      <c r="K73" s="8" t="str">
        <f t="shared" si="7"/>
        <v/>
      </c>
      <c r="L73" s="8" t="str">
        <f t="shared" si="8"/>
        <v/>
      </c>
      <c r="M73" s="7" t="str">
        <f t="shared" si="9"/>
        <v/>
      </c>
      <c r="N73" s="7" t="str">
        <f t="shared" si="10"/>
        <v/>
      </c>
      <c r="O73" s="7" t="str">
        <f t="shared" si="11"/>
        <v/>
      </c>
      <c r="P73" s="10"/>
      <c r="Q73" s="11"/>
      <c r="R73" s="11"/>
      <c r="S73" s="12"/>
      <c r="T73" s="12"/>
      <c r="U73" s="12"/>
      <c r="V73" s="12"/>
      <c r="W73" s="18" t="str">
        <f t="shared" si="17"/>
        <v/>
      </c>
      <c r="X73" s="7" t="str">
        <f t="shared" si="18"/>
        <v/>
      </c>
      <c r="Y73" s="7" t="str">
        <f t="shared" si="19"/>
        <v/>
      </c>
      <c r="Z73" s="7" t="str">
        <f t="shared" si="12"/>
        <v/>
      </c>
      <c r="AA73" s="14">
        <f>SUMIFS('09_CF_원금'!$E$6:$E$92,'09_CF_원금'!$D$6:$D$92,"국장",'09_CF_원금'!$A$6:$A$92,"&lt;="&amp;$A73)-SUMIFS('09_CF_원금'!$E$6:$E$92,'09_CF_원금'!$C$6:$C$92,"국장",'09_CF_원금'!$A$6:$A$92,"&lt;="&amp;$A73)</f>
        <v>220000000</v>
      </c>
      <c r="AB73" s="14">
        <f>SUMIFS('09_CF_원금'!$E$6:$E$92,'09_CF_원금'!$D$6:$D$92,"미장",'09_CF_원금'!$A$6:$A$92,"&lt;="&amp;$A73)-SUMIFS('09_CF_원금'!$E$6:$E$92,'09_CF_원금'!$C$6:$C$92,"미장",'09_CF_원금'!$A$6:$A$92,"&lt;="&amp;$A73)</f>
        <v>90000000</v>
      </c>
      <c r="AC73" s="14">
        <f>SUMIFS('09_CF_원금'!$E$6:$E$92,'09_CF_원금'!$D$6:$D$92,"ISA",'09_CF_원금'!$A$6:$A$92,"&lt;="&amp;$A73)-SUMIFS('09_CF_원금'!$E$6:$E$92,'09_CF_원금'!$C$6:$C$92,"ISA",'09_CF_원금'!$A$6:$A$92,"&lt;="&amp;$A73)</f>
        <v>40000000</v>
      </c>
      <c r="AD73" s="14">
        <f>IF($A73="","",$AA73+$AB73+$AC73+SUMIFS('09_CF_원금'!$E$6:$E$92,'09_CF_원금'!$D$6:$D$92,"중국",'09_CF_원금'!$A$6:$A$92,"&lt;="&amp;$A73)-SUMIFS('09_CF_원금'!$E$6:$E$92,'09_CF_원금'!$C$6:$C$92,"중국",'09_CF_원금'!$A$6:$A$92,"&lt;="&amp;$A73))</f>
        <v>350000000</v>
      </c>
      <c r="AE73" s="14" t="str">
        <f t="shared" si="13"/>
        <v/>
      </c>
      <c r="AF73" s="15"/>
      <c r="AG73" s="14"/>
      <c r="AH73" s="14"/>
      <c r="AI73" s="14"/>
      <c r="AJ73" s="14"/>
      <c r="AK73" s="16">
        <f t="shared" si="14"/>
        <v>202603</v>
      </c>
      <c r="AL73" s="17" t="str">
        <f t="shared" si="15"/>
        <v/>
      </c>
    </row>
    <row r="74" ht="15.75" customHeight="1">
      <c r="A74" s="6">
        <v>46105.0</v>
      </c>
      <c r="B74" s="7" t="str">
        <f t="shared" si="1"/>
        <v/>
      </c>
      <c r="C74" s="7" t="str">
        <f t="shared" si="16"/>
        <v/>
      </c>
      <c r="D74" s="7" t="str">
        <f t="shared" si="2"/>
        <v/>
      </c>
      <c r="E74" s="8" t="str">
        <f t="shared" si="3"/>
        <v/>
      </c>
      <c r="F74" s="8" t="str">
        <f>IF(OR($Y74="",$Y74=0,$G74="",$G74=0),"",($S74-$G74*'03_포지션'!$B$13)/$Y74)</f>
        <v/>
      </c>
      <c r="G74" s="7" t="str">
        <f t="shared" si="4"/>
        <v/>
      </c>
      <c r="H74" s="7" t="str">
        <f t="shared" si="5"/>
        <v/>
      </c>
      <c r="I74" s="7" t="str">
        <f t="shared" si="6"/>
        <v/>
      </c>
      <c r="J74" s="9" t="str">
        <f>IF(OR($I74="",'09_CF_원금'!$B$108=0),"",$I74/'09_CF_원금'!$B$108)</f>
        <v/>
      </c>
      <c r="K74" s="8" t="str">
        <f t="shared" si="7"/>
        <v/>
      </c>
      <c r="L74" s="8" t="str">
        <f t="shared" si="8"/>
        <v/>
      </c>
      <c r="M74" s="7" t="str">
        <f t="shared" si="9"/>
        <v/>
      </c>
      <c r="N74" s="7" t="str">
        <f t="shared" si="10"/>
        <v/>
      </c>
      <c r="O74" s="7" t="str">
        <f t="shared" si="11"/>
        <v/>
      </c>
      <c r="P74" s="10"/>
      <c r="Q74" s="11"/>
      <c r="R74" s="11"/>
      <c r="S74" s="12"/>
      <c r="T74" s="12"/>
      <c r="U74" s="12"/>
      <c r="V74" s="12"/>
      <c r="W74" s="18" t="str">
        <f t="shared" si="17"/>
        <v/>
      </c>
      <c r="X74" s="7" t="str">
        <f t="shared" si="18"/>
        <v/>
      </c>
      <c r="Y74" s="7" t="str">
        <f t="shared" si="19"/>
        <v/>
      </c>
      <c r="Z74" s="7" t="str">
        <f t="shared" si="12"/>
        <v/>
      </c>
      <c r="AA74" s="14">
        <f>SUMIFS('09_CF_원금'!$E$6:$E$92,'09_CF_원금'!$D$6:$D$92,"국장",'09_CF_원금'!$A$6:$A$92,"&lt;="&amp;$A74)-SUMIFS('09_CF_원금'!$E$6:$E$92,'09_CF_원금'!$C$6:$C$92,"국장",'09_CF_원금'!$A$6:$A$92,"&lt;="&amp;$A74)</f>
        <v>220000000</v>
      </c>
      <c r="AB74" s="14">
        <f>SUMIFS('09_CF_원금'!$E$6:$E$92,'09_CF_원금'!$D$6:$D$92,"미장",'09_CF_원금'!$A$6:$A$92,"&lt;="&amp;$A74)-SUMIFS('09_CF_원금'!$E$6:$E$92,'09_CF_원금'!$C$6:$C$92,"미장",'09_CF_원금'!$A$6:$A$92,"&lt;="&amp;$A74)</f>
        <v>90000000</v>
      </c>
      <c r="AC74" s="14">
        <f>SUMIFS('09_CF_원금'!$E$6:$E$92,'09_CF_원금'!$D$6:$D$92,"ISA",'09_CF_원금'!$A$6:$A$92,"&lt;="&amp;$A74)-SUMIFS('09_CF_원금'!$E$6:$E$92,'09_CF_원금'!$C$6:$C$92,"ISA",'09_CF_원금'!$A$6:$A$92,"&lt;="&amp;$A74)</f>
        <v>40000000</v>
      </c>
      <c r="AD74" s="14">
        <f>IF($A74="","",$AA74+$AB74+$AC74+SUMIFS('09_CF_원금'!$E$6:$E$92,'09_CF_원금'!$D$6:$D$92,"중국",'09_CF_원금'!$A$6:$A$92,"&lt;="&amp;$A74)-SUMIFS('09_CF_원금'!$E$6:$E$92,'09_CF_원금'!$C$6:$C$92,"중국",'09_CF_원금'!$A$6:$A$92,"&lt;="&amp;$A74))</f>
        <v>350000000</v>
      </c>
      <c r="AE74" s="14" t="str">
        <f t="shared" si="13"/>
        <v/>
      </c>
      <c r="AF74" s="15"/>
      <c r="AG74" s="14"/>
      <c r="AH74" s="14"/>
      <c r="AI74" s="14"/>
      <c r="AJ74" s="14"/>
      <c r="AK74" s="16">
        <f t="shared" si="14"/>
        <v>202603</v>
      </c>
      <c r="AL74" s="17" t="str">
        <f t="shared" si="15"/>
        <v/>
      </c>
    </row>
    <row r="75" ht="15.75" customHeight="1">
      <c r="A75" s="6">
        <v>46106.0</v>
      </c>
      <c r="B75" s="7" t="str">
        <f t="shared" si="1"/>
        <v/>
      </c>
      <c r="C75" s="7" t="str">
        <f t="shared" si="16"/>
        <v/>
      </c>
      <c r="D75" s="7" t="str">
        <f t="shared" si="2"/>
        <v/>
      </c>
      <c r="E75" s="8" t="str">
        <f t="shared" si="3"/>
        <v/>
      </c>
      <c r="F75" s="8" t="str">
        <f>IF(OR($Y75="",$Y75=0,$G75="",$G75=0),"",($S75-$G75*'03_포지션'!$B$13)/$Y75)</f>
        <v/>
      </c>
      <c r="G75" s="7" t="str">
        <f t="shared" si="4"/>
        <v/>
      </c>
      <c r="H75" s="7" t="str">
        <f t="shared" si="5"/>
        <v/>
      </c>
      <c r="I75" s="7" t="str">
        <f t="shared" si="6"/>
        <v/>
      </c>
      <c r="J75" s="9" t="str">
        <f>IF(OR($I75="",'09_CF_원금'!$B$108=0),"",$I75/'09_CF_원금'!$B$108)</f>
        <v/>
      </c>
      <c r="K75" s="8" t="str">
        <f t="shared" si="7"/>
        <v/>
      </c>
      <c r="L75" s="8" t="str">
        <f t="shared" si="8"/>
        <v/>
      </c>
      <c r="M75" s="7" t="str">
        <f t="shared" si="9"/>
        <v/>
      </c>
      <c r="N75" s="7" t="str">
        <f t="shared" si="10"/>
        <v/>
      </c>
      <c r="O75" s="7" t="str">
        <f t="shared" si="11"/>
        <v/>
      </c>
      <c r="P75" s="10"/>
      <c r="Q75" s="11"/>
      <c r="R75" s="11"/>
      <c r="S75" s="12"/>
      <c r="T75" s="12"/>
      <c r="U75" s="12"/>
      <c r="V75" s="12"/>
      <c r="W75" s="18" t="str">
        <f t="shared" si="17"/>
        <v/>
      </c>
      <c r="X75" s="7" t="str">
        <f t="shared" si="18"/>
        <v/>
      </c>
      <c r="Y75" s="7" t="str">
        <f t="shared" si="19"/>
        <v/>
      </c>
      <c r="Z75" s="7" t="str">
        <f t="shared" si="12"/>
        <v/>
      </c>
      <c r="AA75" s="14">
        <f>SUMIFS('09_CF_원금'!$E$6:$E$92,'09_CF_원금'!$D$6:$D$92,"국장",'09_CF_원금'!$A$6:$A$92,"&lt;="&amp;$A75)-SUMIFS('09_CF_원금'!$E$6:$E$92,'09_CF_원금'!$C$6:$C$92,"국장",'09_CF_원금'!$A$6:$A$92,"&lt;="&amp;$A75)</f>
        <v>220000000</v>
      </c>
      <c r="AB75" s="14">
        <f>SUMIFS('09_CF_원금'!$E$6:$E$92,'09_CF_원금'!$D$6:$D$92,"미장",'09_CF_원금'!$A$6:$A$92,"&lt;="&amp;$A75)-SUMIFS('09_CF_원금'!$E$6:$E$92,'09_CF_원금'!$C$6:$C$92,"미장",'09_CF_원금'!$A$6:$A$92,"&lt;="&amp;$A75)</f>
        <v>90000000</v>
      </c>
      <c r="AC75" s="14">
        <f>SUMIFS('09_CF_원금'!$E$6:$E$92,'09_CF_원금'!$D$6:$D$92,"ISA",'09_CF_원금'!$A$6:$A$92,"&lt;="&amp;$A75)-SUMIFS('09_CF_원금'!$E$6:$E$92,'09_CF_원금'!$C$6:$C$92,"ISA",'09_CF_원금'!$A$6:$A$92,"&lt;="&amp;$A75)</f>
        <v>40000000</v>
      </c>
      <c r="AD75" s="14">
        <f>IF($A75="","",$AA75+$AB75+$AC75+SUMIFS('09_CF_원금'!$E$6:$E$92,'09_CF_원금'!$D$6:$D$92,"중국",'09_CF_원금'!$A$6:$A$92,"&lt;="&amp;$A75)-SUMIFS('09_CF_원금'!$E$6:$E$92,'09_CF_원금'!$C$6:$C$92,"중국",'09_CF_원금'!$A$6:$A$92,"&lt;="&amp;$A75))</f>
        <v>350000000</v>
      </c>
      <c r="AE75" s="14" t="str">
        <f t="shared" si="13"/>
        <v/>
      </c>
      <c r="AF75" s="15"/>
      <c r="AG75" s="14"/>
      <c r="AH75" s="14"/>
      <c r="AI75" s="14"/>
      <c r="AJ75" s="14"/>
      <c r="AK75" s="16">
        <f t="shared" si="14"/>
        <v>202603</v>
      </c>
      <c r="AL75" s="17" t="str">
        <f t="shared" si="15"/>
        <v/>
      </c>
    </row>
    <row r="76" ht="15.75" customHeight="1">
      <c r="A76" s="6">
        <v>46107.0</v>
      </c>
      <c r="B76" s="7" t="str">
        <f t="shared" si="1"/>
        <v/>
      </c>
      <c r="C76" s="7" t="str">
        <f t="shared" si="16"/>
        <v/>
      </c>
      <c r="D76" s="7" t="str">
        <f t="shared" si="2"/>
        <v/>
      </c>
      <c r="E76" s="8" t="str">
        <f t="shared" si="3"/>
        <v/>
      </c>
      <c r="F76" s="8" t="str">
        <f>IF(OR($Y76="",$Y76=0,$G76="",$G76=0),"",($S76-$G76*'03_포지션'!$B$13)/$Y76)</f>
        <v/>
      </c>
      <c r="G76" s="7" t="str">
        <f t="shared" si="4"/>
        <v/>
      </c>
      <c r="H76" s="7" t="str">
        <f t="shared" si="5"/>
        <v/>
      </c>
      <c r="I76" s="7" t="str">
        <f t="shared" si="6"/>
        <v/>
      </c>
      <c r="J76" s="9" t="str">
        <f>IF(OR($I76="",'09_CF_원금'!$B$108=0),"",$I76/'09_CF_원금'!$B$108)</f>
        <v/>
      </c>
      <c r="K76" s="8" t="str">
        <f t="shared" si="7"/>
        <v/>
      </c>
      <c r="L76" s="8" t="str">
        <f t="shared" si="8"/>
        <v/>
      </c>
      <c r="M76" s="7" t="str">
        <f t="shared" si="9"/>
        <v/>
      </c>
      <c r="N76" s="7" t="str">
        <f t="shared" si="10"/>
        <v/>
      </c>
      <c r="O76" s="7" t="str">
        <f t="shared" si="11"/>
        <v/>
      </c>
      <c r="P76" s="10"/>
      <c r="Q76" s="11"/>
      <c r="R76" s="11"/>
      <c r="S76" s="12"/>
      <c r="T76" s="12"/>
      <c r="U76" s="12"/>
      <c r="V76" s="12"/>
      <c r="W76" s="18" t="str">
        <f t="shared" si="17"/>
        <v/>
      </c>
      <c r="X76" s="7" t="str">
        <f t="shared" si="18"/>
        <v/>
      </c>
      <c r="Y76" s="7" t="str">
        <f t="shared" si="19"/>
        <v/>
      </c>
      <c r="Z76" s="7" t="str">
        <f t="shared" si="12"/>
        <v/>
      </c>
      <c r="AA76" s="14">
        <f>SUMIFS('09_CF_원금'!$E$6:$E$92,'09_CF_원금'!$D$6:$D$92,"국장",'09_CF_원금'!$A$6:$A$92,"&lt;="&amp;$A76)-SUMIFS('09_CF_원금'!$E$6:$E$92,'09_CF_원금'!$C$6:$C$92,"국장",'09_CF_원금'!$A$6:$A$92,"&lt;="&amp;$A76)</f>
        <v>220000000</v>
      </c>
      <c r="AB76" s="14">
        <f>SUMIFS('09_CF_원금'!$E$6:$E$92,'09_CF_원금'!$D$6:$D$92,"미장",'09_CF_원금'!$A$6:$A$92,"&lt;="&amp;$A76)-SUMIFS('09_CF_원금'!$E$6:$E$92,'09_CF_원금'!$C$6:$C$92,"미장",'09_CF_원금'!$A$6:$A$92,"&lt;="&amp;$A76)</f>
        <v>90000000</v>
      </c>
      <c r="AC76" s="14">
        <f>SUMIFS('09_CF_원금'!$E$6:$E$92,'09_CF_원금'!$D$6:$D$92,"ISA",'09_CF_원금'!$A$6:$A$92,"&lt;="&amp;$A76)-SUMIFS('09_CF_원금'!$E$6:$E$92,'09_CF_원금'!$C$6:$C$92,"ISA",'09_CF_원금'!$A$6:$A$92,"&lt;="&amp;$A76)</f>
        <v>40000000</v>
      </c>
      <c r="AD76" s="14">
        <f>IF($A76="","",$AA76+$AB76+$AC76+SUMIFS('09_CF_원금'!$E$6:$E$92,'09_CF_원금'!$D$6:$D$92,"중국",'09_CF_원금'!$A$6:$A$92,"&lt;="&amp;$A76)-SUMIFS('09_CF_원금'!$E$6:$E$92,'09_CF_원금'!$C$6:$C$92,"중국",'09_CF_원금'!$A$6:$A$92,"&lt;="&amp;$A76))</f>
        <v>350000000</v>
      </c>
      <c r="AE76" s="14" t="str">
        <f t="shared" si="13"/>
        <v/>
      </c>
      <c r="AF76" s="15"/>
      <c r="AG76" s="14"/>
      <c r="AH76" s="14"/>
      <c r="AI76" s="14"/>
      <c r="AJ76" s="14"/>
      <c r="AK76" s="16">
        <f t="shared" si="14"/>
        <v>202603</v>
      </c>
      <c r="AL76" s="17" t="str">
        <f t="shared" si="15"/>
        <v/>
      </c>
    </row>
    <row r="77" ht="15.75" customHeight="1">
      <c r="A77" s="6">
        <v>46108.0</v>
      </c>
      <c r="B77" s="7">
        <f t="shared" si="1"/>
        <v>591472013</v>
      </c>
      <c r="C77" s="7" t="str">
        <f t="shared" si="16"/>
        <v/>
      </c>
      <c r="D77" s="7">
        <f t="shared" si="2"/>
        <v>241472013</v>
      </c>
      <c r="E77" s="8">
        <f t="shared" si="3"/>
        <v>-0.09940004384</v>
      </c>
      <c r="F77" s="8" t="str">
        <f>IF(OR($Y77="",$Y77=0,$G77="",$G77=0),"",($S77-$G77*'03_포지션'!$B$13)/$Y77)</f>
        <v/>
      </c>
      <c r="G77" s="7" t="str">
        <f t="shared" si="4"/>
        <v/>
      </c>
      <c r="H77" s="7" t="str">
        <f t="shared" si="5"/>
        <v/>
      </c>
      <c r="I77" s="7" t="str">
        <f t="shared" si="6"/>
        <v/>
      </c>
      <c r="J77" s="9" t="str">
        <f>IF(OR($I77="",'09_CF_원금'!$B$108=0),"",$I77/'09_CF_원금'!$B$108)</f>
        <v/>
      </c>
      <c r="K77" s="8" t="str">
        <f t="shared" si="7"/>
        <v/>
      </c>
      <c r="L77" s="8" t="str">
        <f t="shared" si="8"/>
        <v/>
      </c>
      <c r="M77" s="7">
        <f t="shared" si="9"/>
        <v>202015046</v>
      </c>
      <c r="N77" s="7">
        <f t="shared" si="10"/>
        <v>31963050</v>
      </c>
      <c r="O77" s="7">
        <f t="shared" si="11"/>
        <v>7493917</v>
      </c>
      <c r="P77" s="10"/>
      <c r="Q77" s="11"/>
      <c r="R77" s="11"/>
      <c r="S77" s="12"/>
      <c r="T77" s="12"/>
      <c r="U77" s="12"/>
      <c r="V77" s="12"/>
      <c r="W77" s="18" t="str">
        <f t="shared" si="17"/>
        <v/>
      </c>
      <c r="X77" s="7" t="str">
        <f t="shared" si="18"/>
        <v/>
      </c>
      <c r="Y77" s="7" t="str">
        <f t="shared" si="19"/>
        <v/>
      </c>
      <c r="Z77" s="7" t="str">
        <f t="shared" si="12"/>
        <v/>
      </c>
      <c r="AA77" s="14">
        <f>SUMIFS('09_CF_원금'!$E$6:$E$92,'09_CF_원금'!$D$6:$D$92,"국장",'09_CF_원금'!$A$6:$A$92,"&lt;="&amp;$A77)-SUMIFS('09_CF_원금'!$E$6:$E$92,'09_CF_원금'!$C$6:$C$92,"국장",'09_CF_원금'!$A$6:$A$92,"&lt;="&amp;$A77)</f>
        <v>220000000</v>
      </c>
      <c r="AB77" s="14">
        <f>SUMIFS('09_CF_원금'!$E$6:$E$92,'09_CF_원금'!$D$6:$D$92,"미장",'09_CF_원금'!$A$6:$A$92,"&lt;="&amp;$A77)-SUMIFS('09_CF_원금'!$E$6:$E$92,'09_CF_원금'!$C$6:$C$92,"미장",'09_CF_원금'!$A$6:$A$92,"&lt;="&amp;$A77)</f>
        <v>90000000</v>
      </c>
      <c r="AC77" s="14">
        <f>SUMIFS('09_CF_원금'!$E$6:$E$92,'09_CF_원금'!$D$6:$D$92,"ISA",'09_CF_원금'!$A$6:$A$92,"&lt;="&amp;$A77)-SUMIFS('09_CF_원금'!$E$6:$E$92,'09_CF_원금'!$C$6:$C$92,"ISA",'09_CF_원금'!$A$6:$A$92,"&lt;="&amp;$A77)</f>
        <v>40000000</v>
      </c>
      <c r="AD77" s="14">
        <f>IF($A77="","",$AA77+$AB77+$AC77+SUMIFS('09_CF_원금'!$E$6:$E$92,'09_CF_원금'!$D$6:$D$92,"중국",'09_CF_원금'!$A$6:$A$92,"&lt;="&amp;$A77)-SUMIFS('09_CF_원금'!$E$6:$E$92,'09_CF_원금'!$C$6:$C$92,"중국",'09_CF_원금'!$A$6:$A$92,"&lt;="&amp;$A77))</f>
        <v>350000000</v>
      </c>
      <c r="AE77" s="14">
        <f t="shared" si="13"/>
        <v>656753322</v>
      </c>
      <c r="AF77" s="15"/>
      <c r="AG77" s="14">
        <v>2.41472013E8</v>
      </c>
      <c r="AH77" s="14">
        <v>2.02015046E8</v>
      </c>
      <c r="AI77" s="14">
        <v>3.196305E7</v>
      </c>
      <c r="AJ77" s="14">
        <v>7493917.0</v>
      </c>
      <c r="AK77" s="16">
        <f t="shared" si="14"/>
        <v>202603</v>
      </c>
      <c r="AL77" s="17" t="str">
        <f t="shared" si="15"/>
        <v/>
      </c>
    </row>
    <row r="78" ht="15.75" customHeight="1">
      <c r="A78" s="6">
        <v>46111.0</v>
      </c>
      <c r="B78" s="7" t="str">
        <f t="shared" si="1"/>
        <v/>
      </c>
      <c r="C78" s="7" t="str">
        <f t="shared" si="16"/>
        <v/>
      </c>
      <c r="D78" s="7" t="str">
        <f t="shared" si="2"/>
        <v/>
      </c>
      <c r="E78" s="8" t="str">
        <f t="shared" si="3"/>
        <v/>
      </c>
      <c r="F78" s="8" t="str">
        <f>IF(OR($Y78="",$Y78=0,$G78="",$G78=0),"",($S78-$G78*'03_포지션'!$B$13)/$Y78)</f>
        <v/>
      </c>
      <c r="G78" s="7" t="str">
        <f t="shared" si="4"/>
        <v/>
      </c>
      <c r="H78" s="7" t="str">
        <f t="shared" si="5"/>
        <v/>
      </c>
      <c r="I78" s="7" t="str">
        <f t="shared" si="6"/>
        <v/>
      </c>
      <c r="J78" s="9" t="str">
        <f>IF(OR($I78="",'09_CF_원금'!$B$108=0),"",$I78/'09_CF_원금'!$B$108)</f>
        <v/>
      </c>
      <c r="K78" s="8" t="str">
        <f t="shared" si="7"/>
        <v/>
      </c>
      <c r="L78" s="8" t="str">
        <f t="shared" si="8"/>
        <v/>
      </c>
      <c r="M78" s="7" t="str">
        <f t="shared" si="9"/>
        <v/>
      </c>
      <c r="N78" s="7" t="str">
        <f t="shared" si="10"/>
        <v/>
      </c>
      <c r="O78" s="7" t="str">
        <f t="shared" si="11"/>
        <v/>
      </c>
      <c r="P78" s="10"/>
      <c r="Q78" s="11"/>
      <c r="R78" s="11"/>
      <c r="S78" s="12"/>
      <c r="T78" s="12"/>
      <c r="U78" s="12"/>
      <c r="V78" s="12"/>
      <c r="W78" s="18" t="str">
        <f t="shared" si="17"/>
        <v/>
      </c>
      <c r="X78" s="7" t="str">
        <f t="shared" si="18"/>
        <v/>
      </c>
      <c r="Y78" s="7" t="str">
        <f t="shared" si="19"/>
        <v/>
      </c>
      <c r="Z78" s="7" t="str">
        <f t="shared" si="12"/>
        <v/>
      </c>
      <c r="AA78" s="14">
        <f>SUMIFS('09_CF_원금'!$E$6:$E$92,'09_CF_원금'!$D$6:$D$92,"국장",'09_CF_원금'!$A$6:$A$92,"&lt;="&amp;$A78)-SUMIFS('09_CF_원금'!$E$6:$E$92,'09_CF_원금'!$C$6:$C$92,"국장",'09_CF_원금'!$A$6:$A$92,"&lt;="&amp;$A78)</f>
        <v>220000000</v>
      </c>
      <c r="AB78" s="14">
        <f>SUMIFS('09_CF_원금'!$E$6:$E$92,'09_CF_원금'!$D$6:$D$92,"미장",'09_CF_원금'!$A$6:$A$92,"&lt;="&amp;$A78)-SUMIFS('09_CF_원금'!$E$6:$E$92,'09_CF_원금'!$C$6:$C$92,"미장",'09_CF_원금'!$A$6:$A$92,"&lt;="&amp;$A78)</f>
        <v>90000000</v>
      </c>
      <c r="AC78" s="14">
        <f>SUMIFS('09_CF_원금'!$E$6:$E$92,'09_CF_원금'!$D$6:$D$92,"ISA",'09_CF_원금'!$A$6:$A$92,"&lt;="&amp;$A78)-SUMIFS('09_CF_원금'!$E$6:$E$92,'09_CF_원금'!$C$6:$C$92,"ISA",'09_CF_원금'!$A$6:$A$92,"&lt;="&amp;$A78)</f>
        <v>40000000</v>
      </c>
      <c r="AD78" s="14">
        <f>IF($A78="","",$AA78+$AB78+$AC78+SUMIFS('09_CF_원금'!$E$6:$E$92,'09_CF_원금'!$D$6:$D$92,"중국",'09_CF_원금'!$A$6:$A$92,"&lt;="&amp;$A78)-SUMIFS('09_CF_원금'!$E$6:$E$92,'09_CF_원금'!$C$6:$C$92,"중국",'09_CF_원금'!$A$6:$A$92,"&lt;="&amp;$A78))</f>
        <v>350000000</v>
      </c>
      <c r="AE78" s="14" t="str">
        <f t="shared" si="13"/>
        <v/>
      </c>
      <c r="AF78" s="15"/>
      <c r="AG78" s="14"/>
      <c r="AH78" s="14"/>
      <c r="AI78" s="14"/>
      <c r="AJ78" s="14"/>
      <c r="AK78" s="16">
        <f t="shared" si="14"/>
        <v>202603</v>
      </c>
      <c r="AL78" s="17" t="str">
        <f t="shared" si="15"/>
        <v/>
      </c>
    </row>
    <row r="79" ht="15.75" customHeight="1">
      <c r="A79" s="6">
        <v>46112.0</v>
      </c>
      <c r="B79" s="7" t="str">
        <f t="shared" si="1"/>
        <v/>
      </c>
      <c r="C79" s="7" t="str">
        <f t="shared" si="16"/>
        <v/>
      </c>
      <c r="D79" s="7" t="str">
        <f t="shared" si="2"/>
        <v/>
      </c>
      <c r="E79" s="8" t="str">
        <f t="shared" si="3"/>
        <v/>
      </c>
      <c r="F79" s="8" t="str">
        <f>IF(OR($Y79="",$Y79=0,$G79="",$G79=0),"",($S79-$G79*'03_포지션'!$B$13)/$Y79)</f>
        <v/>
      </c>
      <c r="G79" s="7" t="str">
        <f t="shared" si="4"/>
        <v/>
      </c>
      <c r="H79" s="7" t="str">
        <f t="shared" si="5"/>
        <v/>
      </c>
      <c r="I79" s="7" t="str">
        <f t="shared" si="6"/>
        <v/>
      </c>
      <c r="J79" s="9" t="str">
        <f>IF(OR($I79="",'09_CF_원금'!$B$108=0),"",$I79/'09_CF_원금'!$B$108)</f>
        <v/>
      </c>
      <c r="K79" s="8" t="str">
        <f t="shared" si="7"/>
        <v/>
      </c>
      <c r="L79" s="8" t="str">
        <f t="shared" si="8"/>
        <v/>
      </c>
      <c r="M79" s="7" t="str">
        <f t="shared" si="9"/>
        <v/>
      </c>
      <c r="N79" s="7" t="str">
        <f t="shared" si="10"/>
        <v/>
      </c>
      <c r="O79" s="7" t="str">
        <f t="shared" si="11"/>
        <v/>
      </c>
      <c r="P79" s="10"/>
      <c r="Q79" s="11"/>
      <c r="R79" s="11"/>
      <c r="S79" s="12"/>
      <c r="T79" s="12"/>
      <c r="U79" s="12"/>
      <c r="V79" s="12"/>
      <c r="W79" s="18" t="str">
        <f t="shared" si="17"/>
        <v/>
      </c>
      <c r="X79" s="7" t="str">
        <f t="shared" si="18"/>
        <v/>
      </c>
      <c r="Y79" s="7" t="str">
        <f t="shared" si="19"/>
        <v/>
      </c>
      <c r="Z79" s="7" t="str">
        <f t="shared" si="12"/>
        <v/>
      </c>
      <c r="AA79" s="14">
        <f>SUMIFS('09_CF_원금'!$E$6:$E$92,'09_CF_원금'!$D$6:$D$92,"국장",'09_CF_원금'!$A$6:$A$92,"&lt;="&amp;$A79)-SUMIFS('09_CF_원금'!$E$6:$E$92,'09_CF_원금'!$C$6:$C$92,"국장",'09_CF_원금'!$A$6:$A$92,"&lt;="&amp;$A79)</f>
        <v>220000000</v>
      </c>
      <c r="AB79" s="14">
        <f>SUMIFS('09_CF_원금'!$E$6:$E$92,'09_CF_원금'!$D$6:$D$92,"미장",'09_CF_원금'!$A$6:$A$92,"&lt;="&amp;$A79)-SUMIFS('09_CF_원금'!$E$6:$E$92,'09_CF_원금'!$C$6:$C$92,"미장",'09_CF_원금'!$A$6:$A$92,"&lt;="&amp;$A79)</f>
        <v>90000000</v>
      </c>
      <c r="AC79" s="14">
        <f>SUMIFS('09_CF_원금'!$E$6:$E$92,'09_CF_원금'!$D$6:$D$92,"ISA",'09_CF_원금'!$A$6:$A$92,"&lt;="&amp;$A79)-SUMIFS('09_CF_원금'!$E$6:$E$92,'09_CF_원금'!$C$6:$C$92,"ISA",'09_CF_원금'!$A$6:$A$92,"&lt;="&amp;$A79)</f>
        <v>40000000</v>
      </c>
      <c r="AD79" s="14">
        <f>IF($A79="","",$AA79+$AB79+$AC79+SUMIFS('09_CF_원금'!$E$6:$E$92,'09_CF_원금'!$D$6:$D$92,"중국",'09_CF_원금'!$A$6:$A$92,"&lt;="&amp;$A79)-SUMIFS('09_CF_원금'!$E$6:$E$92,'09_CF_원금'!$C$6:$C$92,"중국",'09_CF_원금'!$A$6:$A$92,"&lt;="&amp;$A79))</f>
        <v>350000000</v>
      </c>
      <c r="AE79" s="14" t="str">
        <f t="shared" si="13"/>
        <v/>
      </c>
      <c r="AF79" s="15"/>
      <c r="AG79" s="14"/>
      <c r="AH79" s="14"/>
      <c r="AI79" s="14"/>
      <c r="AJ79" s="14"/>
      <c r="AK79" s="16">
        <f t="shared" si="14"/>
        <v>202603</v>
      </c>
      <c r="AL79" s="17" t="str">
        <f t="shared" si="15"/>
        <v/>
      </c>
    </row>
    <row r="80" ht="15.75" customHeight="1">
      <c r="A80" s="6">
        <v>46113.0</v>
      </c>
      <c r="B80" s="7" t="str">
        <f t="shared" si="1"/>
        <v/>
      </c>
      <c r="C80" s="7" t="str">
        <f t="shared" si="16"/>
        <v/>
      </c>
      <c r="D80" s="7" t="str">
        <f t="shared" si="2"/>
        <v/>
      </c>
      <c r="E80" s="8" t="str">
        <f t="shared" si="3"/>
        <v/>
      </c>
      <c r="F80" s="8" t="str">
        <f>IF(OR($Y80="",$Y80=0,$G80="",$G80=0),"",($S80-$G80*'03_포지션'!$B$13)/$Y80)</f>
        <v/>
      </c>
      <c r="G80" s="7" t="str">
        <f t="shared" si="4"/>
        <v/>
      </c>
      <c r="H80" s="7" t="str">
        <f t="shared" si="5"/>
        <v/>
      </c>
      <c r="I80" s="7" t="str">
        <f t="shared" si="6"/>
        <v/>
      </c>
      <c r="J80" s="9" t="str">
        <f>IF(OR($I80="",'09_CF_원금'!$B$108=0),"",$I80/'09_CF_원금'!$B$108)</f>
        <v/>
      </c>
      <c r="K80" s="8" t="str">
        <f t="shared" si="7"/>
        <v/>
      </c>
      <c r="L80" s="8" t="str">
        <f t="shared" si="8"/>
        <v/>
      </c>
      <c r="M80" s="7" t="str">
        <f t="shared" si="9"/>
        <v/>
      </c>
      <c r="N80" s="7" t="str">
        <f t="shared" si="10"/>
        <v/>
      </c>
      <c r="O80" s="7" t="str">
        <f t="shared" si="11"/>
        <v/>
      </c>
      <c r="P80" s="10"/>
      <c r="Q80" s="11"/>
      <c r="R80" s="11"/>
      <c r="S80" s="12"/>
      <c r="T80" s="12"/>
      <c r="U80" s="12"/>
      <c r="V80" s="12"/>
      <c r="W80" s="18" t="str">
        <f t="shared" si="17"/>
        <v/>
      </c>
      <c r="X80" s="7" t="str">
        <f t="shared" si="18"/>
        <v/>
      </c>
      <c r="Y80" s="7" t="str">
        <f t="shared" si="19"/>
        <v/>
      </c>
      <c r="Z80" s="7" t="str">
        <f t="shared" si="12"/>
        <v/>
      </c>
      <c r="AA80" s="14">
        <f>SUMIFS('09_CF_원금'!$E$6:$E$92,'09_CF_원금'!$D$6:$D$92,"국장",'09_CF_원금'!$A$6:$A$92,"&lt;="&amp;$A80)-SUMIFS('09_CF_원금'!$E$6:$E$92,'09_CF_원금'!$C$6:$C$92,"국장",'09_CF_원금'!$A$6:$A$92,"&lt;="&amp;$A80)</f>
        <v>220000000</v>
      </c>
      <c r="AB80" s="14">
        <f>SUMIFS('09_CF_원금'!$E$6:$E$92,'09_CF_원금'!$D$6:$D$92,"미장",'09_CF_원금'!$A$6:$A$92,"&lt;="&amp;$A80)-SUMIFS('09_CF_원금'!$E$6:$E$92,'09_CF_원금'!$C$6:$C$92,"미장",'09_CF_원금'!$A$6:$A$92,"&lt;="&amp;$A80)</f>
        <v>90000000</v>
      </c>
      <c r="AC80" s="14">
        <f>SUMIFS('09_CF_원금'!$E$6:$E$92,'09_CF_원금'!$D$6:$D$92,"ISA",'09_CF_원금'!$A$6:$A$92,"&lt;="&amp;$A80)-SUMIFS('09_CF_원금'!$E$6:$E$92,'09_CF_원금'!$C$6:$C$92,"ISA",'09_CF_원금'!$A$6:$A$92,"&lt;="&amp;$A80)</f>
        <v>40000000</v>
      </c>
      <c r="AD80" s="14">
        <f>IF($A80="","",$AA80+$AB80+$AC80+SUMIFS('09_CF_원금'!$E$6:$E$92,'09_CF_원금'!$D$6:$D$92,"중국",'09_CF_원금'!$A$6:$A$92,"&lt;="&amp;$A80)-SUMIFS('09_CF_원금'!$E$6:$E$92,'09_CF_원금'!$C$6:$C$92,"중국",'09_CF_원금'!$A$6:$A$92,"&lt;="&amp;$A80))</f>
        <v>350000000</v>
      </c>
      <c r="AE80" s="14" t="str">
        <f t="shared" si="13"/>
        <v/>
      </c>
      <c r="AF80" s="15"/>
      <c r="AG80" s="14"/>
      <c r="AH80" s="14"/>
      <c r="AI80" s="14"/>
      <c r="AJ80" s="14"/>
      <c r="AK80" s="16">
        <f t="shared" si="14"/>
        <v>202604</v>
      </c>
      <c r="AL80" s="17" t="str">
        <f t="shared" si="15"/>
        <v/>
      </c>
    </row>
    <row r="81" ht="15.75" customHeight="1">
      <c r="A81" s="6">
        <v>46114.0</v>
      </c>
      <c r="B81" s="7" t="str">
        <f t="shared" si="1"/>
        <v/>
      </c>
      <c r="C81" s="7" t="str">
        <f t="shared" si="16"/>
        <v/>
      </c>
      <c r="D81" s="7" t="str">
        <f t="shared" si="2"/>
        <v/>
      </c>
      <c r="E81" s="8" t="str">
        <f t="shared" si="3"/>
        <v/>
      </c>
      <c r="F81" s="8" t="str">
        <f>IF(OR($Y81="",$Y81=0,$G81="",$G81=0),"",($S81-$G81*'03_포지션'!$B$13)/$Y81)</f>
        <v/>
      </c>
      <c r="G81" s="7" t="str">
        <f t="shared" si="4"/>
        <v/>
      </c>
      <c r="H81" s="7" t="str">
        <f t="shared" si="5"/>
        <v/>
      </c>
      <c r="I81" s="7" t="str">
        <f t="shared" si="6"/>
        <v/>
      </c>
      <c r="J81" s="9" t="str">
        <f>IF(OR($I81="",'09_CF_원금'!$B$108=0),"",$I81/'09_CF_원금'!$B$108)</f>
        <v/>
      </c>
      <c r="K81" s="8" t="str">
        <f t="shared" si="7"/>
        <v/>
      </c>
      <c r="L81" s="8" t="str">
        <f t="shared" si="8"/>
        <v/>
      </c>
      <c r="M81" s="7" t="str">
        <f t="shared" si="9"/>
        <v/>
      </c>
      <c r="N81" s="7" t="str">
        <f t="shared" si="10"/>
        <v/>
      </c>
      <c r="O81" s="7" t="str">
        <f t="shared" si="11"/>
        <v/>
      </c>
      <c r="P81" s="10"/>
      <c r="Q81" s="11"/>
      <c r="R81" s="11"/>
      <c r="S81" s="12"/>
      <c r="T81" s="12"/>
      <c r="U81" s="12"/>
      <c r="V81" s="12"/>
      <c r="W81" s="18" t="str">
        <f t="shared" si="17"/>
        <v/>
      </c>
      <c r="X81" s="7" t="str">
        <f t="shared" si="18"/>
        <v/>
      </c>
      <c r="Y81" s="7" t="str">
        <f t="shared" si="19"/>
        <v/>
      </c>
      <c r="Z81" s="7" t="str">
        <f t="shared" si="12"/>
        <v/>
      </c>
      <c r="AA81" s="14">
        <f>SUMIFS('09_CF_원금'!$E$6:$E$92,'09_CF_원금'!$D$6:$D$92,"국장",'09_CF_원금'!$A$6:$A$92,"&lt;="&amp;$A81)-SUMIFS('09_CF_원금'!$E$6:$E$92,'09_CF_원금'!$C$6:$C$92,"국장",'09_CF_원금'!$A$6:$A$92,"&lt;="&amp;$A81)</f>
        <v>220000000</v>
      </c>
      <c r="AB81" s="14">
        <f>SUMIFS('09_CF_원금'!$E$6:$E$92,'09_CF_원금'!$D$6:$D$92,"미장",'09_CF_원금'!$A$6:$A$92,"&lt;="&amp;$A81)-SUMIFS('09_CF_원금'!$E$6:$E$92,'09_CF_원금'!$C$6:$C$92,"미장",'09_CF_원금'!$A$6:$A$92,"&lt;="&amp;$A81)</f>
        <v>90000000</v>
      </c>
      <c r="AC81" s="14">
        <f>SUMIFS('09_CF_원금'!$E$6:$E$92,'09_CF_원금'!$D$6:$D$92,"ISA",'09_CF_원금'!$A$6:$A$92,"&lt;="&amp;$A81)-SUMIFS('09_CF_원금'!$E$6:$E$92,'09_CF_원금'!$C$6:$C$92,"ISA",'09_CF_원금'!$A$6:$A$92,"&lt;="&amp;$A81)</f>
        <v>40000000</v>
      </c>
      <c r="AD81" s="14">
        <f>IF($A81="","",$AA81+$AB81+$AC81+SUMIFS('09_CF_원금'!$E$6:$E$92,'09_CF_원금'!$D$6:$D$92,"중국",'09_CF_원금'!$A$6:$A$92,"&lt;="&amp;$A81)-SUMIFS('09_CF_원금'!$E$6:$E$92,'09_CF_원금'!$C$6:$C$92,"중국",'09_CF_원금'!$A$6:$A$92,"&lt;="&amp;$A81))</f>
        <v>350000000</v>
      </c>
      <c r="AE81" s="14" t="str">
        <f t="shared" si="13"/>
        <v/>
      </c>
      <c r="AF81" s="15"/>
      <c r="AG81" s="14"/>
      <c r="AH81" s="14"/>
      <c r="AI81" s="14"/>
      <c r="AJ81" s="14"/>
      <c r="AK81" s="16">
        <f t="shared" si="14"/>
        <v>202604</v>
      </c>
      <c r="AL81" s="17" t="str">
        <f t="shared" si="15"/>
        <v/>
      </c>
    </row>
    <row r="82" ht="15.75" customHeight="1">
      <c r="A82" s="6">
        <v>46115.0</v>
      </c>
      <c r="B82" s="7" t="str">
        <f t="shared" si="1"/>
        <v/>
      </c>
      <c r="C82" s="7" t="str">
        <f t="shared" si="16"/>
        <v/>
      </c>
      <c r="D82" s="7" t="str">
        <f t="shared" si="2"/>
        <v/>
      </c>
      <c r="E82" s="8" t="str">
        <f t="shared" si="3"/>
        <v/>
      </c>
      <c r="F82" s="8" t="str">
        <f>IF(OR($Y82="",$Y82=0,$G82="",$G82=0),"",($S82-$G82*'03_포지션'!$B$13)/$Y82)</f>
        <v/>
      </c>
      <c r="G82" s="7" t="str">
        <f t="shared" si="4"/>
        <v/>
      </c>
      <c r="H82" s="7" t="str">
        <f t="shared" si="5"/>
        <v/>
      </c>
      <c r="I82" s="7" t="str">
        <f t="shared" si="6"/>
        <v/>
      </c>
      <c r="J82" s="9" t="str">
        <f>IF(OR($I82="",'09_CF_원금'!$B$108=0),"",$I82/'09_CF_원금'!$B$108)</f>
        <v/>
      </c>
      <c r="K82" s="8" t="str">
        <f t="shared" si="7"/>
        <v/>
      </c>
      <c r="L82" s="8" t="str">
        <f t="shared" si="8"/>
        <v/>
      </c>
      <c r="M82" s="7" t="str">
        <f t="shared" si="9"/>
        <v/>
      </c>
      <c r="N82" s="7" t="str">
        <f t="shared" si="10"/>
        <v/>
      </c>
      <c r="O82" s="7" t="str">
        <f t="shared" si="11"/>
        <v/>
      </c>
      <c r="P82" s="10"/>
      <c r="Q82" s="11"/>
      <c r="R82" s="11"/>
      <c r="S82" s="12"/>
      <c r="T82" s="12"/>
      <c r="U82" s="12"/>
      <c r="V82" s="12"/>
      <c r="W82" s="18" t="str">
        <f t="shared" si="17"/>
        <v/>
      </c>
      <c r="X82" s="7" t="str">
        <f t="shared" si="18"/>
        <v/>
      </c>
      <c r="Y82" s="7" t="str">
        <f t="shared" si="19"/>
        <v/>
      </c>
      <c r="Z82" s="7" t="str">
        <f t="shared" si="12"/>
        <v/>
      </c>
      <c r="AA82" s="14">
        <f>SUMIFS('09_CF_원금'!$E$6:$E$92,'09_CF_원금'!$D$6:$D$92,"국장",'09_CF_원금'!$A$6:$A$92,"&lt;="&amp;$A82)-SUMIFS('09_CF_원금'!$E$6:$E$92,'09_CF_원금'!$C$6:$C$92,"국장",'09_CF_원금'!$A$6:$A$92,"&lt;="&amp;$A82)</f>
        <v>220000000</v>
      </c>
      <c r="AB82" s="14">
        <f>SUMIFS('09_CF_원금'!$E$6:$E$92,'09_CF_원금'!$D$6:$D$92,"미장",'09_CF_원금'!$A$6:$A$92,"&lt;="&amp;$A82)-SUMIFS('09_CF_원금'!$E$6:$E$92,'09_CF_원금'!$C$6:$C$92,"미장",'09_CF_원금'!$A$6:$A$92,"&lt;="&amp;$A82)</f>
        <v>90000000</v>
      </c>
      <c r="AC82" s="14">
        <f>SUMIFS('09_CF_원금'!$E$6:$E$92,'09_CF_원금'!$D$6:$D$92,"ISA",'09_CF_원금'!$A$6:$A$92,"&lt;="&amp;$A82)-SUMIFS('09_CF_원금'!$E$6:$E$92,'09_CF_원금'!$C$6:$C$92,"ISA",'09_CF_원금'!$A$6:$A$92,"&lt;="&amp;$A82)</f>
        <v>40000000</v>
      </c>
      <c r="AD82" s="14">
        <f>IF($A82="","",$AA82+$AB82+$AC82+SUMIFS('09_CF_원금'!$E$6:$E$92,'09_CF_원금'!$D$6:$D$92,"중국",'09_CF_원금'!$A$6:$A$92,"&lt;="&amp;$A82)-SUMIFS('09_CF_원금'!$E$6:$E$92,'09_CF_원금'!$C$6:$C$92,"중국",'09_CF_원금'!$A$6:$A$92,"&lt;="&amp;$A82))</f>
        <v>350000000</v>
      </c>
      <c r="AE82" s="14" t="str">
        <f t="shared" si="13"/>
        <v/>
      </c>
      <c r="AF82" s="15"/>
      <c r="AG82" s="14"/>
      <c r="AH82" s="14"/>
      <c r="AI82" s="14"/>
      <c r="AJ82" s="14"/>
      <c r="AK82" s="16">
        <f t="shared" si="14"/>
        <v>202604</v>
      </c>
      <c r="AL82" s="17" t="str">
        <f t="shared" si="15"/>
        <v/>
      </c>
    </row>
    <row r="83" ht="15.75" customHeight="1">
      <c r="A83" s="6">
        <v>46118.0</v>
      </c>
      <c r="B83" s="7" t="str">
        <f t="shared" si="1"/>
        <v/>
      </c>
      <c r="C83" s="7" t="str">
        <f t="shared" si="16"/>
        <v/>
      </c>
      <c r="D83" s="7" t="str">
        <f t="shared" si="2"/>
        <v/>
      </c>
      <c r="E83" s="8" t="str">
        <f t="shared" si="3"/>
        <v/>
      </c>
      <c r="F83" s="8" t="str">
        <f>IF(OR($Y83="",$Y83=0,$G83="",$G83=0),"",($S83-$G83*'03_포지션'!$B$13)/$Y83)</f>
        <v/>
      </c>
      <c r="G83" s="7" t="str">
        <f t="shared" si="4"/>
        <v/>
      </c>
      <c r="H83" s="7" t="str">
        <f t="shared" si="5"/>
        <v/>
      </c>
      <c r="I83" s="7" t="str">
        <f t="shared" si="6"/>
        <v/>
      </c>
      <c r="J83" s="9" t="str">
        <f>IF(OR($I83="",'09_CF_원금'!$B$108=0),"",$I83/'09_CF_원금'!$B$108)</f>
        <v/>
      </c>
      <c r="K83" s="8" t="str">
        <f t="shared" si="7"/>
        <v/>
      </c>
      <c r="L83" s="8" t="str">
        <f t="shared" si="8"/>
        <v/>
      </c>
      <c r="M83" s="7" t="str">
        <f t="shared" si="9"/>
        <v/>
      </c>
      <c r="N83" s="7" t="str">
        <f t="shared" si="10"/>
        <v/>
      </c>
      <c r="O83" s="7" t="str">
        <f t="shared" si="11"/>
        <v/>
      </c>
      <c r="P83" s="10"/>
      <c r="Q83" s="11"/>
      <c r="R83" s="11"/>
      <c r="S83" s="12"/>
      <c r="T83" s="12"/>
      <c r="U83" s="12"/>
      <c r="V83" s="12"/>
      <c r="W83" s="18" t="str">
        <f t="shared" si="17"/>
        <v/>
      </c>
      <c r="X83" s="7" t="str">
        <f t="shared" si="18"/>
        <v/>
      </c>
      <c r="Y83" s="7" t="str">
        <f t="shared" si="19"/>
        <v/>
      </c>
      <c r="Z83" s="7" t="str">
        <f t="shared" si="12"/>
        <v/>
      </c>
      <c r="AA83" s="14">
        <f>SUMIFS('09_CF_원금'!$E$6:$E$92,'09_CF_원금'!$D$6:$D$92,"국장",'09_CF_원금'!$A$6:$A$92,"&lt;="&amp;$A83)-SUMIFS('09_CF_원금'!$E$6:$E$92,'09_CF_원금'!$C$6:$C$92,"국장",'09_CF_원금'!$A$6:$A$92,"&lt;="&amp;$A83)</f>
        <v>220000000</v>
      </c>
      <c r="AB83" s="14">
        <f>SUMIFS('09_CF_원금'!$E$6:$E$92,'09_CF_원금'!$D$6:$D$92,"미장",'09_CF_원금'!$A$6:$A$92,"&lt;="&amp;$A83)-SUMIFS('09_CF_원금'!$E$6:$E$92,'09_CF_원금'!$C$6:$C$92,"미장",'09_CF_원금'!$A$6:$A$92,"&lt;="&amp;$A83)</f>
        <v>90000000</v>
      </c>
      <c r="AC83" s="14">
        <f>SUMIFS('09_CF_원금'!$E$6:$E$92,'09_CF_원금'!$D$6:$D$92,"ISA",'09_CF_원금'!$A$6:$A$92,"&lt;="&amp;$A83)-SUMIFS('09_CF_원금'!$E$6:$E$92,'09_CF_원금'!$C$6:$C$92,"ISA",'09_CF_원금'!$A$6:$A$92,"&lt;="&amp;$A83)</f>
        <v>40000000</v>
      </c>
      <c r="AD83" s="14">
        <f>IF($A83="","",$AA83+$AB83+$AC83+SUMIFS('09_CF_원금'!$E$6:$E$92,'09_CF_원금'!$D$6:$D$92,"중국",'09_CF_원금'!$A$6:$A$92,"&lt;="&amp;$A83)-SUMIFS('09_CF_원금'!$E$6:$E$92,'09_CF_원금'!$C$6:$C$92,"중국",'09_CF_원금'!$A$6:$A$92,"&lt;="&amp;$A83))</f>
        <v>350000000</v>
      </c>
      <c r="AE83" s="14" t="str">
        <f t="shared" si="13"/>
        <v/>
      </c>
      <c r="AF83" s="15"/>
      <c r="AG83" s="14"/>
      <c r="AH83" s="14"/>
      <c r="AI83" s="14"/>
      <c r="AJ83" s="14"/>
      <c r="AK83" s="16">
        <f t="shared" si="14"/>
        <v>202604</v>
      </c>
      <c r="AL83" s="17" t="str">
        <f t="shared" si="15"/>
        <v/>
      </c>
    </row>
    <row r="84" ht="15.75" customHeight="1">
      <c r="A84" s="6">
        <v>46119.0</v>
      </c>
      <c r="B84" s="7" t="str">
        <f t="shared" si="1"/>
        <v/>
      </c>
      <c r="C84" s="7" t="str">
        <f t="shared" si="16"/>
        <v/>
      </c>
      <c r="D84" s="7" t="str">
        <f t="shared" si="2"/>
        <v/>
      </c>
      <c r="E84" s="8" t="str">
        <f t="shared" si="3"/>
        <v/>
      </c>
      <c r="F84" s="8" t="str">
        <f>IF(OR($Y84="",$Y84=0,$G84="",$G84=0),"",($S84-$G84*'03_포지션'!$B$13)/$Y84)</f>
        <v/>
      </c>
      <c r="G84" s="7" t="str">
        <f t="shared" si="4"/>
        <v/>
      </c>
      <c r="H84" s="7" t="str">
        <f t="shared" si="5"/>
        <v/>
      </c>
      <c r="I84" s="7" t="str">
        <f t="shared" si="6"/>
        <v/>
      </c>
      <c r="J84" s="9" t="str">
        <f>IF(OR($I84="",'09_CF_원금'!$B$108=0),"",$I84/'09_CF_원금'!$B$108)</f>
        <v/>
      </c>
      <c r="K84" s="8" t="str">
        <f t="shared" si="7"/>
        <v/>
      </c>
      <c r="L84" s="8" t="str">
        <f t="shared" si="8"/>
        <v/>
      </c>
      <c r="M84" s="7" t="str">
        <f t="shared" si="9"/>
        <v/>
      </c>
      <c r="N84" s="7" t="str">
        <f t="shared" si="10"/>
        <v/>
      </c>
      <c r="O84" s="7" t="str">
        <f t="shared" si="11"/>
        <v/>
      </c>
      <c r="P84" s="10"/>
      <c r="Q84" s="11"/>
      <c r="R84" s="11"/>
      <c r="S84" s="12"/>
      <c r="T84" s="12"/>
      <c r="U84" s="12"/>
      <c r="V84" s="12"/>
      <c r="W84" s="18" t="str">
        <f t="shared" si="17"/>
        <v/>
      </c>
      <c r="X84" s="7" t="str">
        <f t="shared" si="18"/>
        <v/>
      </c>
      <c r="Y84" s="7" t="str">
        <f t="shared" si="19"/>
        <v/>
      </c>
      <c r="Z84" s="7" t="str">
        <f t="shared" si="12"/>
        <v/>
      </c>
      <c r="AA84" s="14">
        <f>SUMIFS('09_CF_원금'!$E$6:$E$92,'09_CF_원금'!$D$6:$D$92,"국장",'09_CF_원금'!$A$6:$A$92,"&lt;="&amp;$A84)-SUMIFS('09_CF_원금'!$E$6:$E$92,'09_CF_원금'!$C$6:$C$92,"국장",'09_CF_원금'!$A$6:$A$92,"&lt;="&amp;$A84)</f>
        <v>220000000</v>
      </c>
      <c r="AB84" s="14">
        <f>SUMIFS('09_CF_원금'!$E$6:$E$92,'09_CF_원금'!$D$6:$D$92,"미장",'09_CF_원금'!$A$6:$A$92,"&lt;="&amp;$A84)-SUMIFS('09_CF_원금'!$E$6:$E$92,'09_CF_원금'!$C$6:$C$92,"미장",'09_CF_원금'!$A$6:$A$92,"&lt;="&amp;$A84)</f>
        <v>90000000</v>
      </c>
      <c r="AC84" s="14">
        <f>SUMIFS('09_CF_원금'!$E$6:$E$92,'09_CF_원금'!$D$6:$D$92,"ISA",'09_CF_원금'!$A$6:$A$92,"&lt;="&amp;$A84)-SUMIFS('09_CF_원금'!$E$6:$E$92,'09_CF_원금'!$C$6:$C$92,"ISA",'09_CF_원금'!$A$6:$A$92,"&lt;="&amp;$A84)</f>
        <v>40000000</v>
      </c>
      <c r="AD84" s="14">
        <f>IF($A84="","",$AA84+$AB84+$AC84+SUMIFS('09_CF_원금'!$E$6:$E$92,'09_CF_원금'!$D$6:$D$92,"중국",'09_CF_원금'!$A$6:$A$92,"&lt;="&amp;$A84)-SUMIFS('09_CF_원금'!$E$6:$E$92,'09_CF_원금'!$C$6:$C$92,"중국",'09_CF_원금'!$A$6:$A$92,"&lt;="&amp;$A84))</f>
        <v>350000000</v>
      </c>
      <c r="AE84" s="14" t="str">
        <f t="shared" si="13"/>
        <v/>
      </c>
      <c r="AF84" s="15"/>
      <c r="AG84" s="14"/>
      <c r="AH84" s="14"/>
      <c r="AI84" s="14"/>
      <c r="AJ84" s="14"/>
      <c r="AK84" s="16">
        <f t="shared" si="14"/>
        <v>202604</v>
      </c>
      <c r="AL84" s="17" t="str">
        <f t="shared" si="15"/>
        <v/>
      </c>
    </row>
    <row r="85" ht="15.75" customHeight="1">
      <c r="A85" s="6">
        <v>46120.0</v>
      </c>
      <c r="B85" s="7" t="str">
        <f t="shared" si="1"/>
        <v/>
      </c>
      <c r="C85" s="7" t="str">
        <f t="shared" si="16"/>
        <v/>
      </c>
      <c r="D85" s="7" t="str">
        <f t="shared" si="2"/>
        <v/>
      </c>
      <c r="E85" s="8" t="str">
        <f t="shared" si="3"/>
        <v/>
      </c>
      <c r="F85" s="8" t="str">
        <f>IF(OR($Y85="",$Y85=0,$G85="",$G85=0),"",($S85-$G85*'03_포지션'!$B$13)/$Y85)</f>
        <v/>
      </c>
      <c r="G85" s="7" t="str">
        <f t="shared" si="4"/>
        <v/>
      </c>
      <c r="H85" s="7" t="str">
        <f t="shared" si="5"/>
        <v/>
      </c>
      <c r="I85" s="7" t="str">
        <f t="shared" si="6"/>
        <v/>
      </c>
      <c r="J85" s="9" t="str">
        <f>IF(OR($I85="",'09_CF_원금'!$B$108=0),"",$I85/'09_CF_원금'!$B$108)</f>
        <v/>
      </c>
      <c r="K85" s="8" t="str">
        <f t="shared" si="7"/>
        <v/>
      </c>
      <c r="L85" s="8" t="str">
        <f t="shared" si="8"/>
        <v/>
      </c>
      <c r="M85" s="7" t="str">
        <f t="shared" si="9"/>
        <v/>
      </c>
      <c r="N85" s="7" t="str">
        <f t="shared" si="10"/>
        <v/>
      </c>
      <c r="O85" s="7" t="str">
        <f t="shared" si="11"/>
        <v/>
      </c>
      <c r="P85" s="10"/>
      <c r="Q85" s="11"/>
      <c r="R85" s="11"/>
      <c r="S85" s="12"/>
      <c r="T85" s="12"/>
      <c r="U85" s="12"/>
      <c r="V85" s="12"/>
      <c r="W85" s="18" t="str">
        <f t="shared" si="17"/>
        <v/>
      </c>
      <c r="X85" s="7" t="str">
        <f t="shared" si="18"/>
        <v/>
      </c>
      <c r="Y85" s="7" t="str">
        <f t="shared" si="19"/>
        <v/>
      </c>
      <c r="Z85" s="7" t="str">
        <f t="shared" si="12"/>
        <v/>
      </c>
      <c r="AA85" s="14">
        <f>SUMIFS('09_CF_원금'!$E$6:$E$92,'09_CF_원금'!$D$6:$D$92,"국장",'09_CF_원금'!$A$6:$A$92,"&lt;="&amp;$A85)-SUMIFS('09_CF_원금'!$E$6:$E$92,'09_CF_원금'!$C$6:$C$92,"국장",'09_CF_원금'!$A$6:$A$92,"&lt;="&amp;$A85)</f>
        <v>220000000</v>
      </c>
      <c r="AB85" s="14">
        <f>SUMIFS('09_CF_원금'!$E$6:$E$92,'09_CF_원금'!$D$6:$D$92,"미장",'09_CF_원금'!$A$6:$A$92,"&lt;="&amp;$A85)-SUMIFS('09_CF_원금'!$E$6:$E$92,'09_CF_원금'!$C$6:$C$92,"미장",'09_CF_원금'!$A$6:$A$92,"&lt;="&amp;$A85)</f>
        <v>90000000</v>
      </c>
      <c r="AC85" s="14">
        <f>SUMIFS('09_CF_원금'!$E$6:$E$92,'09_CF_원금'!$D$6:$D$92,"ISA",'09_CF_원금'!$A$6:$A$92,"&lt;="&amp;$A85)-SUMIFS('09_CF_원금'!$E$6:$E$92,'09_CF_원금'!$C$6:$C$92,"ISA",'09_CF_원금'!$A$6:$A$92,"&lt;="&amp;$A85)</f>
        <v>40000000</v>
      </c>
      <c r="AD85" s="14">
        <f>IF($A85="","",$AA85+$AB85+$AC85+SUMIFS('09_CF_원금'!$E$6:$E$92,'09_CF_원금'!$D$6:$D$92,"중국",'09_CF_원금'!$A$6:$A$92,"&lt;="&amp;$A85)-SUMIFS('09_CF_원금'!$E$6:$E$92,'09_CF_원금'!$C$6:$C$92,"중국",'09_CF_원금'!$A$6:$A$92,"&lt;="&amp;$A85))</f>
        <v>350000000</v>
      </c>
      <c r="AE85" s="14" t="str">
        <f t="shared" si="13"/>
        <v/>
      </c>
      <c r="AF85" s="15"/>
      <c r="AG85" s="14"/>
      <c r="AH85" s="14"/>
      <c r="AI85" s="14"/>
      <c r="AJ85" s="14"/>
      <c r="AK85" s="16">
        <f t="shared" si="14"/>
        <v>202604</v>
      </c>
      <c r="AL85" s="17" t="str">
        <f t="shared" si="15"/>
        <v/>
      </c>
    </row>
    <row r="86" ht="15.75" customHeight="1">
      <c r="A86" s="6">
        <v>46121.0</v>
      </c>
      <c r="B86" s="7" t="str">
        <f t="shared" si="1"/>
        <v/>
      </c>
      <c r="C86" s="7" t="str">
        <f t="shared" si="16"/>
        <v/>
      </c>
      <c r="D86" s="7" t="str">
        <f t="shared" si="2"/>
        <v/>
      </c>
      <c r="E86" s="8" t="str">
        <f t="shared" si="3"/>
        <v/>
      </c>
      <c r="F86" s="8" t="str">
        <f>IF(OR($Y86="",$Y86=0,$G86="",$G86=0),"",($S86-$G86*'03_포지션'!$B$13)/$Y86)</f>
        <v/>
      </c>
      <c r="G86" s="7" t="str">
        <f t="shared" si="4"/>
        <v/>
      </c>
      <c r="H86" s="7" t="str">
        <f t="shared" si="5"/>
        <v/>
      </c>
      <c r="I86" s="7" t="str">
        <f t="shared" si="6"/>
        <v/>
      </c>
      <c r="J86" s="9" t="str">
        <f>IF(OR($I86="",'09_CF_원금'!$B$108=0),"",$I86/'09_CF_원금'!$B$108)</f>
        <v/>
      </c>
      <c r="K86" s="8" t="str">
        <f t="shared" si="7"/>
        <v/>
      </c>
      <c r="L86" s="8" t="str">
        <f t="shared" si="8"/>
        <v/>
      </c>
      <c r="M86" s="7" t="str">
        <f t="shared" si="9"/>
        <v/>
      </c>
      <c r="N86" s="7" t="str">
        <f t="shared" si="10"/>
        <v/>
      </c>
      <c r="O86" s="7" t="str">
        <f t="shared" si="11"/>
        <v/>
      </c>
      <c r="P86" s="10"/>
      <c r="Q86" s="11"/>
      <c r="R86" s="11"/>
      <c r="S86" s="12"/>
      <c r="T86" s="12"/>
      <c r="U86" s="12"/>
      <c r="V86" s="12"/>
      <c r="W86" s="18" t="str">
        <f t="shared" si="17"/>
        <v/>
      </c>
      <c r="X86" s="7" t="str">
        <f t="shared" si="18"/>
        <v/>
      </c>
      <c r="Y86" s="7" t="str">
        <f t="shared" si="19"/>
        <v/>
      </c>
      <c r="Z86" s="7" t="str">
        <f t="shared" si="12"/>
        <v/>
      </c>
      <c r="AA86" s="14">
        <f>SUMIFS('09_CF_원금'!$E$6:$E$92,'09_CF_원금'!$D$6:$D$92,"국장",'09_CF_원금'!$A$6:$A$92,"&lt;="&amp;$A86)-SUMIFS('09_CF_원금'!$E$6:$E$92,'09_CF_원금'!$C$6:$C$92,"국장",'09_CF_원금'!$A$6:$A$92,"&lt;="&amp;$A86)</f>
        <v>220000000</v>
      </c>
      <c r="AB86" s="14">
        <f>SUMIFS('09_CF_원금'!$E$6:$E$92,'09_CF_원금'!$D$6:$D$92,"미장",'09_CF_원금'!$A$6:$A$92,"&lt;="&amp;$A86)-SUMIFS('09_CF_원금'!$E$6:$E$92,'09_CF_원금'!$C$6:$C$92,"미장",'09_CF_원금'!$A$6:$A$92,"&lt;="&amp;$A86)</f>
        <v>90000000</v>
      </c>
      <c r="AC86" s="14">
        <f>SUMIFS('09_CF_원금'!$E$6:$E$92,'09_CF_원금'!$D$6:$D$92,"ISA",'09_CF_원금'!$A$6:$A$92,"&lt;="&amp;$A86)-SUMIFS('09_CF_원금'!$E$6:$E$92,'09_CF_원금'!$C$6:$C$92,"ISA",'09_CF_원금'!$A$6:$A$92,"&lt;="&amp;$A86)</f>
        <v>40000000</v>
      </c>
      <c r="AD86" s="14">
        <f>IF($A86="","",$AA86+$AB86+$AC86+SUMIFS('09_CF_원금'!$E$6:$E$92,'09_CF_원금'!$D$6:$D$92,"중국",'09_CF_원금'!$A$6:$A$92,"&lt;="&amp;$A86)-SUMIFS('09_CF_원금'!$E$6:$E$92,'09_CF_원금'!$C$6:$C$92,"중국",'09_CF_원금'!$A$6:$A$92,"&lt;="&amp;$A86))</f>
        <v>350000000</v>
      </c>
      <c r="AE86" s="14" t="str">
        <f t="shared" si="13"/>
        <v/>
      </c>
      <c r="AF86" s="15"/>
      <c r="AG86" s="14"/>
      <c r="AH86" s="14"/>
      <c r="AI86" s="14"/>
      <c r="AJ86" s="14"/>
      <c r="AK86" s="16">
        <f t="shared" si="14"/>
        <v>202604</v>
      </c>
      <c r="AL86" s="17" t="str">
        <f t="shared" si="15"/>
        <v/>
      </c>
    </row>
    <row r="87" ht="15.75" customHeight="1">
      <c r="A87" s="6">
        <v>46122.0</v>
      </c>
      <c r="B87" s="7" t="str">
        <f t="shared" si="1"/>
        <v/>
      </c>
      <c r="C87" s="7" t="str">
        <f t="shared" si="16"/>
        <v/>
      </c>
      <c r="D87" s="7" t="str">
        <f t="shared" si="2"/>
        <v/>
      </c>
      <c r="E87" s="8" t="str">
        <f t="shared" si="3"/>
        <v/>
      </c>
      <c r="F87" s="8" t="str">
        <f>IF(OR($Y87="",$Y87=0,$G87="",$G87=0),"",($S87-$G87*'03_포지션'!$B$13)/$Y87)</f>
        <v/>
      </c>
      <c r="G87" s="7" t="str">
        <f t="shared" si="4"/>
        <v/>
      </c>
      <c r="H87" s="7" t="str">
        <f t="shared" si="5"/>
        <v/>
      </c>
      <c r="I87" s="7" t="str">
        <f t="shared" si="6"/>
        <v/>
      </c>
      <c r="J87" s="9" t="str">
        <f>IF(OR($I87="",'09_CF_원금'!$B$108=0),"",$I87/'09_CF_원금'!$B$108)</f>
        <v/>
      </c>
      <c r="K87" s="8" t="str">
        <f t="shared" si="7"/>
        <v/>
      </c>
      <c r="L87" s="8" t="str">
        <f t="shared" si="8"/>
        <v/>
      </c>
      <c r="M87" s="7" t="str">
        <f t="shared" si="9"/>
        <v/>
      </c>
      <c r="N87" s="7" t="str">
        <f t="shared" si="10"/>
        <v/>
      </c>
      <c r="O87" s="7" t="str">
        <f t="shared" si="11"/>
        <v/>
      </c>
      <c r="P87" s="10"/>
      <c r="Q87" s="11"/>
      <c r="R87" s="11"/>
      <c r="S87" s="12"/>
      <c r="T87" s="12"/>
      <c r="U87" s="12"/>
      <c r="V87" s="12"/>
      <c r="W87" s="18" t="str">
        <f t="shared" si="17"/>
        <v/>
      </c>
      <c r="X87" s="7" t="str">
        <f t="shared" si="18"/>
        <v/>
      </c>
      <c r="Y87" s="7" t="str">
        <f t="shared" si="19"/>
        <v/>
      </c>
      <c r="Z87" s="7" t="str">
        <f t="shared" si="12"/>
        <v/>
      </c>
      <c r="AA87" s="14">
        <f>SUMIFS('09_CF_원금'!$E$6:$E$92,'09_CF_원금'!$D$6:$D$92,"국장",'09_CF_원금'!$A$6:$A$92,"&lt;="&amp;$A87)-SUMIFS('09_CF_원금'!$E$6:$E$92,'09_CF_원금'!$C$6:$C$92,"국장",'09_CF_원금'!$A$6:$A$92,"&lt;="&amp;$A87)</f>
        <v>220000000</v>
      </c>
      <c r="AB87" s="14">
        <f>SUMIFS('09_CF_원금'!$E$6:$E$92,'09_CF_원금'!$D$6:$D$92,"미장",'09_CF_원금'!$A$6:$A$92,"&lt;="&amp;$A87)-SUMIFS('09_CF_원금'!$E$6:$E$92,'09_CF_원금'!$C$6:$C$92,"미장",'09_CF_원금'!$A$6:$A$92,"&lt;="&amp;$A87)</f>
        <v>90000000</v>
      </c>
      <c r="AC87" s="14">
        <f>SUMIFS('09_CF_원금'!$E$6:$E$92,'09_CF_원금'!$D$6:$D$92,"ISA",'09_CF_원금'!$A$6:$A$92,"&lt;="&amp;$A87)-SUMIFS('09_CF_원금'!$E$6:$E$92,'09_CF_원금'!$C$6:$C$92,"ISA",'09_CF_원금'!$A$6:$A$92,"&lt;="&amp;$A87)</f>
        <v>40000000</v>
      </c>
      <c r="AD87" s="14">
        <f>IF($A87="","",$AA87+$AB87+$AC87+SUMIFS('09_CF_원금'!$E$6:$E$92,'09_CF_원금'!$D$6:$D$92,"중국",'09_CF_원금'!$A$6:$A$92,"&lt;="&amp;$A87)-SUMIFS('09_CF_원금'!$E$6:$E$92,'09_CF_원금'!$C$6:$C$92,"중국",'09_CF_원금'!$A$6:$A$92,"&lt;="&amp;$A87))</f>
        <v>350000000</v>
      </c>
      <c r="AE87" s="14" t="str">
        <f t="shared" si="13"/>
        <v/>
      </c>
      <c r="AF87" s="15"/>
      <c r="AG87" s="14"/>
      <c r="AH87" s="14"/>
      <c r="AI87" s="14"/>
      <c r="AJ87" s="14"/>
      <c r="AK87" s="16">
        <f t="shared" si="14"/>
        <v>202604</v>
      </c>
      <c r="AL87" s="17" t="str">
        <f t="shared" si="15"/>
        <v/>
      </c>
    </row>
    <row r="88" ht="15.75" customHeight="1">
      <c r="A88" s="6">
        <v>46125.0</v>
      </c>
      <c r="B88" s="7" t="str">
        <f t="shared" si="1"/>
        <v/>
      </c>
      <c r="C88" s="7" t="str">
        <f t="shared" si="16"/>
        <v/>
      </c>
      <c r="D88" s="7" t="str">
        <f t="shared" si="2"/>
        <v/>
      </c>
      <c r="E88" s="8" t="str">
        <f t="shared" si="3"/>
        <v/>
      </c>
      <c r="F88" s="8" t="str">
        <f>IF(OR($Y88="",$Y88=0,$G88="",$G88=0),"",($S88-$G88*'03_포지션'!$B$13)/$Y88)</f>
        <v/>
      </c>
      <c r="G88" s="7" t="str">
        <f t="shared" si="4"/>
        <v/>
      </c>
      <c r="H88" s="7" t="str">
        <f t="shared" si="5"/>
        <v/>
      </c>
      <c r="I88" s="7" t="str">
        <f t="shared" si="6"/>
        <v/>
      </c>
      <c r="J88" s="9" t="str">
        <f>IF(OR($I88="",'09_CF_원금'!$B$108=0),"",$I88/'09_CF_원금'!$B$108)</f>
        <v/>
      </c>
      <c r="K88" s="8" t="str">
        <f t="shared" si="7"/>
        <v/>
      </c>
      <c r="L88" s="8" t="str">
        <f t="shared" si="8"/>
        <v/>
      </c>
      <c r="M88" s="7" t="str">
        <f t="shared" si="9"/>
        <v/>
      </c>
      <c r="N88" s="7" t="str">
        <f t="shared" si="10"/>
        <v/>
      </c>
      <c r="O88" s="7" t="str">
        <f t="shared" si="11"/>
        <v/>
      </c>
      <c r="P88" s="10"/>
      <c r="Q88" s="11"/>
      <c r="R88" s="11"/>
      <c r="S88" s="12"/>
      <c r="T88" s="12"/>
      <c r="U88" s="12"/>
      <c r="V88" s="12"/>
      <c r="W88" s="18" t="str">
        <f t="shared" si="17"/>
        <v/>
      </c>
      <c r="X88" s="7" t="str">
        <f t="shared" si="18"/>
        <v/>
      </c>
      <c r="Y88" s="7" t="str">
        <f t="shared" si="19"/>
        <v/>
      </c>
      <c r="Z88" s="7" t="str">
        <f t="shared" si="12"/>
        <v/>
      </c>
      <c r="AA88" s="14">
        <f>SUMIFS('09_CF_원금'!$E$6:$E$92,'09_CF_원금'!$D$6:$D$92,"국장",'09_CF_원금'!$A$6:$A$92,"&lt;="&amp;$A88)-SUMIFS('09_CF_원금'!$E$6:$E$92,'09_CF_원금'!$C$6:$C$92,"국장",'09_CF_원금'!$A$6:$A$92,"&lt;="&amp;$A88)</f>
        <v>210000000</v>
      </c>
      <c r="AB88" s="14">
        <f>SUMIFS('09_CF_원금'!$E$6:$E$92,'09_CF_원금'!$D$6:$D$92,"미장",'09_CF_원금'!$A$6:$A$92,"&lt;="&amp;$A88)-SUMIFS('09_CF_원금'!$E$6:$E$92,'09_CF_원금'!$C$6:$C$92,"미장",'09_CF_원금'!$A$6:$A$92,"&lt;="&amp;$A88)</f>
        <v>100000000</v>
      </c>
      <c r="AC88" s="14">
        <f>SUMIFS('09_CF_원금'!$E$6:$E$92,'09_CF_원금'!$D$6:$D$92,"ISA",'09_CF_원금'!$A$6:$A$92,"&lt;="&amp;$A88)-SUMIFS('09_CF_원금'!$E$6:$E$92,'09_CF_원금'!$C$6:$C$92,"ISA",'09_CF_원금'!$A$6:$A$92,"&lt;="&amp;$A88)</f>
        <v>40000000</v>
      </c>
      <c r="AD88" s="14">
        <f>IF($A88="","",$AA88+$AB88+$AC88+SUMIFS('09_CF_원금'!$E$6:$E$92,'09_CF_원금'!$D$6:$D$92,"중국",'09_CF_원금'!$A$6:$A$92,"&lt;="&amp;$A88)-SUMIFS('09_CF_원금'!$E$6:$E$92,'09_CF_원금'!$C$6:$C$92,"중국",'09_CF_원금'!$A$6:$A$92,"&lt;="&amp;$A88))</f>
        <v>350000000</v>
      </c>
      <c r="AE88" s="14" t="str">
        <f t="shared" si="13"/>
        <v/>
      </c>
      <c r="AF88" s="15"/>
      <c r="AG88" s="14"/>
      <c r="AH88" s="14"/>
      <c r="AI88" s="14"/>
      <c r="AJ88" s="14"/>
      <c r="AK88" s="16">
        <f t="shared" si="14"/>
        <v>202604</v>
      </c>
      <c r="AL88" s="17" t="str">
        <f t="shared" si="15"/>
        <v/>
      </c>
    </row>
    <row r="89" ht="15.75" customHeight="1">
      <c r="A89" s="6">
        <v>46126.0</v>
      </c>
      <c r="B89" s="7" t="str">
        <f t="shared" si="1"/>
        <v/>
      </c>
      <c r="C89" s="7" t="str">
        <f t="shared" si="16"/>
        <v/>
      </c>
      <c r="D89" s="7" t="str">
        <f t="shared" si="2"/>
        <v/>
      </c>
      <c r="E89" s="8" t="str">
        <f t="shared" si="3"/>
        <v/>
      </c>
      <c r="F89" s="8" t="str">
        <f>IF(OR($Y89="",$Y89=0,$G89="",$G89=0),"",($S89-$G89*'03_포지션'!$B$13)/$Y89)</f>
        <v/>
      </c>
      <c r="G89" s="7" t="str">
        <f t="shared" si="4"/>
        <v/>
      </c>
      <c r="H89" s="7" t="str">
        <f t="shared" si="5"/>
        <v/>
      </c>
      <c r="I89" s="7" t="str">
        <f t="shared" si="6"/>
        <v/>
      </c>
      <c r="J89" s="9" t="str">
        <f>IF(OR($I89="",'09_CF_원금'!$B$108=0),"",$I89/'09_CF_원금'!$B$108)</f>
        <v/>
      </c>
      <c r="K89" s="8" t="str">
        <f t="shared" si="7"/>
        <v/>
      </c>
      <c r="L89" s="8" t="str">
        <f t="shared" si="8"/>
        <v/>
      </c>
      <c r="M89" s="7" t="str">
        <f t="shared" si="9"/>
        <v/>
      </c>
      <c r="N89" s="7" t="str">
        <f t="shared" si="10"/>
        <v/>
      </c>
      <c r="O89" s="7" t="str">
        <f t="shared" si="11"/>
        <v/>
      </c>
      <c r="P89" s="10"/>
      <c r="Q89" s="11"/>
      <c r="R89" s="11"/>
      <c r="S89" s="12"/>
      <c r="T89" s="12"/>
      <c r="U89" s="12"/>
      <c r="V89" s="12"/>
      <c r="W89" s="18" t="str">
        <f t="shared" si="17"/>
        <v/>
      </c>
      <c r="X89" s="7" t="str">
        <f t="shared" si="18"/>
        <v/>
      </c>
      <c r="Y89" s="7" t="str">
        <f t="shared" si="19"/>
        <v/>
      </c>
      <c r="Z89" s="7" t="str">
        <f t="shared" si="12"/>
        <v/>
      </c>
      <c r="AA89" s="14">
        <f>SUMIFS('09_CF_원금'!$E$6:$E$92,'09_CF_원금'!$D$6:$D$92,"국장",'09_CF_원금'!$A$6:$A$92,"&lt;="&amp;$A89)-SUMIFS('09_CF_원금'!$E$6:$E$92,'09_CF_원금'!$C$6:$C$92,"국장",'09_CF_원금'!$A$6:$A$92,"&lt;="&amp;$A89)</f>
        <v>210000000</v>
      </c>
      <c r="AB89" s="14">
        <f>SUMIFS('09_CF_원금'!$E$6:$E$92,'09_CF_원금'!$D$6:$D$92,"미장",'09_CF_원금'!$A$6:$A$92,"&lt;="&amp;$A89)-SUMIFS('09_CF_원금'!$E$6:$E$92,'09_CF_원금'!$C$6:$C$92,"미장",'09_CF_원금'!$A$6:$A$92,"&lt;="&amp;$A89)</f>
        <v>100000000</v>
      </c>
      <c r="AC89" s="14">
        <f>SUMIFS('09_CF_원금'!$E$6:$E$92,'09_CF_원금'!$D$6:$D$92,"ISA",'09_CF_원금'!$A$6:$A$92,"&lt;="&amp;$A89)-SUMIFS('09_CF_원금'!$E$6:$E$92,'09_CF_원금'!$C$6:$C$92,"ISA",'09_CF_원금'!$A$6:$A$92,"&lt;="&amp;$A89)</f>
        <v>40000000</v>
      </c>
      <c r="AD89" s="14">
        <f>IF($A89="","",$AA89+$AB89+$AC89+SUMIFS('09_CF_원금'!$E$6:$E$92,'09_CF_원금'!$D$6:$D$92,"중국",'09_CF_원금'!$A$6:$A$92,"&lt;="&amp;$A89)-SUMIFS('09_CF_원금'!$E$6:$E$92,'09_CF_원금'!$C$6:$C$92,"중국",'09_CF_원금'!$A$6:$A$92,"&lt;="&amp;$A89))</f>
        <v>350000000</v>
      </c>
      <c r="AE89" s="14" t="str">
        <f t="shared" si="13"/>
        <v/>
      </c>
      <c r="AF89" s="15"/>
      <c r="AG89" s="14"/>
      <c r="AH89" s="14"/>
      <c r="AI89" s="14"/>
      <c r="AJ89" s="14"/>
      <c r="AK89" s="16">
        <f t="shared" si="14"/>
        <v>202604</v>
      </c>
      <c r="AL89" s="17" t="str">
        <f t="shared" si="15"/>
        <v/>
      </c>
    </row>
    <row r="90" ht="15.75" customHeight="1">
      <c r="A90" s="6">
        <v>46127.0</v>
      </c>
      <c r="B90" s="7" t="str">
        <f t="shared" si="1"/>
        <v/>
      </c>
      <c r="C90" s="7" t="str">
        <f t="shared" si="16"/>
        <v/>
      </c>
      <c r="D90" s="7" t="str">
        <f t="shared" si="2"/>
        <v/>
      </c>
      <c r="E90" s="8" t="str">
        <f t="shared" si="3"/>
        <v/>
      </c>
      <c r="F90" s="8" t="str">
        <f>IF(OR($Y90="",$Y90=0,$G90="",$G90=0),"",($S90-$G90*'03_포지션'!$B$13)/$Y90)</f>
        <v/>
      </c>
      <c r="G90" s="7" t="str">
        <f t="shared" si="4"/>
        <v/>
      </c>
      <c r="H90" s="7" t="str">
        <f t="shared" si="5"/>
        <v/>
      </c>
      <c r="I90" s="7" t="str">
        <f t="shared" si="6"/>
        <v/>
      </c>
      <c r="J90" s="9" t="str">
        <f>IF(OR($I90="",'09_CF_원금'!$B$108=0),"",$I90/'09_CF_원금'!$B$108)</f>
        <v/>
      </c>
      <c r="K90" s="8" t="str">
        <f t="shared" si="7"/>
        <v/>
      </c>
      <c r="L90" s="8" t="str">
        <f t="shared" si="8"/>
        <v/>
      </c>
      <c r="M90" s="7" t="str">
        <f t="shared" si="9"/>
        <v/>
      </c>
      <c r="N90" s="7" t="str">
        <f t="shared" si="10"/>
        <v/>
      </c>
      <c r="O90" s="7" t="str">
        <f t="shared" si="11"/>
        <v/>
      </c>
      <c r="P90" s="10"/>
      <c r="Q90" s="11"/>
      <c r="R90" s="11"/>
      <c r="S90" s="12"/>
      <c r="T90" s="12"/>
      <c r="U90" s="12"/>
      <c r="V90" s="12"/>
      <c r="W90" s="18" t="str">
        <f t="shared" si="17"/>
        <v/>
      </c>
      <c r="X90" s="7" t="str">
        <f t="shared" si="18"/>
        <v/>
      </c>
      <c r="Y90" s="7" t="str">
        <f t="shared" si="19"/>
        <v/>
      </c>
      <c r="Z90" s="7" t="str">
        <f t="shared" si="12"/>
        <v/>
      </c>
      <c r="AA90" s="14">
        <f>SUMIFS('09_CF_원금'!$E$6:$E$92,'09_CF_원금'!$D$6:$D$92,"국장",'09_CF_원금'!$A$6:$A$92,"&lt;="&amp;$A90)-SUMIFS('09_CF_원금'!$E$6:$E$92,'09_CF_원금'!$C$6:$C$92,"국장",'09_CF_원금'!$A$6:$A$92,"&lt;="&amp;$A90)</f>
        <v>210000000</v>
      </c>
      <c r="AB90" s="14">
        <f>SUMIFS('09_CF_원금'!$E$6:$E$92,'09_CF_원금'!$D$6:$D$92,"미장",'09_CF_원금'!$A$6:$A$92,"&lt;="&amp;$A90)-SUMIFS('09_CF_원금'!$E$6:$E$92,'09_CF_원금'!$C$6:$C$92,"미장",'09_CF_원금'!$A$6:$A$92,"&lt;="&amp;$A90)</f>
        <v>100000000</v>
      </c>
      <c r="AC90" s="14">
        <f>SUMIFS('09_CF_원금'!$E$6:$E$92,'09_CF_원금'!$D$6:$D$92,"ISA",'09_CF_원금'!$A$6:$A$92,"&lt;="&amp;$A90)-SUMIFS('09_CF_원금'!$E$6:$E$92,'09_CF_원금'!$C$6:$C$92,"ISA",'09_CF_원금'!$A$6:$A$92,"&lt;="&amp;$A90)</f>
        <v>40000000</v>
      </c>
      <c r="AD90" s="14">
        <f>IF($A90="","",$AA90+$AB90+$AC90+SUMIFS('09_CF_원금'!$E$6:$E$92,'09_CF_원금'!$D$6:$D$92,"중국",'09_CF_원금'!$A$6:$A$92,"&lt;="&amp;$A90)-SUMIFS('09_CF_원금'!$E$6:$E$92,'09_CF_원금'!$C$6:$C$92,"중국",'09_CF_원금'!$A$6:$A$92,"&lt;="&amp;$A90))</f>
        <v>350000000</v>
      </c>
      <c r="AE90" s="14" t="str">
        <f t="shared" si="13"/>
        <v/>
      </c>
      <c r="AF90" s="15"/>
      <c r="AG90" s="14"/>
      <c r="AH90" s="14"/>
      <c r="AI90" s="14"/>
      <c r="AJ90" s="14"/>
      <c r="AK90" s="16">
        <f t="shared" si="14"/>
        <v>202604</v>
      </c>
      <c r="AL90" s="17" t="str">
        <f t="shared" si="15"/>
        <v/>
      </c>
    </row>
    <row r="91" ht="15.75" customHeight="1">
      <c r="A91" s="6">
        <v>46128.0</v>
      </c>
      <c r="B91" s="7" t="str">
        <f t="shared" si="1"/>
        <v/>
      </c>
      <c r="C91" s="7" t="str">
        <f t="shared" si="16"/>
        <v/>
      </c>
      <c r="D91" s="7" t="str">
        <f t="shared" si="2"/>
        <v/>
      </c>
      <c r="E91" s="8" t="str">
        <f t="shared" si="3"/>
        <v/>
      </c>
      <c r="F91" s="8" t="str">
        <f>IF(OR($Y91="",$Y91=0,$G91="",$G91=0),"",($S91-$G91*'03_포지션'!$B$13)/$Y91)</f>
        <v/>
      </c>
      <c r="G91" s="7" t="str">
        <f t="shared" si="4"/>
        <v/>
      </c>
      <c r="H91" s="7" t="str">
        <f t="shared" si="5"/>
        <v/>
      </c>
      <c r="I91" s="7" t="str">
        <f t="shared" si="6"/>
        <v/>
      </c>
      <c r="J91" s="9" t="str">
        <f>IF(OR($I91="",'09_CF_원금'!$B$108=0),"",$I91/'09_CF_원금'!$B$108)</f>
        <v/>
      </c>
      <c r="K91" s="8" t="str">
        <f t="shared" si="7"/>
        <v/>
      </c>
      <c r="L91" s="8" t="str">
        <f t="shared" si="8"/>
        <v/>
      </c>
      <c r="M91" s="7" t="str">
        <f t="shared" si="9"/>
        <v/>
      </c>
      <c r="N91" s="7" t="str">
        <f t="shared" si="10"/>
        <v/>
      </c>
      <c r="O91" s="7" t="str">
        <f t="shared" si="11"/>
        <v/>
      </c>
      <c r="P91" s="10"/>
      <c r="Q91" s="11"/>
      <c r="R91" s="11"/>
      <c r="S91" s="12"/>
      <c r="T91" s="12"/>
      <c r="U91" s="12"/>
      <c r="V91" s="12"/>
      <c r="W91" s="18" t="str">
        <f t="shared" si="17"/>
        <v/>
      </c>
      <c r="X91" s="7" t="str">
        <f t="shared" si="18"/>
        <v/>
      </c>
      <c r="Y91" s="7" t="str">
        <f t="shared" si="19"/>
        <v/>
      </c>
      <c r="Z91" s="7" t="str">
        <f t="shared" si="12"/>
        <v/>
      </c>
      <c r="AA91" s="14">
        <f>SUMIFS('09_CF_원금'!$E$6:$E$92,'09_CF_원금'!$D$6:$D$92,"국장",'09_CF_원금'!$A$6:$A$92,"&lt;="&amp;$A91)-SUMIFS('09_CF_원금'!$E$6:$E$92,'09_CF_원금'!$C$6:$C$92,"국장",'09_CF_원금'!$A$6:$A$92,"&lt;="&amp;$A91)</f>
        <v>210000000</v>
      </c>
      <c r="AB91" s="14">
        <f>SUMIFS('09_CF_원금'!$E$6:$E$92,'09_CF_원금'!$D$6:$D$92,"미장",'09_CF_원금'!$A$6:$A$92,"&lt;="&amp;$A91)-SUMIFS('09_CF_원금'!$E$6:$E$92,'09_CF_원금'!$C$6:$C$92,"미장",'09_CF_원금'!$A$6:$A$92,"&lt;="&amp;$A91)</f>
        <v>100000000</v>
      </c>
      <c r="AC91" s="14">
        <f>SUMIFS('09_CF_원금'!$E$6:$E$92,'09_CF_원금'!$D$6:$D$92,"ISA",'09_CF_원금'!$A$6:$A$92,"&lt;="&amp;$A91)-SUMIFS('09_CF_원금'!$E$6:$E$92,'09_CF_원금'!$C$6:$C$92,"ISA",'09_CF_원금'!$A$6:$A$92,"&lt;="&amp;$A91)</f>
        <v>40000000</v>
      </c>
      <c r="AD91" s="14">
        <f>IF($A91="","",$AA91+$AB91+$AC91+SUMIFS('09_CF_원금'!$E$6:$E$92,'09_CF_원금'!$D$6:$D$92,"중국",'09_CF_원금'!$A$6:$A$92,"&lt;="&amp;$A91)-SUMIFS('09_CF_원금'!$E$6:$E$92,'09_CF_원금'!$C$6:$C$92,"중국",'09_CF_원금'!$A$6:$A$92,"&lt;="&amp;$A91))</f>
        <v>350000000</v>
      </c>
      <c r="AE91" s="14" t="str">
        <f t="shared" si="13"/>
        <v/>
      </c>
      <c r="AF91" s="15"/>
      <c r="AG91" s="14"/>
      <c r="AH91" s="14"/>
      <c r="AI91" s="14"/>
      <c r="AJ91" s="14"/>
      <c r="AK91" s="16">
        <f t="shared" si="14"/>
        <v>202604</v>
      </c>
      <c r="AL91" s="17" t="str">
        <f t="shared" si="15"/>
        <v/>
      </c>
    </row>
    <row r="92" ht="15.75" customHeight="1">
      <c r="A92" s="6">
        <v>46129.0</v>
      </c>
      <c r="B92" s="7" t="str">
        <f t="shared" si="1"/>
        <v/>
      </c>
      <c r="C92" s="7" t="str">
        <f t="shared" si="16"/>
        <v/>
      </c>
      <c r="D92" s="7" t="str">
        <f t="shared" si="2"/>
        <v/>
      </c>
      <c r="E92" s="8" t="str">
        <f t="shared" si="3"/>
        <v/>
      </c>
      <c r="F92" s="8" t="str">
        <f>IF(OR($Y92="",$Y92=0,$G92="",$G92=0),"",($S92-$G92*'03_포지션'!$B$13)/$Y92)</f>
        <v/>
      </c>
      <c r="G92" s="7" t="str">
        <f t="shared" si="4"/>
        <v/>
      </c>
      <c r="H92" s="7" t="str">
        <f t="shared" si="5"/>
        <v/>
      </c>
      <c r="I92" s="7" t="str">
        <f t="shared" si="6"/>
        <v/>
      </c>
      <c r="J92" s="9" t="str">
        <f>IF(OR($I92="",'09_CF_원금'!$B$108=0),"",$I92/'09_CF_원금'!$B$108)</f>
        <v/>
      </c>
      <c r="K92" s="8" t="str">
        <f t="shared" si="7"/>
        <v/>
      </c>
      <c r="L92" s="8" t="str">
        <f t="shared" si="8"/>
        <v/>
      </c>
      <c r="M92" s="7" t="str">
        <f t="shared" si="9"/>
        <v/>
      </c>
      <c r="N92" s="7" t="str">
        <f t="shared" si="10"/>
        <v/>
      </c>
      <c r="O92" s="7" t="str">
        <f t="shared" si="11"/>
        <v/>
      </c>
      <c r="P92" s="10"/>
      <c r="Q92" s="11"/>
      <c r="R92" s="11"/>
      <c r="S92" s="12"/>
      <c r="T92" s="12"/>
      <c r="U92" s="12"/>
      <c r="V92" s="12"/>
      <c r="W92" s="18" t="str">
        <f t="shared" si="17"/>
        <v/>
      </c>
      <c r="X92" s="7" t="str">
        <f t="shared" si="18"/>
        <v/>
      </c>
      <c r="Y92" s="7" t="str">
        <f t="shared" si="19"/>
        <v/>
      </c>
      <c r="Z92" s="7" t="str">
        <f t="shared" si="12"/>
        <v/>
      </c>
      <c r="AA92" s="14">
        <f>SUMIFS('09_CF_원금'!$E$6:$E$92,'09_CF_원금'!$D$6:$D$92,"국장",'09_CF_원금'!$A$6:$A$92,"&lt;="&amp;$A92)-SUMIFS('09_CF_원금'!$E$6:$E$92,'09_CF_원금'!$C$6:$C$92,"국장",'09_CF_원금'!$A$6:$A$92,"&lt;="&amp;$A92)</f>
        <v>210000000</v>
      </c>
      <c r="AB92" s="14">
        <f>SUMIFS('09_CF_원금'!$E$6:$E$92,'09_CF_원금'!$D$6:$D$92,"미장",'09_CF_원금'!$A$6:$A$92,"&lt;="&amp;$A92)-SUMIFS('09_CF_원금'!$E$6:$E$92,'09_CF_원금'!$C$6:$C$92,"미장",'09_CF_원금'!$A$6:$A$92,"&lt;="&amp;$A92)</f>
        <v>100000000</v>
      </c>
      <c r="AC92" s="14">
        <f>SUMIFS('09_CF_원금'!$E$6:$E$92,'09_CF_원금'!$D$6:$D$92,"ISA",'09_CF_원금'!$A$6:$A$92,"&lt;="&amp;$A92)-SUMIFS('09_CF_원금'!$E$6:$E$92,'09_CF_원금'!$C$6:$C$92,"ISA",'09_CF_원금'!$A$6:$A$92,"&lt;="&amp;$A92)</f>
        <v>40000000</v>
      </c>
      <c r="AD92" s="14">
        <f>IF($A92="","",$AA92+$AB92+$AC92+SUMIFS('09_CF_원금'!$E$6:$E$92,'09_CF_원금'!$D$6:$D$92,"중국",'09_CF_원금'!$A$6:$A$92,"&lt;="&amp;$A92)-SUMIFS('09_CF_원금'!$E$6:$E$92,'09_CF_원금'!$C$6:$C$92,"중국",'09_CF_원금'!$A$6:$A$92,"&lt;="&amp;$A92))</f>
        <v>350000000</v>
      </c>
      <c r="AE92" s="14" t="str">
        <f t="shared" si="13"/>
        <v/>
      </c>
      <c r="AF92" s="15"/>
      <c r="AG92" s="14"/>
      <c r="AH92" s="14"/>
      <c r="AI92" s="14"/>
      <c r="AJ92" s="14"/>
      <c r="AK92" s="16">
        <f t="shared" si="14"/>
        <v>202604</v>
      </c>
      <c r="AL92" s="17" t="str">
        <f t="shared" si="15"/>
        <v/>
      </c>
    </row>
    <row r="93" ht="15.75" customHeight="1">
      <c r="A93" s="6">
        <v>46132.0</v>
      </c>
      <c r="B93" s="7" t="str">
        <f t="shared" si="1"/>
        <v/>
      </c>
      <c r="C93" s="7" t="str">
        <f t="shared" si="16"/>
        <v/>
      </c>
      <c r="D93" s="7" t="str">
        <f t="shared" si="2"/>
        <v/>
      </c>
      <c r="E93" s="8" t="str">
        <f t="shared" si="3"/>
        <v/>
      </c>
      <c r="F93" s="8" t="str">
        <f>IF(OR($Y93="",$Y93=0,$G93="",$G93=0),"",($S93-$G93*'03_포지션'!$B$13)/$Y93)</f>
        <v/>
      </c>
      <c r="G93" s="7" t="str">
        <f t="shared" si="4"/>
        <v/>
      </c>
      <c r="H93" s="7" t="str">
        <f t="shared" si="5"/>
        <v/>
      </c>
      <c r="I93" s="7" t="str">
        <f t="shared" si="6"/>
        <v/>
      </c>
      <c r="J93" s="9" t="str">
        <f>IF(OR($I93="",'09_CF_원금'!$B$108=0),"",$I93/'09_CF_원금'!$B$108)</f>
        <v/>
      </c>
      <c r="K93" s="8" t="str">
        <f t="shared" si="7"/>
        <v/>
      </c>
      <c r="L93" s="8" t="str">
        <f t="shared" si="8"/>
        <v/>
      </c>
      <c r="M93" s="7" t="str">
        <f t="shared" si="9"/>
        <v/>
      </c>
      <c r="N93" s="7" t="str">
        <f t="shared" si="10"/>
        <v/>
      </c>
      <c r="O93" s="7" t="str">
        <f t="shared" si="11"/>
        <v/>
      </c>
      <c r="P93" s="10"/>
      <c r="Q93" s="11"/>
      <c r="R93" s="11"/>
      <c r="S93" s="12"/>
      <c r="T93" s="12"/>
      <c r="U93" s="12"/>
      <c r="V93" s="12"/>
      <c r="W93" s="18" t="str">
        <f t="shared" si="17"/>
        <v/>
      </c>
      <c r="X93" s="7" t="str">
        <f t="shared" si="18"/>
        <v/>
      </c>
      <c r="Y93" s="7" t="str">
        <f t="shared" si="19"/>
        <v/>
      </c>
      <c r="Z93" s="7" t="str">
        <f t="shared" si="12"/>
        <v/>
      </c>
      <c r="AA93" s="14">
        <f>SUMIFS('09_CF_원금'!$E$6:$E$92,'09_CF_원금'!$D$6:$D$92,"국장",'09_CF_원금'!$A$6:$A$92,"&lt;="&amp;$A93)-SUMIFS('09_CF_원금'!$E$6:$E$92,'09_CF_원금'!$C$6:$C$92,"국장",'09_CF_원금'!$A$6:$A$92,"&lt;="&amp;$A93)</f>
        <v>210000000</v>
      </c>
      <c r="AB93" s="14">
        <f>SUMIFS('09_CF_원금'!$E$6:$E$92,'09_CF_원금'!$D$6:$D$92,"미장",'09_CF_원금'!$A$6:$A$92,"&lt;="&amp;$A93)-SUMIFS('09_CF_원금'!$E$6:$E$92,'09_CF_원금'!$C$6:$C$92,"미장",'09_CF_원금'!$A$6:$A$92,"&lt;="&amp;$A93)</f>
        <v>100000000</v>
      </c>
      <c r="AC93" s="14">
        <f>SUMIFS('09_CF_원금'!$E$6:$E$92,'09_CF_원금'!$D$6:$D$92,"ISA",'09_CF_원금'!$A$6:$A$92,"&lt;="&amp;$A93)-SUMIFS('09_CF_원금'!$E$6:$E$92,'09_CF_원금'!$C$6:$C$92,"ISA",'09_CF_원금'!$A$6:$A$92,"&lt;="&amp;$A93)</f>
        <v>40000000</v>
      </c>
      <c r="AD93" s="14">
        <f>IF($A93="","",$AA93+$AB93+$AC93+SUMIFS('09_CF_원금'!$E$6:$E$92,'09_CF_원금'!$D$6:$D$92,"중국",'09_CF_원금'!$A$6:$A$92,"&lt;="&amp;$A93)-SUMIFS('09_CF_원금'!$E$6:$E$92,'09_CF_원금'!$C$6:$C$92,"중국",'09_CF_원금'!$A$6:$A$92,"&lt;="&amp;$A93))</f>
        <v>350000000</v>
      </c>
      <c r="AE93" s="14" t="str">
        <f t="shared" si="13"/>
        <v/>
      </c>
      <c r="AF93" s="15"/>
      <c r="AG93" s="14"/>
      <c r="AH93" s="14"/>
      <c r="AI93" s="14"/>
      <c r="AJ93" s="14"/>
      <c r="AK93" s="16">
        <f t="shared" si="14"/>
        <v>202604</v>
      </c>
      <c r="AL93" s="17" t="str">
        <f t="shared" si="15"/>
        <v/>
      </c>
    </row>
    <row r="94" ht="15.75" customHeight="1">
      <c r="A94" s="6">
        <v>46133.0</v>
      </c>
      <c r="B94" s="7" t="str">
        <f t="shared" si="1"/>
        <v/>
      </c>
      <c r="C94" s="7" t="str">
        <f t="shared" si="16"/>
        <v/>
      </c>
      <c r="D94" s="7" t="str">
        <f t="shared" si="2"/>
        <v/>
      </c>
      <c r="E94" s="8" t="str">
        <f t="shared" si="3"/>
        <v/>
      </c>
      <c r="F94" s="8" t="str">
        <f>IF(OR($Y94="",$Y94=0,$G94="",$G94=0),"",($S94-$G94*'03_포지션'!$B$13)/$Y94)</f>
        <v/>
      </c>
      <c r="G94" s="7" t="str">
        <f t="shared" si="4"/>
        <v/>
      </c>
      <c r="H94" s="7" t="str">
        <f t="shared" si="5"/>
        <v/>
      </c>
      <c r="I94" s="7" t="str">
        <f t="shared" si="6"/>
        <v/>
      </c>
      <c r="J94" s="9" t="str">
        <f>IF(OR($I94="",'09_CF_원금'!$B$108=0),"",$I94/'09_CF_원금'!$B$108)</f>
        <v/>
      </c>
      <c r="K94" s="8" t="str">
        <f t="shared" si="7"/>
        <v/>
      </c>
      <c r="L94" s="8" t="str">
        <f t="shared" si="8"/>
        <v/>
      </c>
      <c r="M94" s="7" t="str">
        <f t="shared" si="9"/>
        <v/>
      </c>
      <c r="N94" s="7" t="str">
        <f t="shared" si="10"/>
        <v/>
      </c>
      <c r="O94" s="7" t="str">
        <f t="shared" si="11"/>
        <v/>
      </c>
      <c r="P94" s="10"/>
      <c r="Q94" s="11"/>
      <c r="R94" s="11"/>
      <c r="S94" s="12"/>
      <c r="T94" s="12"/>
      <c r="U94" s="12"/>
      <c r="V94" s="12"/>
      <c r="W94" s="18" t="str">
        <f t="shared" si="17"/>
        <v/>
      </c>
      <c r="X94" s="7" t="str">
        <f t="shared" si="18"/>
        <v/>
      </c>
      <c r="Y94" s="7" t="str">
        <f t="shared" si="19"/>
        <v/>
      </c>
      <c r="Z94" s="7" t="str">
        <f t="shared" si="12"/>
        <v/>
      </c>
      <c r="AA94" s="14">
        <f>SUMIFS('09_CF_원금'!$E$6:$E$92,'09_CF_원금'!$D$6:$D$92,"국장",'09_CF_원금'!$A$6:$A$92,"&lt;="&amp;$A94)-SUMIFS('09_CF_원금'!$E$6:$E$92,'09_CF_원금'!$C$6:$C$92,"국장",'09_CF_원금'!$A$6:$A$92,"&lt;="&amp;$A94)</f>
        <v>200000000</v>
      </c>
      <c r="AB94" s="14">
        <f>SUMIFS('09_CF_원금'!$E$6:$E$92,'09_CF_원금'!$D$6:$D$92,"미장",'09_CF_원금'!$A$6:$A$92,"&lt;="&amp;$A94)-SUMIFS('09_CF_원금'!$E$6:$E$92,'09_CF_원금'!$C$6:$C$92,"미장",'09_CF_원금'!$A$6:$A$92,"&lt;="&amp;$A94)</f>
        <v>100000000</v>
      </c>
      <c r="AC94" s="14">
        <f>SUMIFS('09_CF_원금'!$E$6:$E$92,'09_CF_원금'!$D$6:$D$92,"ISA",'09_CF_원금'!$A$6:$A$92,"&lt;="&amp;$A94)-SUMIFS('09_CF_원금'!$E$6:$E$92,'09_CF_원금'!$C$6:$C$92,"ISA",'09_CF_원금'!$A$6:$A$92,"&lt;="&amp;$A94)</f>
        <v>40000000</v>
      </c>
      <c r="AD94" s="14">
        <f>IF($A94="","",$AA94+$AB94+$AC94+SUMIFS('09_CF_원금'!$E$6:$E$92,'09_CF_원금'!$D$6:$D$92,"중국",'09_CF_원금'!$A$6:$A$92,"&lt;="&amp;$A94)-SUMIFS('09_CF_원금'!$E$6:$E$92,'09_CF_원금'!$C$6:$C$92,"중국",'09_CF_원금'!$A$6:$A$92,"&lt;="&amp;$A94))</f>
        <v>340000000</v>
      </c>
      <c r="AE94" s="14" t="str">
        <f t="shared" si="13"/>
        <v/>
      </c>
      <c r="AF94" s="15"/>
      <c r="AG94" s="14"/>
      <c r="AH94" s="14"/>
      <c r="AI94" s="14"/>
      <c r="AJ94" s="14"/>
      <c r="AK94" s="16">
        <f t="shared" si="14"/>
        <v>202604</v>
      </c>
      <c r="AL94" s="17" t="str">
        <f t="shared" si="15"/>
        <v/>
      </c>
    </row>
    <row r="95" ht="15.75" customHeight="1">
      <c r="A95" s="6">
        <v>46134.0</v>
      </c>
      <c r="B95" s="7" t="str">
        <f t="shared" si="1"/>
        <v/>
      </c>
      <c r="C95" s="7" t="str">
        <f t="shared" si="16"/>
        <v/>
      </c>
      <c r="D95" s="7" t="str">
        <f t="shared" si="2"/>
        <v/>
      </c>
      <c r="E95" s="8" t="str">
        <f t="shared" si="3"/>
        <v/>
      </c>
      <c r="F95" s="8" t="str">
        <f>IF(OR($Y95="",$Y95=0,$G95="",$G95=0),"",($S95-$G95*'03_포지션'!$B$13)/$Y95)</f>
        <v/>
      </c>
      <c r="G95" s="7" t="str">
        <f t="shared" si="4"/>
        <v/>
      </c>
      <c r="H95" s="7" t="str">
        <f t="shared" si="5"/>
        <v/>
      </c>
      <c r="I95" s="7" t="str">
        <f t="shared" si="6"/>
        <v/>
      </c>
      <c r="J95" s="9" t="str">
        <f>IF(OR($I95="",'09_CF_원금'!$B$108=0),"",$I95/'09_CF_원금'!$B$108)</f>
        <v/>
      </c>
      <c r="K95" s="8" t="str">
        <f t="shared" si="7"/>
        <v/>
      </c>
      <c r="L95" s="8" t="str">
        <f t="shared" si="8"/>
        <v/>
      </c>
      <c r="M95" s="7" t="str">
        <f t="shared" si="9"/>
        <v/>
      </c>
      <c r="N95" s="7" t="str">
        <f t="shared" si="10"/>
        <v/>
      </c>
      <c r="O95" s="7" t="str">
        <f t="shared" si="11"/>
        <v/>
      </c>
      <c r="P95" s="10"/>
      <c r="Q95" s="11"/>
      <c r="R95" s="11"/>
      <c r="S95" s="12"/>
      <c r="T95" s="12"/>
      <c r="U95" s="12"/>
      <c r="V95" s="12"/>
      <c r="W95" s="18" t="str">
        <f t="shared" si="17"/>
        <v/>
      </c>
      <c r="X95" s="7" t="str">
        <f t="shared" si="18"/>
        <v/>
      </c>
      <c r="Y95" s="7" t="str">
        <f t="shared" si="19"/>
        <v/>
      </c>
      <c r="Z95" s="7" t="str">
        <f t="shared" si="12"/>
        <v/>
      </c>
      <c r="AA95" s="14">
        <f>SUMIFS('09_CF_원금'!$E$6:$E$92,'09_CF_원금'!$D$6:$D$92,"국장",'09_CF_원금'!$A$6:$A$92,"&lt;="&amp;$A95)-SUMIFS('09_CF_원금'!$E$6:$E$92,'09_CF_원금'!$C$6:$C$92,"국장",'09_CF_원금'!$A$6:$A$92,"&lt;="&amp;$A95)</f>
        <v>200000000</v>
      </c>
      <c r="AB95" s="14">
        <f>SUMIFS('09_CF_원금'!$E$6:$E$92,'09_CF_원금'!$D$6:$D$92,"미장",'09_CF_원금'!$A$6:$A$92,"&lt;="&amp;$A95)-SUMIFS('09_CF_원금'!$E$6:$E$92,'09_CF_원금'!$C$6:$C$92,"미장",'09_CF_원금'!$A$6:$A$92,"&lt;="&amp;$A95)</f>
        <v>100000000</v>
      </c>
      <c r="AC95" s="14">
        <f>SUMIFS('09_CF_원금'!$E$6:$E$92,'09_CF_원금'!$D$6:$D$92,"ISA",'09_CF_원금'!$A$6:$A$92,"&lt;="&amp;$A95)-SUMIFS('09_CF_원금'!$E$6:$E$92,'09_CF_원금'!$C$6:$C$92,"ISA",'09_CF_원금'!$A$6:$A$92,"&lt;="&amp;$A95)</f>
        <v>40000000</v>
      </c>
      <c r="AD95" s="14">
        <f>IF($A95="","",$AA95+$AB95+$AC95+SUMIFS('09_CF_원금'!$E$6:$E$92,'09_CF_원금'!$D$6:$D$92,"중국",'09_CF_원금'!$A$6:$A$92,"&lt;="&amp;$A95)-SUMIFS('09_CF_원금'!$E$6:$E$92,'09_CF_원금'!$C$6:$C$92,"중국",'09_CF_원금'!$A$6:$A$92,"&lt;="&amp;$A95))</f>
        <v>340000000</v>
      </c>
      <c r="AE95" s="14" t="str">
        <f t="shared" si="13"/>
        <v/>
      </c>
      <c r="AF95" s="15"/>
      <c r="AG95" s="14"/>
      <c r="AH95" s="14"/>
      <c r="AI95" s="14"/>
      <c r="AJ95" s="14"/>
      <c r="AK95" s="16">
        <f t="shared" si="14"/>
        <v>202604</v>
      </c>
      <c r="AL95" s="17" t="str">
        <f t="shared" si="15"/>
        <v/>
      </c>
    </row>
    <row r="96" ht="15.75" customHeight="1">
      <c r="A96" s="6">
        <v>46135.0</v>
      </c>
      <c r="B96" s="7" t="str">
        <f t="shared" si="1"/>
        <v/>
      </c>
      <c r="C96" s="7" t="str">
        <f t="shared" si="16"/>
        <v/>
      </c>
      <c r="D96" s="7" t="str">
        <f t="shared" si="2"/>
        <v/>
      </c>
      <c r="E96" s="8" t="str">
        <f t="shared" si="3"/>
        <v/>
      </c>
      <c r="F96" s="8" t="str">
        <f>IF(OR($Y96="",$Y96=0,$G96="",$G96=0),"",($S96-$G96*'03_포지션'!$B$13)/$Y96)</f>
        <v/>
      </c>
      <c r="G96" s="7" t="str">
        <f t="shared" si="4"/>
        <v/>
      </c>
      <c r="H96" s="7" t="str">
        <f t="shared" si="5"/>
        <v/>
      </c>
      <c r="I96" s="7" t="str">
        <f t="shared" si="6"/>
        <v/>
      </c>
      <c r="J96" s="9" t="str">
        <f>IF(OR($I96="",'09_CF_원금'!$B$108=0),"",$I96/'09_CF_원금'!$B$108)</f>
        <v/>
      </c>
      <c r="K96" s="8" t="str">
        <f t="shared" si="7"/>
        <v/>
      </c>
      <c r="L96" s="8" t="str">
        <f t="shared" si="8"/>
        <v/>
      </c>
      <c r="M96" s="7" t="str">
        <f t="shared" si="9"/>
        <v/>
      </c>
      <c r="N96" s="7" t="str">
        <f t="shared" si="10"/>
        <v/>
      </c>
      <c r="O96" s="7" t="str">
        <f t="shared" si="11"/>
        <v/>
      </c>
      <c r="P96" s="10"/>
      <c r="Q96" s="11"/>
      <c r="R96" s="11"/>
      <c r="S96" s="12"/>
      <c r="T96" s="12"/>
      <c r="U96" s="12"/>
      <c r="V96" s="12"/>
      <c r="W96" s="18" t="str">
        <f t="shared" si="17"/>
        <v/>
      </c>
      <c r="X96" s="7" t="str">
        <f t="shared" si="18"/>
        <v/>
      </c>
      <c r="Y96" s="7" t="str">
        <f t="shared" si="19"/>
        <v/>
      </c>
      <c r="Z96" s="7" t="str">
        <f t="shared" si="12"/>
        <v/>
      </c>
      <c r="AA96" s="14">
        <f>SUMIFS('09_CF_원금'!$E$6:$E$92,'09_CF_원금'!$D$6:$D$92,"국장",'09_CF_원금'!$A$6:$A$92,"&lt;="&amp;$A96)-SUMIFS('09_CF_원금'!$E$6:$E$92,'09_CF_원금'!$C$6:$C$92,"국장",'09_CF_원금'!$A$6:$A$92,"&lt;="&amp;$A96)</f>
        <v>200000000</v>
      </c>
      <c r="AB96" s="14">
        <f>SUMIFS('09_CF_원금'!$E$6:$E$92,'09_CF_원금'!$D$6:$D$92,"미장",'09_CF_원금'!$A$6:$A$92,"&lt;="&amp;$A96)-SUMIFS('09_CF_원금'!$E$6:$E$92,'09_CF_원금'!$C$6:$C$92,"미장",'09_CF_원금'!$A$6:$A$92,"&lt;="&amp;$A96)</f>
        <v>100000000</v>
      </c>
      <c r="AC96" s="14">
        <f>SUMIFS('09_CF_원금'!$E$6:$E$92,'09_CF_원금'!$D$6:$D$92,"ISA",'09_CF_원금'!$A$6:$A$92,"&lt;="&amp;$A96)-SUMIFS('09_CF_원금'!$E$6:$E$92,'09_CF_원금'!$C$6:$C$92,"ISA",'09_CF_원금'!$A$6:$A$92,"&lt;="&amp;$A96)</f>
        <v>40000000</v>
      </c>
      <c r="AD96" s="14">
        <f>IF($A96="","",$AA96+$AB96+$AC96+SUMIFS('09_CF_원금'!$E$6:$E$92,'09_CF_원금'!$D$6:$D$92,"중국",'09_CF_원금'!$A$6:$A$92,"&lt;="&amp;$A96)-SUMIFS('09_CF_원금'!$E$6:$E$92,'09_CF_원금'!$C$6:$C$92,"중국",'09_CF_원금'!$A$6:$A$92,"&lt;="&amp;$A96))</f>
        <v>340000000</v>
      </c>
      <c r="AE96" s="14" t="str">
        <f t="shared" si="13"/>
        <v/>
      </c>
      <c r="AF96" s="15"/>
      <c r="AG96" s="14"/>
      <c r="AH96" s="14"/>
      <c r="AI96" s="14"/>
      <c r="AJ96" s="14"/>
      <c r="AK96" s="16">
        <f t="shared" si="14"/>
        <v>202604</v>
      </c>
      <c r="AL96" s="17" t="str">
        <f t="shared" si="15"/>
        <v/>
      </c>
    </row>
    <row r="97" ht="15.75" customHeight="1">
      <c r="A97" s="6">
        <v>46136.0</v>
      </c>
      <c r="B97" s="7" t="str">
        <f t="shared" si="1"/>
        <v/>
      </c>
      <c r="C97" s="7" t="str">
        <f t="shared" si="16"/>
        <v/>
      </c>
      <c r="D97" s="7" t="str">
        <f t="shared" si="2"/>
        <v/>
      </c>
      <c r="E97" s="8" t="str">
        <f t="shared" si="3"/>
        <v/>
      </c>
      <c r="F97" s="8" t="str">
        <f>IF(OR($Y97="",$Y97=0,$G97="",$G97=0),"",($S97-$G97*'03_포지션'!$B$13)/$Y97)</f>
        <v/>
      </c>
      <c r="G97" s="7" t="str">
        <f t="shared" si="4"/>
        <v/>
      </c>
      <c r="H97" s="7" t="str">
        <f t="shared" si="5"/>
        <v/>
      </c>
      <c r="I97" s="7" t="str">
        <f t="shared" si="6"/>
        <v/>
      </c>
      <c r="J97" s="9" t="str">
        <f>IF(OR($I97="",'09_CF_원금'!$B$108=0),"",$I97/'09_CF_원금'!$B$108)</f>
        <v/>
      </c>
      <c r="K97" s="8" t="str">
        <f t="shared" si="7"/>
        <v/>
      </c>
      <c r="L97" s="8" t="str">
        <f t="shared" si="8"/>
        <v/>
      </c>
      <c r="M97" s="7" t="str">
        <f t="shared" si="9"/>
        <v/>
      </c>
      <c r="N97" s="7" t="str">
        <f t="shared" si="10"/>
        <v/>
      </c>
      <c r="O97" s="7" t="str">
        <f t="shared" si="11"/>
        <v/>
      </c>
      <c r="P97" s="10"/>
      <c r="Q97" s="11"/>
      <c r="R97" s="11"/>
      <c r="S97" s="12"/>
      <c r="T97" s="12"/>
      <c r="U97" s="12"/>
      <c r="V97" s="12"/>
      <c r="W97" s="18" t="str">
        <f t="shared" si="17"/>
        <v/>
      </c>
      <c r="X97" s="7" t="str">
        <f t="shared" si="18"/>
        <v/>
      </c>
      <c r="Y97" s="7" t="str">
        <f t="shared" si="19"/>
        <v/>
      </c>
      <c r="Z97" s="7" t="str">
        <f t="shared" si="12"/>
        <v/>
      </c>
      <c r="AA97" s="14">
        <f>SUMIFS('09_CF_원금'!$E$6:$E$92,'09_CF_원금'!$D$6:$D$92,"국장",'09_CF_원금'!$A$6:$A$92,"&lt;="&amp;$A97)-SUMIFS('09_CF_원금'!$E$6:$E$92,'09_CF_원금'!$C$6:$C$92,"국장",'09_CF_원금'!$A$6:$A$92,"&lt;="&amp;$A97)</f>
        <v>200000000</v>
      </c>
      <c r="AB97" s="14">
        <f>SUMIFS('09_CF_원금'!$E$6:$E$92,'09_CF_원금'!$D$6:$D$92,"미장",'09_CF_원금'!$A$6:$A$92,"&lt;="&amp;$A97)-SUMIFS('09_CF_원금'!$E$6:$E$92,'09_CF_원금'!$C$6:$C$92,"미장",'09_CF_원금'!$A$6:$A$92,"&lt;="&amp;$A97)</f>
        <v>100000000</v>
      </c>
      <c r="AC97" s="14">
        <f>SUMIFS('09_CF_원금'!$E$6:$E$92,'09_CF_원금'!$D$6:$D$92,"ISA",'09_CF_원금'!$A$6:$A$92,"&lt;="&amp;$A97)-SUMIFS('09_CF_원금'!$E$6:$E$92,'09_CF_원금'!$C$6:$C$92,"ISA",'09_CF_원금'!$A$6:$A$92,"&lt;="&amp;$A97)</f>
        <v>40000000</v>
      </c>
      <c r="AD97" s="14">
        <f>IF($A97="","",$AA97+$AB97+$AC97+SUMIFS('09_CF_원금'!$E$6:$E$92,'09_CF_원금'!$D$6:$D$92,"중국",'09_CF_원금'!$A$6:$A$92,"&lt;="&amp;$A97)-SUMIFS('09_CF_원금'!$E$6:$E$92,'09_CF_원금'!$C$6:$C$92,"중국",'09_CF_원금'!$A$6:$A$92,"&lt;="&amp;$A97))</f>
        <v>340000000</v>
      </c>
      <c r="AE97" s="14" t="str">
        <f t="shared" si="13"/>
        <v/>
      </c>
      <c r="AF97" s="15"/>
      <c r="AG97" s="14"/>
      <c r="AH97" s="14"/>
      <c r="AI97" s="14"/>
      <c r="AJ97" s="14"/>
      <c r="AK97" s="16">
        <f t="shared" si="14"/>
        <v>202604</v>
      </c>
      <c r="AL97" s="17" t="str">
        <f t="shared" si="15"/>
        <v/>
      </c>
    </row>
    <row r="98" ht="15.75" customHeight="1">
      <c r="A98" s="6">
        <v>46139.0</v>
      </c>
      <c r="B98" s="7" t="str">
        <f t="shared" si="1"/>
        <v/>
      </c>
      <c r="C98" s="7" t="str">
        <f t="shared" si="16"/>
        <v/>
      </c>
      <c r="D98" s="7" t="str">
        <f t="shared" si="2"/>
        <v/>
      </c>
      <c r="E98" s="8" t="str">
        <f t="shared" si="3"/>
        <v/>
      </c>
      <c r="F98" s="8" t="str">
        <f>IF(OR($Y98="",$Y98=0,$G98="",$G98=0),"",($S98-$G98*'03_포지션'!$B$13)/$Y98)</f>
        <v/>
      </c>
      <c r="G98" s="7" t="str">
        <f t="shared" si="4"/>
        <v/>
      </c>
      <c r="H98" s="7" t="str">
        <f t="shared" si="5"/>
        <v/>
      </c>
      <c r="I98" s="7" t="str">
        <f t="shared" si="6"/>
        <v/>
      </c>
      <c r="J98" s="9" t="str">
        <f>IF(OR($I98="",'09_CF_원금'!$B$108=0),"",$I98/'09_CF_원금'!$B$108)</f>
        <v/>
      </c>
      <c r="K98" s="8" t="str">
        <f t="shared" si="7"/>
        <v/>
      </c>
      <c r="L98" s="8" t="str">
        <f t="shared" si="8"/>
        <v/>
      </c>
      <c r="M98" s="7" t="str">
        <f t="shared" si="9"/>
        <v/>
      </c>
      <c r="N98" s="7" t="str">
        <f t="shared" si="10"/>
        <v/>
      </c>
      <c r="O98" s="7" t="str">
        <f t="shared" si="11"/>
        <v/>
      </c>
      <c r="P98" s="10"/>
      <c r="Q98" s="11"/>
      <c r="R98" s="11"/>
      <c r="S98" s="12"/>
      <c r="T98" s="12"/>
      <c r="U98" s="12"/>
      <c r="V98" s="12"/>
      <c r="W98" s="18" t="str">
        <f t="shared" si="17"/>
        <v/>
      </c>
      <c r="X98" s="7" t="str">
        <f t="shared" si="18"/>
        <v/>
      </c>
      <c r="Y98" s="7" t="str">
        <f t="shared" si="19"/>
        <v/>
      </c>
      <c r="Z98" s="7" t="str">
        <f t="shared" si="12"/>
        <v/>
      </c>
      <c r="AA98" s="14">
        <f>SUMIFS('09_CF_원금'!$E$6:$E$92,'09_CF_원금'!$D$6:$D$92,"국장",'09_CF_원금'!$A$6:$A$92,"&lt;="&amp;$A98)-SUMIFS('09_CF_원금'!$E$6:$E$92,'09_CF_원금'!$C$6:$C$92,"국장",'09_CF_원금'!$A$6:$A$92,"&lt;="&amp;$A98)</f>
        <v>200000000</v>
      </c>
      <c r="AB98" s="14">
        <f>SUMIFS('09_CF_원금'!$E$6:$E$92,'09_CF_원금'!$D$6:$D$92,"미장",'09_CF_원금'!$A$6:$A$92,"&lt;="&amp;$A98)-SUMIFS('09_CF_원금'!$E$6:$E$92,'09_CF_원금'!$C$6:$C$92,"미장",'09_CF_원금'!$A$6:$A$92,"&lt;="&amp;$A98)</f>
        <v>100000000</v>
      </c>
      <c r="AC98" s="14">
        <f>SUMIFS('09_CF_원금'!$E$6:$E$92,'09_CF_원금'!$D$6:$D$92,"ISA",'09_CF_원금'!$A$6:$A$92,"&lt;="&amp;$A98)-SUMIFS('09_CF_원금'!$E$6:$E$92,'09_CF_원금'!$C$6:$C$92,"ISA",'09_CF_원금'!$A$6:$A$92,"&lt;="&amp;$A98)</f>
        <v>40000000</v>
      </c>
      <c r="AD98" s="14">
        <f>IF($A98="","",$AA98+$AB98+$AC98+SUMIFS('09_CF_원금'!$E$6:$E$92,'09_CF_원금'!$D$6:$D$92,"중국",'09_CF_원금'!$A$6:$A$92,"&lt;="&amp;$A98)-SUMIFS('09_CF_원금'!$E$6:$E$92,'09_CF_원금'!$C$6:$C$92,"중국",'09_CF_원금'!$A$6:$A$92,"&lt;="&amp;$A98))</f>
        <v>340000000</v>
      </c>
      <c r="AE98" s="14" t="str">
        <f t="shared" si="13"/>
        <v/>
      </c>
      <c r="AF98" s="15"/>
      <c r="AG98" s="14"/>
      <c r="AH98" s="14"/>
      <c r="AI98" s="14"/>
      <c r="AJ98" s="14"/>
      <c r="AK98" s="16">
        <f t="shared" si="14"/>
        <v>202604</v>
      </c>
      <c r="AL98" s="17" t="str">
        <f t="shared" si="15"/>
        <v/>
      </c>
    </row>
    <row r="99" ht="15.75" customHeight="1">
      <c r="A99" s="6">
        <v>46140.0</v>
      </c>
      <c r="B99" s="7" t="str">
        <f t="shared" si="1"/>
        <v/>
      </c>
      <c r="C99" s="7" t="str">
        <f t="shared" si="16"/>
        <v/>
      </c>
      <c r="D99" s="7" t="str">
        <f t="shared" si="2"/>
        <v/>
      </c>
      <c r="E99" s="8" t="str">
        <f t="shared" si="3"/>
        <v/>
      </c>
      <c r="F99" s="8" t="str">
        <f>IF(OR($Y99="",$Y99=0,$G99="",$G99=0),"",($S99-$G99*'03_포지션'!$B$13)/$Y99)</f>
        <v/>
      </c>
      <c r="G99" s="7" t="str">
        <f t="shared" si="4"/>
        <v/>
      </c>
      <c r="H99" s="7" t="str">
        <f t="shared" si="5"/>
        <v/>
      </c>
      <c r="I99" s="7" t="str">
        <f t="shared" si="6"/>
        <v/>
      </c>
      <c r="J99" s="9" t="str">
        <f>IF(OR($I99="",'09_CF_원금'!$B$108=0),"",$I99/'09_CF_원금'!$B$108)</f>
        <v/>
      </c>
      <c r="K99" s="8" t="str">
        <f t="shared" si="7"/>
        <v/>
      </c>
      <c r="L99" s="8" t="str">
        <f t="shared" si="8"/>
        <v/>
      </c>
      <c r="M99" s="7" t="str">
        <f t="shared" si="9"/>
        <v/>
      </c>
      <c r="N99" s="7" t="str">
        <f t="shared" si="10"/>
        <v/>
      </c>
      <c r="O99" s="7" t="str">
        <f t="shared" si="11"/>
        <v/>
      </c>
      <c r="P99" s="10"/>
      <c r="Q99" s="11"/>
      <c r="R99" s="11"/>
      <c r="S99" s="12"/>
      <c r="T99" s="12"/>
      <c r="U99" s="12"/>
      <c r="V99" s="12"/>
      <c r="W99" s="18" t="str">
        <f t="shared" si="17"/>
        <v/>
      </c>
      <c r="X99" s="7" t="str">
        <f t="shared" si="18"/>
        <v/>
      </c>
      <c r="Y99" s="7" t="str">
        <f t="shared" si="19"/>
        <v/>
      </c>
      <c r="Z99" s="7" t="str">
        <f t="shared" si="12"/>
        <v/>
      </c>
      <c r="AA99" s="14">
        <f>SUMIFS('09_CF_원금'!$E$6:$E$92,'09_CF_원금'!$D$6:$D$92,"국장",'09_CF_원금'!$A$6:$A$92,"&lt;="&amp;$A99)-SUMIFS('09_CF_원금'!$E$6:$E$92,'09_CF_원금'!$C$6:$C$92,"국장",'09_CF_원금'!$A$6:$A$92,"&lt;="&amp;$A99)</f>
        <v>200000000</v>
      </c>
      <c r="AB99" s="14">
        <f>SUMIFS('09_CF_원금'!$E$6:$E$92,'09_CF_원금'!$D$6:$D$92,"미장",'09_CF_원금'!$A$6:$A$92,"&lt;="&amp;$A99)-SUMIFS('09_CF_원금'!$E$6:$E$92,'09_CF_원금'!$C$6:$C$92,"미장",'09_CF_원금'!$A$6:$A$92,"&lt;="&amp;$A99)</f>
        <v>100000000</v>
      </c>
      <c r="AC99" s="14">
        <f>SUMIFS('09_CF_원금'!$E$6:$E$92,'09_CF_원금'!$D$6:$D$92,"ISA",'09_CF_원금'!$A$6:$A$92,"&lt;="&amp;$A99)-SUMIFS('09_CF_원금'!$E$6:$E$92,'09_CF_원금'!$C$6:$C$92,"ISA",'09_CF_원금'!$A$6:$A$92,"&lt;="&amp;$A99)</f>
        <v>40000000</v>
      </c>
      <c r="AD99" s="14">
        <f>IF($A99="","",$AA99+$AB99+$AC99+SUMIFS('09_CF_원금'!$E$6:$E$92,'09_CF_원금'!$D$6:$D$92,"중국",'09_CF_원금'!$A$6:$A$92,"&lt;="&amp;$A99)-SUMIFS('09_CF_원금'!$E$6:$E$92,'09_CF_원금'!$C$6:$C$92,"중국",'09_CF_원금'!$A$6:$A$92,"&lt;="&amp;$A99))</f>
        <v>340000000</v>
      </c>
      <c r="AE99" s="14" t="str">
        <f t="shared" si="13"/>
        <v/>
      </c>
      <c r="AF99" s="15"/>
      <c r="AG99" s="14"/>
      <c r="AH99" s="14"/>
      <c r="AI99" s="14"/>
      <c r="AJ99" s="14"/>
      <c r="AK99" s="16">
        <f t="shared" si="14"/>
        <v>202604</v>
      </c>
      <c r="AL99" s="17" t="str">
        <f t="shared" si="15"/>
        <v/>
      </c>
    </row>
    <row r="100" ht="15.75" customHeight="1">
      <c r="A100" s="6">
        <v>46141.0</v>
      </c>
      <c r="B100" s="7" t="str">
        <f t="shared" si="1"/>
        <v/>
      </c>
      <c r="C100" s="7" t="str">
        <f t="shared" si="16"/>
        <v/>
      </c>
      <c r="D100" s="7" t="str">
        <f t="shared" si="2"/>
        <v/>
      </c>
      <c r="E100" s="8" t="str">
        <f t="shared" si="3"/>
        <v/>
      </c>
      <c r="F100" s="8" t="str">
        <f>IF(OR($Y100="",$Y100=0,$G100="",$G100=0),"",($S100-$G100*'03_포지션'!$B$13)/$Y100)</f>
        <v/>
      </c>
      <c r="G100" s="7" t="str">
        <f t="shared" si="4"/>
        <v/>
      </c>
      <c r="H100" s="7" t="str">
        <f t="shared" si="5"/>
        <v/>
      </c>
      <c r="I100" s="7" t="str">
        <f t="shared" si="6"/>
        <v/>
      </c>
      <c r="J100" s="9" t="str">
        <f>IF(OR($I100="",'09_CF_원금'!$B$108=0),"",$I100/'09_CF_원금'!$B$108)</f>
        <v/>
      </c>
      <c r="K100" s="8" t="str">
        <f t="shared" si="7"/>
        <v/>
      </c>
      <c r="L100" s="8" t="str">
        <f t="shared" si="8"/>
        <v/>
      </c>
      <c r="M100" s="7" t="str">
        <f t="shared" si="9"/>
        <v/>
      </c>
      <c r="N100" s="7" t="str">
        <f t="shared" si="10"/>
        <v/>
      </c>
      <c r="O100" s="7" t="str">
        <f t="shared" si="11"/>
        <v/>
      </c>
      <c r="P100" s="10"/>
      <c r="Q100" s="11"/>
      <c r="R100" s="11"/>
      <c r="S100" s="12"/>
      <c r="T100" s="12"/>
      <c r="U100" s="12"/>
      <c r="V100" s="12"/>
      <c r="W100" s="18" t="str">
        <f t="shared" si="17"/>
        <v/>
      </c>
      <c r="X100" s="7" t="str">
        <f t="shared" si="18"/>
        <v/>
      </c>
      <c r="Y100" s="7" t="str">
        <f t="shared" si="19"/>
        <v/>
      </c>
      <c r="Z100" s="7" t="str">
        <f t="shared" si="12"/>
        <v/>
      </c>
      <c r="AA100" s="14">
        <f>SUMIFS('09_CF_원금'!$E$6:$E$92,'09_CF_원금'!$D$6:$D$92,"국장",'09_CF_원금'!$A$6:$A$92,"&lt;="&amp;$A100)-SUMIFS('09_CF_원금'!$E$6:$E$92,'09_CF_원금'!$C$6:$C$92,"국장",'09_CF_원금'!$A$6:$A$92,"&lt;="&amp;$A100)</f>
        <v>200000000</v>
      </c>
      <c r="AB100" s="14">
        <f>SUMIFS('09_CF_원금'!$E$6:$E$92,'09_CF_원금'!$D$6:$D$92,"미장",'09_CF_원금'!$A$6:$A$92,"&lt;="&amp;$A100)-SUMIFS('09_CF_원금'!$E$6:$E$92,'09_CF_원금'!$C$6:$C$92,"미장",'09_CF_원금'!$A$6:$A$92,"&lt;="&amp;$A100)</f>
        <v>100000000</v>
      </c>
      <c r="AC100" s="14">
        <f>SUMIFS('09_CF_원금'!$E$6:$E$92,'09_CF_원금'!$D$6:$D$92,"ISA",'09_CF_원금'!$A$6:$A$92,"&lt;="&amp;$A100)-SUMIFS('09_CF_원금'!$E$6:$E$92,'09_CF_원금'!$C$6:$C$92,"ISA",'09_CF_원금'!$A$6:$A$92,"&lt;="&amp;$A100)</f>
        <v>40000000</v>
      </c>
      <c r="AD100" s="14">
        <f>IF($A100="","",$AA100+$AB100+$AC100+SUMIFS('09_CF_원금'!$E$6:$E$92,'09_CF_원금'!$D$6:$D$92,"중국",'09_CF_원금'!$A$6:$A$92,"&lt;="&amp;$A100)-SUMIFS('09_CF_원금'!$E$6:$E$92,'09_CF_원금'!$C$6:$C$92,"중국",'09_CF_원금'!$A$6:$A$92,"&lt;="&amp;$A100))</f>
        <v>340000000</v>
      </c>
      <c r="AE100" s="14" t="str">
        <f t="shared" si="13"/>
        <v/>
      </c>
      <c r="AF100" s="15"/>
      <c r="AG100" s="14"/>
      <c r="AH100" s="14"/>
      <c r="AI100" s="14"/>
      <c r="AJ100" s="14"/>
      <c r="AK100" s="16">
        <f t="shared" si="14"/>
        <v>202604</v>
      </c>
      <c r="AL100" s="17" t="str">
        <f t="shared" si="15"/>
        <v/>
      </c>
    </row>
    <row r="101" ht="15.75" customHeight="1">
      <c r="A101" s="6">
        <v>46142.0</v>
      </c>
      <c r="B101" s="7" t="str">
        <f t="shared" si="1"/>
        <v/>
      </c>
      <c r="C101" s="7" t="str">
        <f t="shared" si="16"/>
        <v/>
      </c>
      <c r="D101" s="7" t="str">
        <f t="shared" si="2"/>
        <v/>
      </c>
      <c r="E101" s="8" t="str">
        <f t="shared" si="3"/>
        <v/>
      </c>
      <c r="F101" s="8" t="str">
        <f>IF(OR($Y101="",$Y101=0,$G101="",$G101=0),"",($S101-$G101*'03_포지션'!$B$13)/$Y101)</f>
        <v/>
      </c>
      <c r="G101" s="7" t="str">
        <f t="shared" si="4"/>
        <v/>
      </c>
      <c r="H101" s="7" t="str">
        <f t="shared" si="5"/>
        <v/>
      </c>
      <c r="I101" s="7" t="str">
        <f t="shared" si="6"/>
        <v/>
      </c>
      <c r="J101" s="9" t="str">
        <f>IF(OR($I101="",'09_CF_원금'!$B$108=0),"",$I101/'09_CF_원금'!$B$108)</f>
        <v/>
      </c>
      <c r="K101" s="8" t="str">
        <f t="shared" si="7"/>
        <v/>
      </c>
      <c r="L101" s="8" t="str">
        <f t="shared" si="8"/>
        <v/>
      </c>
      <c r="M101" s="7" t="str">
        <f t="shared" si="9"/>
        <v/>
      </c>
      <c r="N101" s="7" t="str">
        <f t="shared" si="10"/>
        <v/>
      </c>
      <c r="O101" s="7" t="str">
        <f t="shared" si="11"/>
        <v/>
      </c>
      <c r="P101" s="10"/>
      <c r="Q101" s="11"/>
      <c r="R101" s="11"/>
      <c r="S101" s="12"/>
      <c r="T101" s="12"/>
      <c r="U101" s="12"/>
      <c r="V101" s="12"/>
      <c r="W101" s="18" t="str">
        <f t="shared" si="17"/>
        <v/>
      </c>
      <c r="X101" s="7" t="str">
        <f t="shared" si="18"/>
        <v/>
      </c>
      <c r="Y101" s="7" t="str">
        <f t="shared" si="19"/>
        <v/>
      </c>
      <c r="Z101" s="7" t="str">
        <f t="shared" si="12"/>
        <v/>
      </c>
      <c r="AA101" s="14">
        <f>SUMIFS('09_CF_원금'!$E$6:$E$92,'09_CF_원금'!$D$6:$D$92,"국장",'09_CF_원금'!$A$6:$A$92,"&lt;="&amp;$A101)-SUMIFS('09_CF_원금'!$E$6:$E$92,'09_CF_원금'!$C$6:$C$92,"국장",'09_CF_원금'!$A$6:$A$92,"&lt;="&amp;$A101)</f>
        <v>200000000</v>
      </c>
      <c r="AB101" s="14">
        <f>SUMIFS('09_CF_원금'!$E$6:$E$92,'09_CF_원금'!$D$6:$D$92,"미장",'09_CF_원금'!$A$6:$A$92,"&lt;="&amp;$A101)-SUMIFS('09_CF_원금'!$E$6:$E$92,'09_CF_원금'!$C$6:$C$92,"미장",'09_CF_원금'!$A$6:$A$92,"&lt;="&amp;$A101)</f>
        <v>100000000</v>
      </c>
      <c r="AC101" s="14">
        <f>SUMIFS('09_CF_원금'!$E$6:$E$92,'09_CF_원금'!$D$6:$D$92,"ISA",'09_CF_원금'!$A$6:$A$92,"&lt;="&amp;$A101)-SUMIFS('09_CF_원금'!$E$6:$E$92,'09_CF_원금'!$C$6:$C$92,"ISA",'09_CF_원금'!$A$6:$A$92,"&lt;="&amp;$A101)</f>
        <v>40000000</v>
      </c>
      <c r="AD101" s="14">
        <f>IF($A101="","",$AA101+$AB101+$AC101+SUMIFS('09_CF_원금'!$E$6:$E$92,'09_CF_원금'!$D$6:$D$92,"중국",'09_CF_원금'!$A$6:$A$92,"&lt;="&amp;$A101)-SUMIFS('09_CF_원금'!$E$6:$E$92,'09_CF_원금'!$C$6:$C$92,"중국",'09_CF_원금'!$A$6:$A$92,"&lt;="&amp;$A101))</f>
        <v>340000000</v>
      </c>
      <c r="AE101" s="14" t="str">
        <f t="shared" si="13"/>
        <v/>
      </c>
      <c r="AF101" s="15"/>
      <c r="AG101" s="14"/>
      <c r="AH101" s="14"/>
      <c r="AI101" s="14"/>
      <c r="AJ101" s="14"/>
      <c r="AK101" s="16">
        <f t="shared" si="14"/>
        <v>202604</v>
      </c>
      <c r="AL101" s="17" t="str">
        <f t="shared" si="15"/>
        <v/>
      </c>
    </row>
    <row r="102" ht="15.75" customHeight="1">
      <c r="A102" s="6">
        <v>46143.0</v>
      </c>
      <c r="B102" s="7">
        <f t="shared" si="1"/>
        <v>743982171</v>
      </c>
      <c r="C102" s="7" t="str">
        <f t="shared" si="16"/>
        <v/>
      </c>
      <c r="D102" s="7">
        <f t="shared" si="2"/>
        <v>403982171</v>
      </c>
      <c r="E102" s="8">
        <f t="shared" si="3"/>
        <v>0</v>
      </c>
      <c r="F102" s="8" t="str">
        <f>IF(OR($Y102="",$Y102=0,$G102="",$G102=0),"",($S102-$G102*'03_포지션'!$B$13)/$Y102)</f>
        <v/>
      </c>
      <c r="G102" s="7" t="str">
        <f t="shared" si="4"/>
        <v/>
      </c>
      <c r="H102" s="7" t="str">
        <f t="shared" si="5"/>
        <v/>
      </c>
      <c r="I102" s="7" t="str">
        <f t="shared" si="6"/>
        <v/>
      </c>
      <c r="J102" s="9" t="str">
        <f>IF(OR($I102="",'09_CF_원금'!$B$108=0),"",$I102/'09_CF_원금'!$B$108)</f>
        <v/>
      </c>
      <c r="K102" s="8" t="str">
        <f t="shared" si="7"/>
        <v/>
      </c>
      <c r="L102" s="8" t="str">
        <f t="shared" si="8"/>
        <v/>
      </c>
      <c r="M102" s="7">
        <f t="shared" si="9"/>
        <v>282225408</v>
      </c>
      <c r="N102" s="7">
        <f t="shared" si="10"/>
        <v>108002249</v>
      </c>
      <c r="O102" s="7">
        <f t="shared" si="11"/>
        <v>13754514</v>
      </c>
      <c r="P102" s="10"/>
      <c r="Q102" s="11"/>
      <c r="R102" s="11"/>
      <c r="S102" s="12"/>
      <c r="T102" s="12"/>
      <c r="U102" s="12"/>
      <c r="V102" s="12"/>
      <c r="W102" s="18" t="str">
        <f t="shared" si="17"/>
        <v/>
      </c>
      <c r="X102" s="7" t="str">
        <f t="shared" si="18"/>
        <v/>
      </c>
      <c r="Y102" s="7" t="str">
        <f t="shared" si="19"/>
        <v/>
      </c>
      <c r="Z102" s="7" t="str">
        <f t="shared" si="12"/>
        <v/>
      </c>
      <c r="AA102" s="14">
        <f>SUMIFS('09_CF_원금'!$E$6:$E$92,'09_CF_원금'!$D$6:$D$92,"국장",'09_CF_원금'!$A$6:$A$92,"&lt;="&amp;$A102)-SUMIFS('09_CF_원금'!$E$6:$E$92,'09_CF_원금'!$C$6:$C$92,"국장",'09_CF_원금'!$A$6:$A$92,"&lt;="&amp;$A102)</f>
        <v>200000000</v>
      </c>
      <c r="AB102" s="14">
        <f>SUMIFS('09_CF_원금'!$E$6:$E$92,'09_CF_원금'!$D$6:$D$92,"미장",'09_CF_원금'!$A$6:$A$92,"&lt;="&amp;$A102)-SUMIFS('09_CF_원금'!$E$6:$E$92,'09_CF_원금'!$C$6:$C$92,"미장",'09_CF_원금'!$A$6:$A$92,"&lt;="&amp;$A102)</f>
        <v>100000000</v>
      </c>
      <c r="AC102" s="14">
        <f>SUMIFS('09_CF_원금'!$E$6:$E$92,'09_CF_원금'!$D$6:$D$92,"ISA",'09_CF_원금'!$A$6:$A$92,"&lt;="&amp;$A102)-SUMIFS('09_CF_원금'!$E$6:$E$92,'09_CF_원금'!$C$6:$C$92,"ISA",'09_CF_원금'!$A$6:$A$92,"&lt;="&amp;$A102)</f>
        <v>40000000</v>
      </c>
      <c r="AD102" s="14">
        <f>IF($A102="","",$AA102+$AB102+$AC102+SUMIFS('09_CF_원금'!$E$6:$E$92,'09_CF_원금'!$D$6:$D$92,"중국",'09_CF_원금'!$A$6:$A$92,"&lt;="&amp;$A102)-SUMIFS('09_CF_원금'!$E$6:$E$92,'09_CF_원금'!$C$6:$C$92,"중국",'09_CF_원금'!$A$6:$A$92,"&lt;="&amp;$A102))</f>
        <v>340000000</v>
      </c>
      <c r="AE102" s="14">
        <f t="shared" si="13"/>
        <v>743982171</v>
      </c>
      <c r="AF102" s="15"/>
      <c r="AG102" s="14">
        <v>4.03982171E8</v>
      </c>
      <c r="AH102" s="14">
        <v>2.82225408E8</v>
      </c>
      <c r="AI102" s="14">
        <v>1.08002249E8</v>
      </c>
      <c r="AJ102" s="14">
        <v>1.3754514E7</v>
      </c>
      <c r="AK102" s="16">
        <f t="shared" si="14"/>
        <v>202605</v>
      </c>
      <c r="AL102" s="17" t="str">
        <f t="shared" si="15"/>
        <v/>
      </c>
    </row>
    <row r="103" ht="15.75" customHeight="1">
      <c r="A103" s="6">
        <v>46146.0</v>
      </c>
      <c r="B103" s="7" t="str">
        <f t="shared" si="1"/>
        <v/>
      </c>
      <c r="C103" s="7" t="str">
        <f t="shared" si="16"/>
        <v/>
      </c>
      <c r="D103" s="7" t="str">
        <f t="shared" si="2"/>
        <v/>
      </c>
      <c r="E103" s="8" t="str">
        <f t="shared" si="3"/>
        <v/>
      </c>
      <c r="F103" s="8" t="str">
        <f>IF(OR($Y103="",$Y103=0,$G103="",$G103=0),"",($S103-$G103*'03_포지션'!$B$13)/$Y103)</f>
        <v/>
      </c>
      <c r="G103" s="7" t="str">
        <f t="shared" si="4"/>
        <v/>
      </c>
      <c r="H103" s="7" t="str">
        <f t="shared" si="5"/>
        <v/>
      </c>
      <c r="I103" s="7" t="str">
        <f t="shared" si="6"/>
        <v/>
      </c>
      <c r="J103" s="9" t="str">
        <f>IF(OR($I103="",'09_CF_원금'!$B$108=0),"",$I103/'09_CF_원금'!$B$108)</f>
        <v/>
      </c>
      <c r="K103" s="8" t="str">
        <f t="shared" si="7"/>
        <v/>
      </c>
      <c r="L103" s="8" t="str">
        <f t="shared" si="8"/>
        <v/>
      </c>
      <c r="M103" s="7" t="str">
        <f t="shared" si="9"/>
        <v/>
      </c>
      <c r="N103" s="7" t="str">
        <f t="shared" si="10"/>
        <v/>
      </c>
      <c r="O103" s="7" t="str">
        <f t="shared" si="11"/>
        <v/>
      </c>
      <c r="P103" s="10"/>
      <c r="Q103" s="11"/>
      <c r="R103" s="11"/>
      <c r="S103" s="12"/>
      <c r="T103" s="12"/>
      <c r="U103" s="12"/>
      <c r="V103" s="12"/>
      <c r="W103" s="18" t="str">
        <f t="shared" si="17"/>
        <v/>
      </c>
      <c r="X103" s="7" t="str">
        <f t="shared" si="18"/>
        <v/>
      </c>
      <c r="Y103" s="7" t="str">
        <f t="shared" si="19"/>
        <v/>
      </c>
      <c r="Z103" s="7" t="str">
        <f t="shared" si="12"/>
        <v/>
      </c>
      <c r="AA103" s="14">
        <f>SUMIFS('09_CF_원금'!$E$6:$E$92,'09_CF_원금'!$D$6:$D$92,"국장",'09_CF_원금'!$A$6:$A$92,"&lt;="&amp;$A103)-SUMIFS('09_CF_원금'!$E$6:$E$92,'09_CF_원금'!$C$6:$C$92,"국장",'09_CF_원금'!$A$6:$A$92,"&lt;="&amp;$A103)</f>
        <v>200000000</v>
      </c>
      <c r="AB103" s="14">
        <f>SUMIFS('09_CF_원금'!$E$6:$E$92,'09_CF_원금'!$D$6:$D$92,"미장",'09_CF_원금'!$A$6:$A$92,"&lt;="&amp;$A103)-SUMIFS('09_CF_원금'!$E$6:$E$92,'09_CF_원금'!$C$6:$C$92,"미장",'09_CF_원금'!$A$6:$A$92,"&lt;="&amp;$A103)</f>
        <v>100000000</v>
      </c>
      <c r="AC103" s="14">
        <f>SUMIFS('09_CF_원금'!$E$6:$E$92,'09_CF_원금'!$D$6:$D$92,"ISA",'09_CF_원금'!$A$6:$A$92,"&lt;="&amp;$A103)-SUMIFS('09_CF_원금'!$E$6:$E$92,'09_CF_원금'!$C$6:$C$92,"ISA",'09_CF_원금'!$A$6:$A$92,"&lt;="&amp;$A103)</f>
        <v>40000000</v>
      </c>
      <c r="AD103" s="14">
        <f>IF($A103="","",$AA103+$AB103+$AC103+SUMIFS('09_CF_원금'!$E$6:$E$92,'09_CF_원금'!$D$6:$D$92,"중국",'09_CF_원금'!$A$6:$A$92,"&lt;="&amp;$A103)-SUMIFS('09_CF_원금'!$E$6:$E$92,'09_CF_원금'!$C$6:$C$92,"중국",'09_CF_원금'!$A$6:$A$92,"&lt;="&amp;$A103))</f>
        <v>340000000</v>
      </c>
      <c r="AE103" s="14" t="str">
        <f t="shared" si="13"/>
        <v/>
      </c>
      <c r="AF103" s="15"/>
      <c r="AG103" s="14"/>
      <c r="AH103" s="14"/>
      <c r="AI103" s="14"/>
      <c r="AJ103" s="14"/>
      <c r="AK103" s="16">
        <f t="shared" si="14"/>
        <v>202605</v>
      </c>
      <c r="AL103" s="17" t="str">
        <f t="shared" si="15"/>
        <v/>
      </c>
    </row>
    <row r="104" ht="15.75" customHeight="1">
      <c r="A104" s="6">
        <v>46147.0</v>
      </c>
      <c r="B104" s="7" t="str">
        <f t="shared" si="1"/>
        <v/>
      </c>
      <c r="C104" s="7" t="str">
        <f t="shared" si="16"/>
        <v/>
      </c>
      <c r="D104" s="7" t="str">
        <f t="shared" si="2"/>
        <v/>
      </c>
      <c r="E104" s="8" t="str">
        <f t="shared" si="3"/>
        <v/>
      </c>
      <c r="F104" s="8" t="str">
        <f>IF(OR($Y104="",$Y104=0,$G104="",$G104=0),"",($S104-$G104*'03_포지션'!$B$13)/$Y104)</f>
        <v/>
      </c>
      <c r="G104" s="7" t="str">
        <f t="shared" si="4"/>
        <v/>
      </c>
      <c r="H104" s="7" t="str">
        <f t="shared" si="5"/>
        <v/>
      </c>
      <c r="I104" s="7" t="str">
        <f t="shared" si="6"/>
        <v/>
      </c>
      <c r="J104" s="9" t="str">
        <f>IF(OR($I104="",'09_CF_원금'!$B$108=0),"",$I104/'09_CF_원금'!$B$108)</f>
        <v/>
      </c>
      <c r="K104" s="8" t="str">
        <f t="shared" si="7"/>
        <v/>
      </c>
      <c r="L104" s="8" t="str">
        <f t="shared" si="8"/>
        <v/>
      </c>
      <c r="M104" s="7" t="str">
        <f t="shared" si="9"/>
        <v/>
      </c>
      <c r="N104" s="7" t="str">
        <f t="shared" si="10"/>
        <v/>
      </c>
      <c r="O104" s="7" t="str">
        <f t="shared" si="11"/>
        <v/>
      </c>
      <c r="P104" s="10"/>
      <c r="Q104" s="11"/>
      <c r="R104" s="11"/>
      <c r="S104" s="12"/>
      <c r="T104" s="12"/>
      <c r="U104" s="12"/>
      <c r="V104" s="12"/>
      <c r="W104" s="18" t="str">
        <f t="shared" si="17"/>
        <v/>
      </c>
      <c r="X104" s="7" t="str">
        <f t="shared" si="18"/>
        <v/>
      </c>
      <c r="Y104" s="7" t="str">
        <f t="shared" si="19"/>
        <v/>
      </c>
      <c r="Z104" s="7" t="str">
        <f t="shared" si="12"/>
        <v/>
      </c>
      <c r="AA104" s="14">
        <f>SUMIFS('09_CF_원금'!$E$6:$E$92,'09_CF_원금'!$D$6:$D$92,"국장",'09_CF_원금'!$A$6:$A$92,"&lt;="&amp;$A104)-SUMIFS('09_CF_원금'!$E$6:$E$92,'09_CF_원금'!$C$6:$C$92,"국장",'09_CF_원금'!$A$6:$A$92,"&lt;="&amp;$A104)</f>
        <v>200000000</v>
      </c>
      <c r="AB104" s="14">
        <f>SUMIFS('09_CF_원금'!$E$6:$E$92,'09_CF_원금'!$D$6:$D$92,"미장",'09_CF_원금'!$A$6:$A$92,"&lt;="&amp;$A104)-SUMIFS('09_CF_원금'!$E$6:$E$92,'09_CF_원금'!$C$6:$C$92,"미장",'09_CF_원금'!$A$6:$A$92,"&lt;="&amp;$A104)</f>
        <v>100000000</v>
      </c>
      <c r="AC104" s="14">
        <f>SUMIFS('09_CF_원금'!$E$6:$E$92,'09_CF_원금'!$D$6:$D$92,"ISA",'09_CF_원금'!$A$6:$A$92,"&lt;="&amp;$A104)-SUMIFS('09_CF_원금'!$E$6:$E$92,'09_CF_원금'!$C$6:$C$92,"ISA",'09_CF_원금'!$A$6:$A$92,"&lt;="&amp;$A104)</f>
        <v>40000000</v>
      </c>
      <c r="AD104" s="14">
        <f>IF($A104="","",$AA104+$AB104+$AC104+SUMIFS('09_CF_원금'!$E$6:$E$92,'09_CF_원금'!$D$6:$D$92,"중국",'09_CF_원금'!$A$6:$A$92,"&lt;="&amp;$A104)-SUMIFS('09_CF_원금'!$E$6:$E$92,'09_CF_원금'!$C$6:$C$92,"중국",'09_CF_원금'!$A$6:$A$92,"&lt;="&amp;$A104))</f>
        <v>340000000</v>
      </c>
      <c r="AE104" s="14" t="str">
        <f t="shared" si="13"/>
        <v/>
      </c>
      <c r="AF104" s="15"/>
      <c r="AG104" s="14"/>
      <c r="AH104" s="14"/>
      <c r="AI104" s="14"/>
      <c r="AJ104" s="14"/>
      <c r="AK104" s="16">
        <f t="shared" si="14"/>
        <v>202605</v>
      </c>
      <c r="AL104" s="17" t="str">
        <f t="shared" si="15"/>
        <v/>
      </c>
    </row>
    <row r="105" ht="15.75" customHeight="1">
      <c r="A105" s="6">
        <v>46148.0</v>
      </c>
      <c r="B105" s="7" t="str">
        <f t="shared" si="1"/>
        <v/>
      </c>
      <c r="C105" s="7" t="str">
        <f t="shared" si="16"/>
        <v/>
      </c>
      <c r="D105" s="7" t="str">
        <f t="shared" si="2"/>
        <v/>
      </c>
      <c r="E105" s="8" t="str">
        <f t="shared" si="3"/>
        <v/>
      </c>
      <c r="F105" s="8" t="str">
        <f>IF(OR($Y105="",$Y105=0,$G105="",$G105=0),"",($S105-$G105*'03_포지션'!$B$13)/$Y105)</f>
        <v/>
      </c>
      <c r="G105" s="7" t="str">
        <f t="shared" si="4"/>
        <v/>
      </c>
      <c r="H105" s="7" t="str">
        <f t="shared" si="5"/>
        <v/>
      </c>
      <c r="I105" s="7" t="str">
        <f t="shared" si="6"/>
        <v/>
      </c>
      <c r="J105" s="9" t="str">
        <f>IF(OR($I105="",'09_CF_원금'!$B$108=0),"",$I105/'09_CF_원금'!$B$108)</f>
        <v/>
      </c>
      <c r="K105" s="8" t="str">
        <f t="shared" si="7"/>
        <v/>
      </c>
      <c r="L105" s="8" t="str">
        <f t="shared" si="8"/>
        <v/>
      </c>
      <c r="M105" s="7" t="str">
        <f t="shared" si="9"/>
        <v/>
      </c>
      <c r="N105" s="7" t="str">
        <f t="shared" si="10"/>
        <v/>
      </c>
      <c r="O105" s="7" t="str">
        <f t="shared" si="11"/>
        <v/>
      </c>
      <c r="P105" s="10"/>
      <c r="Q105" s="11"/>
      <c r="R105" s="11"/>
      <c r="S105" s="12"/>
      <c r="T105" s="12"/>
      <c r="U105" s="12"/>
      <c r="V105" s="12"/>
      <c r="W105" s="18" t="str">
        <f t="shared" si="17"/>
        <v/>
      </c>
      <c r="X105" s="7" t="str">
        <f t="shared" si="18"/>
        <v/>
      </c>
      <c r="Y105" s="7" t="str">
        <f t="shared" si="19"/>
        <v/>
      </c>
      <c r="Z105" s="7" t="str">
        <f t="shared" si="12"/>
        <v/>
      </c>
      <c r="AA105" s="14">
        <f>SUMIFS('09_CF_원금'!$E$6:$E$92,'09_CF_원금'!$D$6:$D$92,"국장",'09_CF_원금'!$A$6:$A$92,"&lt;="&amp;$A105)-SUMIFS('09_CF_원금'!$E$6:$E$92,'09_CF_원금'!$C$6:$C$92,"국장",'09_CF_원금'!$A$6:$A$92,"&lt;="&amp;$A105)</f>
        <v>200000000</v>
      </c>
      <c r="AB105" s="14">
        <f>SUMIFS('09_CF_원금'!$E$6:$E$92,'09_CF_원금'!$D$6:$D$92,"미장",'09_CF_원금'!$A$6:$A$92,"&lt;="&amp;$A105)-SUMIFS('09_CF_원금'!$E$6:$E$92,'09_CF_원금'!$C$6:$C$92,"미장",'09_CF_원금'!$A$6:$A$92,"&lt;="&amp;$A105)</f>
        <v>100000000</v>
      </c>
      <c r="AC105" s="14">
        <f>SUMIFS('09_CF_원금'!$E$6:$E$92,'09_CF_원금'!$D$6:$D$92,"ISA",'09_CF_원금'!$A$6:$A$92,"&lt;="&amp;$A105)-SUMIFS('09_CF_원금'!$E$6:$E$92,'09_CF_원금'!$C$6:$C$92,"ISA",'09_CF_원금'!$A$6:$A$92,"&lt;="&amp;$A105)</f>
        <v>40000000</v>
      </c>
      <c r="AD105" s="14">
        <f>IF($A105="","",$AA105+$AB105+$AC105+SUMIFS('09_CF_원금'!$E$6:$E$92,'09_CF_원금'!$D$6:$D$92,"중국",'09_CF_원금'!$A$6:$A$92,"&lt;="&amp;$A105)-SUMIFS('09_CF_원금'!$E$6:$E$92,'09_CF_원금'!$C$6:$C$92,"중국",'09_CF_원금'!$A$6:$A$92,"&lt;="&amp;$A105))</f>
        <v>340000000</v>
      </c>
      <c r="AE105" s="14" t="str">
        <f t="shared" si="13"/>
        <v/>
      </c>
      <c r="AF105" s="15"/>
      <c r="AG105" s="14"/>
      <c r="AH105" s="14"/>
      <c r="AI105" s="14"/>
      <c r="AJ105" s="14"/>
      <c r="AK105" s="16">
        <f t="shared" si="14"/>
        <v>202605</v>
      </c>
      <c r="AL105" s="17" t="str">
        <f t="shared" si="15"/>
        <v/>
      </c>
    </row>
    <row r="106" ht="15.75" customHeight="1">
      <c r="A106" s="6">
        <v>46149.0</v>
      </c>
      <c r="B106" s="7" t="str">
        <f t="shared" si="1"/>
        <v/>
      </c>
      <c r="C106" s="7" t="str">
        <f t="shared" si="16"/>
        <v/>
      </c>
      <c r="D106" s="7" t="str">
        <f t="shared" si="2"/>
        <v/>
      </c>
      <c r="E106" s="8" t="str">
        <f t="shared" si="3"/>
        <v/>
      </c>
      <c r="F106" s="8" t="str">
        <f>IF(OR($Y106="",$Y106=0,$G106="",$G106=0),"",($S106-$G106*'03_포지션'!$B$13)/$Y106)</f>
        <v/>
      </c>
      <c r="G106" s="7" t="str">
        <f t="shared" si="4"/>
        <v/>
      </c>
      <c r="H106" s="7" t="str">
        <f t="shared" si="5"/>
        <v/>
      </c>
      <c r="I106" s="7" t="str">
        <f t="shared" si="6"/>
        <v/>
      </c>
      <c r="J106" s="9" t="str">
        <f>IF(OR($I106="",'09_CF_원금'!$B$108=0),"",$I106/'09_CF_원금'!$B$108)</f>
        <v/>
      </c>
      <c r="K106" s="8" t="str">
        <f t="shared" si="7"/>
        <v/>
      </c>
      <c r="L106" s="8" t="str">
        <f t="shared" si="8"/>
        <v/>
      </c>
      <c r="M106" s="7" t="str">
        <f t="shared" si="9"/>
        <v/>
      </c>
      <c r="N106" s="7" t="str">
        <f t="shared" si="10"/>
        <v/>
      </c>
      <c r="O106" s="7" t="str">
        <f t="shared" si="11"/>
        <v/>
      </c>
      <c r="P106" s="10"/>
      <c r="Q106" s="11"/>
      <c r="R106" s="11"/>
      <c r="S106" s="12"/>
      <c r="T106" s="12"/>
      <c r="U106" s="12"/>
      <c r="V106" s="12"/>
      <c r="W106" s="18" t="str">
        <f t="shared" si="17"/>
        <v/>
      </c>
      <c r="X106" s="7" t="str">
        <f t="shared" si="18"/>
        <v/>
      </c>
      <c r="Y106" s="7" t="str">
        <f t="shared" si="19"/>
        <v/>
      </c>
      <c r="Z106" s="7" t="str">
        <f t="shared" si="12"/>
        <v/>
      </c>
      <c r="AA106" s="14">
        <f>SUMIFS('09_CF_원금'!$E$6:$E$92,'09_CF_원금'!$D$6:$D$92,"국장",'09_CF_원금'!$A$6:$A$92,"&lt;="&amp;$A106)-SUMIFS('09_CF_원금'!$E$6:$E$92,'09_CF_원금'!$C$6:$C$92,"국장",'09_CF_원금'!$A$6:$A$92,"&lt;="&amp;$A106)</f>
        <v>200000000</v>
      </c>
      <c r="AB106" s="14">
        <f>SUMIFS('09_CF_원금'!$E$6:$E$92,'09_CF_원금'!$D$6:$D$92,"미장",'09_CF_원금'!$A$6:$A$92,"&lt;="&amp;$A106)-SUMIFS('09_CF_원금'!$E$6:$E$92,'09_CF_원금'!$C$6:$C$92,"미장",'09_CF_원금'!$A$6:$A$92,"&lt;="&amp;$A106)</f>
        <v>100000000</v>
      </c>
      <c r="AC106" s="14">
        <f>SUMIFS('09_CF_원금'!$E$6:$E$92,'09_CF_원금'!$D$6:$D$92,"ISA",'09_CF_원금'!$A$6:$A$92,"&lt;="&amp;$A106)-SUMIFS('09_CF_원금'!$E$6:$E$92,'09_CF_원금'!$C$6:$C$92,"ISA",'09_CF_원금'!$A$6:$A$92,"&lt;="&amp;$A106)</f>
        <v>40000000</v>
      </c>
      <c r="AD106" s="14">
        <f>IF($A106="","",$AA106+$AB106+$AC106+SUMIFS('09_CF_원금'!$E$6:$E$92,'09_CF_원금'!$D$6:$D$92,"중국",'09_CF_원금'!$A$6:$A$92,"&lt;="&amp;$A106)-SUMIFS('09_CF_원금'!$E$6:$E$92,'09_CF_원금'!$C$6:$C$92,"중국",'09_CF_원금'!$A$6:$A$92,"&lt;="&amp;$A106))</f>
        <v>340000000</v>
      </c>
      <c r="AE106" s="14" t="str">
        <f t="shared" si="13"/>
        <v/>
      </c>
      <c r="AF106" s="15"/>
      <c r="AG106" s="14"/>
      <c r="AH106" s="14"/>
      <c r="AI106" s="14"/>
      <c r="AJ106" s="14"/>
      <c r="AK106" s="16">
        <f t="shared" si="14"/>
        <v>202605</v>
      </c>
      <c r="AL106" s="17" t="str">
        <f t="shared" si="15"/>
        <v/>
      </c>
    </row>
    <row r="107" ht="15.75" customHeight="1">
      <c r="A107" s="6">
        <v>46150.0</v>
      </c>
      <c r="B107" s="7" t="str">
        <f t="shared" si="1"/>
        <v/>
      </c>
      <c r="C107" s="7" t="str">
        <f t="shared" si="16"/>
        <v/>
      </c>
      <c r="D107" s="7" t="str">
        <f t="shared" si="2"/>
        <v/>
      </c>
      <c r="E107" s="8" t="str">
        <f t="shared" si="3"/>
        <v/>
      </c>
      <c r="F107" s="8" t="str">
        <f>IF(OR($Y107="",$Y107=0,$G107="",$G107=0),"",($S107-$G107*'03_포지션'!$B$13)/$Y107)</f>
        <v/>
      </c>
      <c r="G107" s="7" t="str">
        <f t="shared" si="4"/>
        <v/>
      </c>
      <c r="H107" s="7" t="str">
        <f t="shared" si="5"/>
        <v/>
      </c>
      <c r="I107" s="7" t="str">
        <f t="shared" si="6"/>
        <v/>
      </c>
      <c r="J107" s="9" t="str">
        <f>IF(OR($I107="",'09_CF_원금'!$B$108=0),"",$I107/'09_CF_원금'!$B$108)</f>
        <v/>
      </c>
      <c r="K107" s="8" t="str">
        <f t="shared" si="7"/>
        <v/>
      </c>
      <c r="L107" s="8" t="str">
        <f t="shared" si="8"/>
        <v/>
      </c>
      <c r="M107" s="7" t="str">
        <f t="shared" si="9"/>
        <v/>
      </c>
      <c r="N107" s="7" t="str">
        <f t="shared" si="10"/>
        <v/>
      </c>
      <c r="O107" s="7" t="str">
        <f t="shared" si="11"/>
        <v/>
      </c>
      <c r="P107" s="10"/>
      <c r="Q107" s="11"/>
      <c r="R107" s="11"/>
      <c r="S107" s="12"/>
      <c r="T107" s="12"/>
      <c r="U107" s="12"/>
      <c r="V107" s="12"/>
      <c r="W107" s="18" t="str">
        <f t="shared" si="17"/>
        <v/>
      </c>
      <c r="X107" s="7" t="str">
        <f t="shared" si="18"/>
        <v/>
      </c>
      <c r="Y107" s="7" t="str">
        <f t="shared" si="19"/>
        <v/>
      </c>
      <c r="Z107" s="7" t="str">
        <f t="shared" si="12"/>
        <v/>
      </c>
      <c r="AA107" s="14">
        <f>SUMIFS('09_CF_원금'!$E$6:$E$92,'09_CF_원금'!$D$6:$D$92,"국장",'09_CF_원금'!$A$6:$A$92,"&lt;="&amp;$A107)-SUMIFS('09_CF_원금'!$E$6:$E$92,'09_CF_원금'!$C$6:$C$92,"국장",'09_CF_원금'!$A$6:$A$92,"&lt;="&amp;$A107)</f>
        <v>200000000</v>
      </c>
      <c r="AB107" s="14">
        <f>SUMIFS('09_CF_원금'!$E$6:$E$92,'09_CF_원금'!$D$6:$D$92,"미장",'09_CF_원금'!$A$6:$A$92,"&lt;="&amp;$A107)-SUMIFS('09_CF_원금'!$E$6:$E$92,'09_CF_원금'!$C$6:$C$92,"미장",'09_CF_원금'!$A$6:$A$92,"&lt;="&amp;$A107)</f>
        <v>100000000</v>
      </c>
      <c r="AC107" s="14">
        <f>SUMIFS('09_CF_원금'!$E$6:$E$92,'09_CF_원금'!$D$6:$D$92,"ISA",'09_CF_원금'!$A$6:$A$92,"&lt;="&amp;$A107)-SUMIFS('09_CF_원금'!$E$6:$E$92,'09_CF_원금'!$C$6:$C$92,"ISA",'09_CF_원금'!$A$6:$A$92,"&lt;="&amp;$A107)</f>
        <v>40000000</v>
      </c>
      <c r="AD107" s="14">
        <f>IF($A107="","",$AA107+$AB107+$AC107+SUMIFS('09_CF_원금'!$E$6:$E$92,'09_CF_원금'!$D$6:$D$92,"중국",'09_CF_원금'!$A$6:$A$92,"&lt;="&amp;$A107)-SUMIFS('09_CF_원금'!$E$6:$E$92,'09_CF_원금'!$C$6:$C$92,"중국",'09_CF_원금'!$A$6:$A$92,"&lt;="&amp;$A107))</f>
        <v>340000000</v>
      </c>
      <c r="AE107" s="14" t="str">
        <f t="shared" si="13"/>
        <v/>
      </c>
      <c r="AF107" s="15"/>
      <c r="AG107" s="14"/>
      <c r="AH107" s="14"/>
      <c r="AI107" s="14"/>
      <c r="AJ107" s="14"/>
      <c r="AK107" s="16">
        <f t="shared" si="14"/>
        <v>202605</v>
      </c>
      <c r="AL107" s="17" t="str">
        <f t="shared" si="15"/>
        <v/>
      </c>
    </row>
    <row r="108" ht="15.75" customHeight="1">
      <c r="A108" s="6">
        <v>46153.0</v>
      </c>
      <c r="B108" s="7" t="str">
        <f t="shared" si="1"/>
        <v/>
      </c>
      <c r="C108" s="7" t="str">
        <f t="shared" si="16"/>
        <v/>
      </c>
      <c r="D108" s="7" t="str">
        <f t="shared" si="2"/>
        <v/>
      </c>
      <c r="E108" s="8" t="str">
        <f t="shared" si="3"/>
        <v/>
      </c>
      <c r="F108" s="8" t="str">
        <f>IF(OR($Y108="",$Y108=0,$G108="",$G108=0),"",($S108-$G108*'03_포지션'!$B$13)/$Y108)</f>
        <v/>
      </c>
      <c r="G108" s="7" t="str">
        <f t="shared" si="4"/>
        <v/>
      </c>
      <c r="H108" s="7" t="str">
        <f t="shared" si="5"/>
        <v/>
      </c>
      <c r="I108" s="7" t="str">
        <f t="shared" si="6"/>
        <v/>
      </c>
      <c r="J108" s="9" t="str">
        <f>IF(OR($I108="",'09_CF_원금'!$B$108=0),"",$I108/'09_CF_원금'!$B$108)</f>
        <v/>
      </c>
      <c r="K108" s="8" t="str">
        <f t="shared" si="7"/>
        <v/>
      </c>
      <c r="L108" s="8" t="str">
        <f t="shared" si="8"/>
        <v/>
      </c>
      <c r="M108" s="7" t="str">
        <f t="shared" si="9"/>
        <v/>
      </c>
      <c r="N108" s="7" t="str">
        <f t="shared" si="10"/>
        <v/>
      </c>
      <c r="O108" s="7" t="str">
        <f t="shared" si="11"/>
        <v/>
      </c>
      <c r="P108" s="10"/>
      <c r="Q108" s="11"/>
      <c r="R108" s="11"/>
      <c r="S108" s="12"/>
      <c r="T108" s="12"/>
      <c r="U108" s="12"/>
      <c r="V108" s="12"/>
      <c r="W108" s="18" t="str">
        <f t="shared" si="17"/>
        <v/>
      </c>
      <c r="X108" s="7" t="str">
        <f t="shared" si="18"/>
        <v/>
      </c>
      <c r="Y108" s="7" t="str">
        <f t="shared" si="19"/>
        <v/>
      </c>
      <c r="Z108" s="7" t="str">
        <f t="shared" si="12"/>
        <v/>
      </c>
      <c r="AA108" s="14">
        <f>SUMIFS('09_CF_원금'!$E$6:$E$92,'09_CF_원금'!$D$6:$D$92,"국장",'09_CF_원금'!$A$6:$A$92,"&lt;="&amp;$A108)-SUMIFS('09_CF_원금'!$E$6:$E$92,'09_CF_원금'!$C$6:$C$92,"국장",'09_CF_원금'!$A$6:$A$92,"&lt;="&amp;$A108)</f>
        <v>200000000</v>
      </c>
      <c r="AB108" s="14">
        <f>SUMIFS('09_CF_원금'!$E$6:$E$92,'09_CF_원금'!$D$6:$D$92,"미장",'09_CF_원금'!$A$6:$A$92,"&lt;="&amp;$A108)-SUMIFS('09_CF_원금'!$E$6:$E$92,'09_CF_원금'!$C$6:$C$92,"미장",'09_CF_원금'!$A$6:$A$92,"&lt;="&amp;$A108)</f>
        <v>100000000</v>
      </c>
      <c r="AC108" s="14">
        <f>SUMIFS('09_CF_원금'!$E$6:$E$92,'09_CF_원금'!$D$6:$D$92,"ISA",'09_CF_원금'!$A$6:$A$92,"&lt;="&amp;$A108)-SUMIFS('09_CF_원금'!$E$6:$E$92,'09_CF_원금'!$C$6:$C$92,"ISA",'09_CF_원금'!$A$6:$A$92,"&lt;="&amp;$A108)</f>
        <v>40000000</v>
      </c>
      <c r="AD108" s="14">
        <f>IF($A108="","",$AA108+$AB108+$AC108+SUMIFS('09_CF_원금'!$E$6:$E$92,'09_CF_원금'!$D$6:$D$92,"중국",'09_CF_원금'!$A$6:$A$92,"&lt;="&amp;$A108)-SUMIFS('09_CF_원금'!$E$6:$E$92,'09_CF_원금'!$C$6:$C$92,"중국",'09_CF_원금'!$A$6:$A$92,"&lt;="&amp;$A108))</f>
        <v>340000000</v>
      </c>
      <c r="AE108" s="14" t="str">
        <f t="shared" si="13"/>
        <v/>
      </c>
      <c r="AF108" s="15"/>
      <c r="AG108" s="14"/>
      <c r="AH108" s="14"/>
      <c r="AI108" s="14"/>
      <c r="AJ108" s="14"/>
      <c r="AK108" s="16">
        <f t="shared" si="14"/>
        <v>202605</v>
      </c>
      <c r="AL108" s="17" t="str">
        <f t="shared" si="15"/>
        <v/>
      </c>
    </row>
    <row r="109" ht="15.75" customHeight="1">
      <c r="A109" s="6">
        <v>46154.0</v>
      </c>
      <c r="B109" s="7" t="str">
        <f t="shared" si="1"/>
        <v/>
      </c>
      <c r="C109" s="7" t="str">
        <f t="shared" si="16"/>
        <v/>
      </c>
      <c r="D109" s="7" t="str">
        <f t="shared" si="2"/>
        <v/>
      </c>
      <c r="E109" s="8" t="str">
        <f t="shared" si="3"/>
        <v/>
      </c>
      <c r="F109" s="8" t="str">
        <f>IF(OR($Y109="",$Y109=0,$G109="",$G109=0),"",($S109-$G109*'03_포지션'!$B$13)/$Y109)</f>
        <v/>
      </c>
      <c r="G109" s="7" t="str">
        <f t="shared" si="4"/>
        <v/>
      </c>
      <c r="H109" s="7" t="str">
        <f t="shared" si="5"/>
        <v/>
      </c>
      <c r="I109" s="7" t="str">
        <f t="shared" si="6"/>
        <v/>
      </c>
      <c r="J109" s="9" t="str">
        <f>IF(OR($I109="",'09_CF_원금'!$B$108=0),"",$I109/'09_CF_원금'!$B$108)</f>
        <v/>
      </c>
      <c r="K109" s="8" t="str">
        <f t="shared" si="7"/>
        <v/>
      </c>
      <c r="L109" s="8" t="str">
        <f t="shared" si="8"/>
        <v/>
      </c>
      <c r="M109" s="7" t="str">
        <f t="shared" si="9"/>
        <v/>
      </c>
      <c r="N109" s="7" t="str">
        <f t="shared" si="10"/>
        <v/>
      </c>
      <c r="O109" s="7" t="str">
        <f t="shared" si="11"/>
        <v/>
      </c>
      <c r="P109" s="10"/>
      <c r="Q109" s="11"/>
      <c r="R109" s="11"/>
      <c r="S109" s="12"/>
      <c r="T109" s="12"/>
      <c r="U109" s="12"/>
      <c r="V109" s="12"/>
      <c r="W109" s="18" t="str">
        <f t="shared" si="17"/>
        <v/>
      </c>
      <c r="X109" s="7" t="str">
        <f t="shared" si="18"/>
        <v/>
      </c>
      <c r="Y109" s="7" t="str">
        <f t="shared" si="19"/>
        <v/>
      </c>
      <c r="Z109" s="7" t="str">
        <f t="shared" si="12"/>
        <v/>
      </c>
      <c r="AA109" s="14">
        <f>SUMIFS('09_CF_원금'!$E$6:$E$92,'09_CF_원금'!$D$6:$D$92,"국장",'09_CF_원금'!$A$6:$A$92,"&lt;="&amp;$A109)-SUMIFS('09_CF_원금'!$E$6:$E$92,'09_CF_원금'!$C$6:$C$92,"국장",'09_CF_원금'!$A$6:$A$92,"&lt;="&amp;$A109)</f>
        <v>200000000</v>
      </c>
      <c r="AB109" s="14">
        <f>SUMIFS('09_CF_원금'!$E$6:$E$92,'09_CF_원금'!$D$6:$D$92,"미장",'09_CF_원금'!$A$6:$A$92,"&lt;="&amp;$A109)-SUMIFS('09_CF_원금'!$E$6:$E$92,'09_CF_원금'!$C$6:$C$92,"미장",'09_CF_원금'!$A$6:$A$92,"&lt;="&amp;$A109)</f>
        <v>100000000</v>
      </c>
      <c r="AC109" s="14">
        <f>SUMIFS('09_CF_원금'!$E$6:$E$92,'09_CF_원금'!$D$6:$D$92,"ISA",'09_CF_원금'!$A$6:$A$92,"&lt;="&amp;$A109)-SUMIFS('09_CF_원금'!$E$6:$E$92,'09_CF_원금'!$C$6:$C$92,"ISA",'09_CF_원금'!$A$6:$A$92,"&lt;="&amp;$A109)</f>
        <v>40000000</v>
      </c>
      <c r="AD109" s="14">
        <f>IF($A109="","",$AA109+$AB109+$AC109+SUMIFS('09_CF_원금'!$E$6:$E$92,'09_CF_원금'!$D$6:$D$92,"중국",'09_CF_원금'!$A$6:$A$92,"&lt;="&amp;$A109)-SUMIFS('09_CF_원금'!$E$6:$E$92,'09_CF_원금'!$C$6:$C$92,"중국",'09_CF_원금'!$A$6:$A$92,"&lt;="&amp;$A109))</f>
        <v>340000000</v>
      </c>
      <c r="AE109" s="14" t="str">
        <f t="shared" si="13"/>
        <v/>
      </c>
      <c r="AF109" s="15"/>
      <c r="AG109" s="14"/>
      <c r="AH109" s="14"/>
      <c r="AI109" s="14"/>
      <c r="AJ109" s="14"/>
      <c r="AK109" s="16">
        <f t="shared" si="14"/>
        <v>202605</v>
      </c>
      <c r="AL109" s="17" t="str">
        <f t="shared" si="15"/>
        <v/>
      </c>
    </row>
    <row r="110" ht="15.75" customHeight="1">
      <c r="A110" s="6">
        <v>46155.0</v>
      </c>
      <c r="B110" s="7" t="str">
        <f t="shared" si="1"/>
        <v/>
      </c>
      <c r="C110" s="7" t="str">
        <f t="shared" si="16"/>
        <v/>
      </c>
      <c r="D110" s="7" t="str">
        <f t="shared" si="2"/>
        <v/>
      </c>
      <c r="E110" s="8" t="str">
        <f t="shared" si="3"/>
        <v/>
      </c>
      <c r="F110" s="8" t="str">
        <f>IF(OR($Y110="",$Y110=0,$G110="",$G110=0),"",($S110-$G110*'03_포지션'!$B$13)/$Y110)</f>
        <v/>
      </c>
      <c r="G110" s="7" t="str">
        <f t="shared" si="4"/>
        <v/>
      </c>
      <c r="H110" s="7" t="str">
        <f t="shared" si="5"/>
        <v/>
      </c>
      <c r="I110" s="7" t="str">
        <f t="shared" si="6"/>
        <v/>
      </c>
      <c r="J110" s="9" t="str">
        <f>IF(OR($I110="",'09_CF_원금'!$B$108=0),"",$I110/'09_CF_원금'!$B$108)</f>
        <v/>
      </c>
      <c r="K110" s="8" t="str">
        <f t="shared" si="7"/>
        <v/>
      </c>
      <c r="L110" s="8" t="str">
        <f t="shared" si="8"/>
        <v/>
      </c>
      <c r="M110" s="7" t="str">
        <f t="shared" si="9"/>
        <v/>
      </c>
      <c r="N110" s="7" t="str">
        <f t="shared" si="10"/>
        <v/>
      </c>
      <c r="O110" s="7" t="str">
        <f t="shared" si="11"/>
        <v/>
      </c>
      <c r="P110" s="10"/>
      <c r="Q110" s="11"/>
      <c r="R110" s="11"/>
      <c r="S110" s="12"/>
      <c r="T110" s="12"/>
      <c r="U110" s="12"/>
      <c r="V110" s="12"/>
      <c r="W110" s="18" t="str">
        <f t="shared" si="17"/>
        <v/>
      </c>
      <c r="X110" s="7" t="str">
        <f t="shared" si="18"/>
        <v/>
      </c>
      <c r="Y110" s="7" t="str">
        <f t="shared" si="19"/>
        <v/>
      </c>
      <c r="Z110" s="7" t="str">
        <f t="shared" si="12"/>
        <v/>
      </c>
      <c r="AA110" s="14">
        <f>SUMIFS('09_CF_원금'!$E$6:$E$92,'09_CF_원금'!$D$6:$D$92,"국장",'09_CF_원금'!$A$6:$A$92,"&lt;="&amp;$A110)-SUMIFS('09_CF_원금'!$E$6:$E$92,'09_CF_원금'!$C$6:$C$92,"국장",'09_CF_원금'!$A$6:$A$92,"&lt;="&amp;$A110)</f>
        <v>200000000</v>
      </c>
      <c r="AB110" s="14">
        <f>SUMIFS('09_CF_원금'!$E$6:$E$92,'09_CF_원금'!$D$6:$D$92,"미장",'09_CF_원금'!$A$6:$A$92,"&lt;="&amp;$A110)-SUMIFS('09_CF_원금'!$E$6:$E$92,'09_CF_원금'!$C$6:$C$92,"미장",'09_CF_원금'!$A$6:$A$92,"&lt;="&amp;$A110)</f>
        <v>100000000</v>
      </c>
      <c r="AC110" s="14">
        <f>SUMIFS('09_CF_원금'!$E$6:$E$92,'09_CF_원금'!$D$6:$D$92,"ISA",'09_CF_원금'!$A$6:$A$92,"&lt;="&amp;$A110)-SUMIFS('09_CF_원금'!$E$6:$E$92,'09_CF_원금'!$C$6:$C$92,"ISA",'09_CF_원금'!$A$6:$A$92,"&lt;="&amp;$A110)</f>
        <v>40000000</v>
      </c>
      <c r="AD110" s="14">
        <f>IF($A110="","",$AA110+$AB110+$AC110+SUMIFS('09_CF_원금'!$E$6:$E$92,'09_CF_원금'!$D$6:$D$92,"중국",'09_CF_원금'!$A$6:$A$92,"&lt;="&amp;$A110)-SUMIFS('09_CF_원금'!$E$6:$E$92,'09_CF_원금'!$C$6:$C$92,"중국",'09_CF_원금'!$A$6:$A$92,"&lt;="&amp;$A110))</f>
        <v>340000000</v>
      </c>
      <c r="AE110" s="14" t="str">
        <f t="shared" si="13"/>
        <v/>
      </c>
      <c r="AF110" s="15"/>
      <c r="AG110" s="14"/>
      <c r="AH110" s="14"/>
      <c r="AI110" s="14"/>
      <c r="AJ110" s="14"/>
      <c r="AK110" s="16">
        <f t="shared" si="14"/>
        <v>202605</v>
      </c>
      <c r="AL110" s="17" t="str">
        <f t="shared" si="15"/>
        <v/>
      </c>
    </row>
    <row r="111" ht="15.75" customHeight="1">
      <c r="A111" s="6">
        <v>46156.0</v>
      </c>
      <c r="B111" s="7" t="str">
        <f t="shared" si="1"/>
        <v/>
      </c>
      <c r="C111" s="7" t="str">
        <f t="shared" si="16"/>
        <v/>
      </c>
      <c r="D111" s="7" t="str">
        <f t="shared" si="2"/>
        <v/>
      </c>
      <c r="E111" s="8" t="str">
        <f t="shared" si="3"/>
        <v/>
      </c>
      <c r="F111" s="8" t="str">
        <f>IF(OR($Y111="",$Y111=0,$G111="",$G111=0),"",($S111-$G111*'03_포지션'!$B$13)/$Y111)</f>
        <v/>
      </c>
      <c r="G111" s="7" t="str">
        <f t="shared" si="4"/>
        <v/>
      </c>
      <c r="H111" s="7" t="str">
        <f t="shared" si="5"/>
        <v/>
      </c>
      <c r="I111" s="7" t="str">
        <f t="shared" si="6"/>
        <v/>
      </c>
      <c r="J111" s="9" t="str">
        <f>IF(OR($I111="",'09_CF_원금'!$B$108=0),"",$I111/'09_CF_원금'!$B$108)</f>
        <v/>
      </c>
      <c r="K111" s="8" t="str">
        <f t="shared" si="7"/>
        <v/>
      </c>
      <c r="L111" s="8" t="str">
        <f t="shared" si="8"/>
        <v/>
      </c>
      <c r="M111" s="7" t="str">
        <f t="shared" si="9"/>
        <v/>
      </c>
      <c r="N111" s="7" t="str">
        <f t="shared" si="10"/>
        <v/>
      </c>
      <c r="O111" s="7" t="str">
        <f t="shared" si="11"/>
        <v/>
      </c>
      <c r="P111" s="10"/>
      <c r="Q111" s="11"/>
      <c r="R111" s="11"/>
      <c r="S111" s="12"/>
      <c r="T111" s="12"/>
      <c r="U111" s="12"/>
      <c r="V111" s="12"/>
      <c r="W111" s="18" t="str">
        <f t="shared" si="17"/>
        <v/>
      </c>
      <c r="X111" s="7" t="str">
        <f t="shared" si="18"/>
        <v/>
      </c>
      <c r="Y111" s="7" t="str">
        <f t="shared" si="19"/>
        <v/>
      </c>
      <c r="Z111" s="7" t="str">
        <f t="shared" si="12"/>
        <v/>
      </c>
      <c r="AA111" s="14">
        <f>SUMIFS('09_CF_원금'!$E$6:$E$92,'09_CF_원금'!$D$6:$D$92,"국장",'09_CF_원금'!$A$6:$A$92,"&lt;="&amp;$A111)-SUMIFS('09_CF_원금'!$E$6:$E$92,'09_CF_원금'!$C$6:$C$92,"국장",'09_CF_원금'!$A$6:$A$92,"&lt;="&amp;$A111)</f>
        <v>200000000</v>
      </c>
      <c r="AB111" s="14">
        <f>SUMIFS('09_CF_원금'!$E$6:$E$92,'09_CF_원금'!$D$6:$D$92,"미장",'09_CF_원금'!$A$6:$A$92,"&lt;="&amp;$A111)-SUMIFS('09_CF_원금'!$E$6:$E$92,'09_CF_원금'!$C$6:$C$92,"미장",'09_CF_원금'!$A$6:$A$92,"&lt;="&amp;$A111)</f>
        <v>100000000</v>
      </c>
      <c r="AC111" s="14">
        <f>SUMIFS('09_CF_원금'!$E$6:$E$92,'09_CF_원금'!$D$6:$D$92,"ISA",'09_CF_원금'!$A$6:$A$92,"&lt;="&amp;$A111)-SUMIFS('09_CF_원금'!$E$6:$E$92,'09_CF_원금'!$C$6:$C$92,"ISA",'09_CF_원금'!$A$6:$A$92,"&lt;="&amp;$A111)</f>
        <v>40000000</v>
      </c>
      <c r="AD111" s="14">
        <f>IF($A111="","",$AA111+$AB111+$AC111+SUMIFS('09_CF_원금'!$E$6:$E$92,'09_CF_원금'!$D$6:$D$92,"중국",'09_CF_원금'!$A$6:$A$92,"&lt;="&amp;$A111)-SUMIFS('09_CF_원금'!$E$6:$E$92,'09_CF_원금'!$C$6:$C$92,"중국",'09_CF_원금'!$A$6:$A$92,"&lt;="&amp;$A111))</f>
        <v>340000000</v>
      </c>
      <c r="AE111" s="14" t="str">
        <f t="shared" si="13"/>
        <v/>
      </c>
      <c r="AF111" s="15"/>
      <c r="AG111" s="14"/>
      <c r="AH111" s="14"/>
      <c r="AI111" s="14"/>
      <c r="AJ111" s="14"/>
      <c r="AK111" s="16">
        <f t="shared" si="14"/>
        <v>202605</v>
      </c>
      <c r="AL111" s="17" t="str">
        <f t="shared" si="15"/>
        <v/>
      </c>
    </row>
    <row r="112" ht="15.75" customHeight="1">
      <c r="A112" s="6">
        <v>46157.0</v>
      </c>
      <c r="B112" s="7" t="str">
        <f t="shared" si="1"/>
        <v/>
      </c>
      <c r="C112" s="7" t="str">
        <f t="shared" si="16"/>
        <v/>
      </c>
      <c r="D112" s="7" t="str">
        <f t="shared" si="2"/>
        <v/>
      </c>
      <c r="E112" s="8" t="str">
        <f t="shared" si="3"/>
        <v/>
      </c>
      <c r="F112" s="8" t="str">
        <f>IF(OR($Y112="",$Y112=0,$G112="",$G112=0),"",($S112-$G112*'03_포지션'!$B$13)/$Y112)</f>
        <v/>
      </c>
      <c r="G112" s="7" t="str">
        <f t="shared" si="4"/>
        <v/>
      </c>
      <c r="H112" s="7" t="str">
        <f t="shared" si="5"/>
        <v/>
      </c>
      <c r="I112" s="7" t="str">
        <f t="shared" si="6"/>
        <v/>
      </c>
      <c r="J112" s="9" t="str">
        <f>IF(OR($I112="",'09_CF_원금'!$B$108=0),"",$I112/'09_CF_원금'!$B$108)</f>
        <v/>
      </c>
      <c r="K112" s="8" t="str">
        <f t="shared" si="7"/>
        <v/>
      </c>
      <c r="L112" s="8" t="str">
        <f t="shared" si="8"/>
        <v/>
      </c>
      <c r="M112" s="7" t="str">
        <f t="shared" si="9"/>
        <v/>
      </c>
      <c r="N112" s="7" t="str">
        <f t="shared" si="10"/>
        <v/>
      </c>
      <c r="O112" s="7" t="str">
        <f t="shared" si="11"/>
        <v/>
      </c>
      <c r="P112" s="10"/>
      <c r="Q112" s="11"/>
      <c r="R112" s="11"/>
      <c r="S112" s="12"/>
      <c r="T112" s="12"/>
      <c r="U112" s="12"/>
      <c r="V112" s="12"/>
      <c r="W112" s="18" t="str">
        <f t="shared" si="17"/>
        <v/>
      </c>
      <c r="X112" s="7" t="str">
        <f t="shared" si="18"/>
        <v/>
      </c>
      <c r="Y112" s="7" t="str">
        <f t="shared" si="19"/>
        <v/>
      </c>
      <c r="Z112" s="7" t="str">
        <f t="shared" si="12"/>
        <v/>
      </c>
      <c r="AA112" s="14">
        <f>SUMIFS('09_CF_원금'!$E$6:$E$92,'09_CF_원금'!$D$6:$D$92,"국장",'09_CF_원금'!$A$6:$A$92,"&lt;="&amp;$A112)-SUMIFS('09_CF_원금'!$E$6:$E$92,'09_CF_원금'!$C$6:$C$92,"국장",'09_CF_원금'!$A$6:$A$92,"&lt;="&amp;$A112)</f>
        <v>200000000</v>
      </c>
      <c r="AB112" s="14">
        <f>SUMIFS('09_CF_원금'!$E$6:$E$92,'09_CF_원금'!$D$6:$D$92,"미장",'09_CF_원금'!$A$6:$A$92,"&lt;="&amp;$A112)-SUMIFS('09_CF_원금'!$E$6:$E$92,'09_CF_원금'!$C$6:$C$92,"미장",'09_CF_원금'!$A$6:$A$92,"&lt;="&amp;$A112)</f>
        <v>100000000</v>
      </c>
      <c r="AC112" s="14">
        <f>SUMIFS('09_CF_원금'!$E$6:$E$92,'09_CF_원금'!$D$6:$D$92,"ISA",'09_CF_원금'!$A$6:$A$92,"&lt;="&amp;$A112)-SUMIFS('09_CF_원금'!$E$6:$E$92,'09_CF_원금'!$C$6:$C$92,"ISA",'09_CF_원금'!$A$6:$A$92,"&lt;="&amp;$A112)</f>
        <v>40000000</v>
      </c>
      <c r="AD112" s="14">
        <f>IF($A112="","",$AA112+$AB112+$AC112+SUMIFS('09_CF_원금'!$E$6:$E$92,'09_CF_원금'!$D$6:$D$92,"중국",'09_CF_원금'!$A$6:$A$92,"&lt;="&amp;$A112)-SUMIFS('09_CF_원금'!$E$6:$E$92,'09_CF_원금'!$C$6:$C$92,"중국",'09_CF_원금'!$A$6:$A$92,"&lt;="&amp;$A112))</f>
        <v>340000000</v>
      </c>
      <c r="AE112" s="14" t="str">
        <f t="shared" si="13"/>
        <v/>
      </c>
      <c r="AF112" s="15"/>
      <c r="AG112" s="14"/>
      <c r="AH112" s="14"/>
      <c r="AI112" s="14"/>
      <c r="AJ112" s="14"/>
      <c r="AK112" s="16">
        <f t="shared" si="14"/>
        <v>202605</v>
      </c>
      <c r="AL112" s="17" t="str">
        <f t="shared" si="15"/>
        <v/>
      </c>
    </row>
    <row r="113" ht="15.75" customHeight="1">
      <c r="A113" s="6">
        <v>46160.0</v>
      </c>
      <c r="B113" s="7" t="str">
        <f t="shared" si="1"/>
        <v/>
      </c>
      <c r="C113" s="7" t="str">
        <f t="shared" si="16"/>
        <v/>
      </c>
      <c r="D113" s="7" t="str">
        <f t="shared" si="2"/>
        <v/>
      </c>
      <c r="E113" s="8" t="str">
        <f t="shared" si="3"/>
        <v/>
      </c>
      <c r="F113" s="8" t="str">
        <f>IF(OR($Y113="",$Y113=0,$G113="",$G113=0),"",($S113-$G113*'03_포지션'!$B$13)/$Y113)</f>
        <v/>
      </c>
      <c r="G113" s="7" t="str">
        <f t="shared" si="4"/>
        <v/>
      </c>
      <c r="H113" s="7" t="str">
        <f t="shared" si="5"/>
        <v/>
      </c>
      <c r="I113" s="7" t="str">
        <f t="shared" si="6"/>
        <v/>
      </c>
      <c r="J113" s="9" t="str">
        <f>IF(OR($I113="",'09_CF_원금'!$B$108=0),"",$I113/'09_CF_원금'!$B$108)</f>
        <v/>
      </c>
      <c r="K113" s="8" t="str">
        <f t="shared" si="7"/>
        <v/>
      </c>
      <c r="L113" s="8" t="str">
        <f t="shared" si="8"/>
        <v/>
      </c>
      <c r="M113" s="7" t="str">
        <f t="shared" si="9"/>
        <v/>
      </c>
      <c r="N113" s="7" t="str">
        <f t="shared" si="10"/>
        <v/>
      </c>
      <c r="O113" s="7" t="str">
        <f t="shared" si="11"/>
        <v/>
      </c>
      <c r="P113" s="10"/>
      <c r="Q113" s="11"/>
      <c r="R113" s="11"/>
      <c r="S113" s="12"/>
      <c r="T113" s="12"/>
      <c r="U113" s="12"/>
      <c r="V113" s="12"/>
      <c r="W113" s="18" t="str">
        <f t="shared" si="17"/>
        <v/>
      </c>
      <c r="X113" s="7" t="str">
        <f t="shared" si="18"/>
        <v/>
      </c>
      <c r="Y113" s="7" t="str">
        <f t="shared" si="19"/>
        <v/>
      </c>
      <c r="Z113" s="7" t="str">
        <f t="shared" si="12"/>
        <v/>
      </c>
      <c r="AA113" s="14">
        <f>SUMIFS('09_CF_원금'!$E$6:$E$92,'09_CF_원금'!$D$6:$D$92,"국장",'09_CF_원금'!$A$6:$A$92,"&lt;="&amp;$A113)-SUMIFS('09_CF_원금'!$E$6:$E$92,'09_CF_원금'!$C$6:$C$92,"국장",'09_CF_원금'!$A$6:$A$92,"&lt;="&amp;$A113)</f>
        <v>200000000</v>
      </c>
      <c r="AB113" s="14">
        <f>SUMIFS('09_CF_원금'!$E$6:$E$92,'09_CF_원금'!$D$6:$D$92,"미장",'09_CF_원금'!$A$6:$A$92,"&lt;="&amp;$A113)-SUMIFS('09_CF_원금'!$E$6:$E$92,'09_CF_원금'!$C$6:$C$92,"미장",'09_CF_원금'!$A$6:$A$92,"&lt;="&amp;$A113)</f>
        <v>100000000</v>
      </c>
      <c r="AC113" s="14">
        <f>SUMIFS('09_CF_원금'!$E$6:$E$92,'09_CF_원금'!$D$6:$D$92,"ISA",'09_CF_원금'!$A$6:$A$92,"&lt;="&amp;$A113)-SUMIFS('09_CF_원금'!$E$6:$E$92,'09_CF_원금'!$C$6:$C$92,"ISA",'09_CF_원금'!$A$6:$A$92,"&lt;="&amp;$A113)</f>
        <v>40000000</v>
      </c>
      <c r="AD113" s="14">
        <f>IF($A113="","",$AA113+$AB113+$AC113+SUMIFS('09_CF_원금'!$E$6:$E$92,'09_CF_원금'!$D$6:$D$92,"중국",'09_CF_원금'!$A$6:$A$92,"&lt;="&amp;$A113)-SUMIFS('09_CF_원금'!$E$6:$E$92,'09_CF_원금'!$C$6:$C$92,"중국",'09_CF_원금'!$A$6:$A$92,"&lt;="&amp;$A113))</f>
        <v>340000000</v>
      </c>
      <c r="AE113" s="14" t="str">
        <f t="shared" si="13"/>
        <v/>
      </c>
      <c r="AF113" s="15"/>
      <c r="AG113" s="14"/>
      <c r="AH113" s="14"/>
      <c r="AI113" s="14"/>
      <c r="AJ113" s="14"/>
      <c r="AK113" s="16">
        <f t="shared" si="14"/>
        <v>202605</v>
      </c>
      <c r="AL113" s="17" t="str">
        <f t="shared" si="15"/>
        <v/>
      </c>
    </row>
    <row r="114" ht="15.75" customHeight="1">
      <c r="A114" s="6">
        <v>46161.0</v>
      </c>
      <c r="B114" s="7" t="str">
        <f t="shared" si="1"/>
        <v/>
      </c>
      <c r="C114" s="7" t="str">
        <f t="shared" si="16"/>
        <v/>
      </c>
      <c r="D114" s="7" t="str">
        <f t="shared" si="2"/>
        <v/>
      </c>
      <c r="E114" s="8" t="str">
        <f t="shared" si="3"/>
        <v/>
      </c>
      <c r="F114" s="8" t="str">
        <f>IF(OR($Y114="",$Y114=0,$G114="",$G114=0),"",($S114-$G114*'03_포지션'!$B$13)/$Y114)</f>
        <v/>
      </c>
      <c r="G114" s="7" t="str">
        <f t="shared" si="4"/>
        <v/>
      </c>
      <c r="H114" s="7" t="str">
        <f t="shared" si="5"/>
        <v/>
      </c>
      <c r="I114" s="7" t="str">
        <f t="shared" si="6"/>
        <v/>
      </c>
      <c r="J114" s="9" t="str">
        <f>IF(OR($I114="",'09_CF_원금'!$B$108=0),"",$I114/'09_CF_원금'!$B$108)</f>
        <v/>
      </c>
      <c r="K114" s="8" t="str">
        <f t="shared" si="7"/>
        <v/>
      </c>
      <c r="L114" s="8" t="str">
        <f t="shared" si="8"/>
        <v/>
      </c>
      <c r="M114" s="7" t="str">
        <f t="shared" si="9"/>
        <v/>
      </c>
      <c r="N114" s="7" t="str">
        <f t="shared" si="10"/>
        <v/>
      </c>
      <c r="O114" s="7" t="str">
        <f t="shared" si="11"/>
        <v/>
      </c>
      <c r="P114" s="10"/>
      <c r="Q114" s="11"/>
      <c r="R114" s="11"/>
      <c r="S114" s="12"/>
      <c r="T114" s="12"/>
      <c r="U114" s="12"/>
      <c r="V114" s="12"/>
      <c r="W114" s="18" t="str">
        <f t="shared" si="17"/>
        <v/>
      </c>
      <c r="X114" s="7" t="str">
        <f t="shared" si="18"/>
        <v/>
      </c>
      <c r="Y114" s="7" t="str">
        <f t="shared" si="19"/>
        <v/>
      </c>
      <c r="Z114" s="7" t="str">
        <f t="shared" si="12"/>
        <v/>
      </c>
      <c r="AA114" s="14">
        <f>SUMIFS('09_CF_원금'!$E$6:$E$92,'09_CF_원금'!$D$6:$D$92,"국장",'09_CF_원금'!$A$6:$A$92,"&lt;="&amp;$A114)-SUMIFS('09_CF_원금'!$E$6:$E$92,'09_CF_원금'!$C$6:$C$92,"국장",'09_CF_원금'!$A$6:$A$92,"&lt;="&amp;$A114)</f>
        <v>200000000</v>
      </c>
      <c r="AB114" s="14">
        <f>SUMIFS('09_CF_원금'!$E$6:$E$92,'09_CF_원금'!$D$6:$D$92,"미장",'09_CF_원금'!$A$6:$A$92,"&lt;="&amp;$A114)-SUMIFS('09_CF_원금'!$E$6:$E$92,'09_CF_원금'!$C$6:$C$92,"미장",'09_CF_원금'!$A$6:$A$92,"&lt;="&amp;$A114)</f>
        <v>100000000</v>
      </c>
      <c r="AC114" s="14">
        <f>SUMIFS('09_CF_원금'!$E$6:$E$92,'09_CF_원금'!$D$6:$D$92,"ISA",'09_CF_원금'!$A$6:$A$92,"&lt;="&amp;$A114)-SUMIFS('09_CF_원금'!$E$6:$E$92,'09_CF_원금'!$C$6:$C$92,"ISA",'09_CF_원금'!$A$6:$A$92,"&lt;="&amp;$A114)</f>
        <v>40000000</v>
      </c>
      <c r="AD114" s="14">
        <f>IF($A114="","",$AA114+$AB114+$AC114+SUMIFS('09_CF_원금'!$E$6:$E$92,'09_CF_원금'!$D$6:$D$92,"중국",'09_CF_원금'!$A$6:$A$92,"&lt;="&amp;$A114)-SUMIFS('09_CF_원금'!$E$6:$E$92,'09_CF_원금'!$C$6:$C$92,"중국",'09_CF_원금'!$A$6:$A$92,"&lt;="&amp;$A114))</f>
        <v>340000000</v>
      </c>
      <c r="AE114" s="14" t="str">
        <f t="shared" si="13"/>
        <v/>
      </c>
      <c r="AF114" s="15"/>
      <c r="AG114" s="14"/>
      <c r="AH114" s="14"/>
      <c r="AI114" s="14"/>
      <c r="AJ114" s="14"/>
      <c r="AK114" s="16">
        <f t="shared" si="14"/>
        <v>202605</v>
      </c>
      <c r="AL114" s="17" t="str">
        <f t="shared" si="15"/>
        <v/>
      </c>
    </row>
    <row r="115" ht="15.75" customHeight="1">
      <c r="A115" s="6">
        <v>46162.0</v>
      </c>
      <c r="B115" s="7" t="str">
        <f t="shared" si="1"/>
        <v/>
      </c>
      <c r="C115" s="7" t="str">
        <f t="shared" si="16"/>
        <v/>
      </c>
      <c r="D115" s="7" t="str">
        <f t="shared" si="2"/>
        <v/>
      </c>
      <c r="E115" s="8" t="str">
        <f t="shared" si="3"/>
        <v/>
      </c>
      <c r="F115" s="8" t="str">
        <f>IF(OR($Y115="",$Y115=0,$G115="",$G115=0),"",($S115-$G115*'03_포지션'!$B$13)/$Y115)</f>
        <v/>
      </c>
      <c r="G115" s="7" t="str">
        <f t="shared" si="4"/>
        <v/>
      </c>
      <c r="H115" s="7" t="str">
        <f t="shared" si="5"/>
        <v/>
      </c>
      <c r="I115" s="7" t="str">
        <f t="shared" si="6"/>
        <v/>
      </c>
      <c r="J115" s="9" t="str">
        <f>IF(OR($I115="",'09_CF_원금'!$B$108=0),"",$I115/'09_CF_원금'!$B$108)</f>
        <v/>
      </c>
      <c r="K115" s="8" t="str">
        <f t="shared" si="7"/>
        <v/>
      </c>
      <c r="L115" s="8" t="str">
        <f t="shared" si="8"/>
        <v/>
      </c>
      <c r="M115" s="7" t="str">
        <f t="shared" si="9"/>
        <v/>
      </c>
      <c r="N115" s="7" t="str">
        <f t="shared" si="10"/>
        <v/>
      </c>
      <c r="O115" s="7" t="str">
        <f t="shared" si="11"/>
        <v/>
      </c>
      <c r="P115" s="10"/>
      <c r="Q115" s="11"/>
      <c r="R115" s="11"/>
      <c r="S115" s="12"/>
      <c r="T115" s="12"/>
      <c r="U115" s="12"/>
      <c r="V115" s="12"/>
      <c r="W115" s="18" t="str">
        <f t="shared" si="17"/>
        <v/>
      </c>
      <c r="X115" s="7" t="str">
        <f t="shared" si="18"/>
        <v/>
      </c>
      <c r="Y115" s="7" t="str">
        <f t="shared" si="19"/>
        <v/>
      </c>
      <c r="Z115" s="7" t="str">
        <f t="shared" si="12"/>
        <v/>
      </c>
      <c r="AA115" s="14">
        <f>SUMIFS('09_CF_원금'!$E$6:$E$92,'09_CF_원금'!$D$6:$D$92,"국장",'09_CF_원금'!$A$6:$A$92,"&lt;="&amp;$A115)-SUMIFS('09_CF_원금'!$E$6:$E$92,'09_CF_원금'!$C$6:$C$92,"국장",'09_CF_원금'!$A$6:$A$92,"&lt;="&amp;$A115)</f>
        <v>200000000</v>
      </c>
      <c r="AB115" s="14">
        <f>SUMIFS('09_CF_원금'!$E$6:$E$92,'09_CF_원금'!$D$6:$D$92,"미장",'09_CF_원금'!$A$6:$A$92,"&lt;="&amp;$A115)-SUMIFS('09_CF_원금'!$E$6:$E$92,'09_CF_원금'!$C$6:$C$92,"미장",'09_CF_원금'!$A$6:$A$92,"&lt;="&amp;$A115)</f>
        <v>100000000</v>
      </c>
      <c r="AC115" s="14">
        <f>SUMIFS('09_CF_원금'!$E$6:$E$92,'09_CF_원금'!$D$6:$D$92,"ISA",'09_CF_원금'!$A$6:$A$92,"&lt;="&amp;$A115)-SUMIFS('09_CF_원금'!$E$6:$E$92,'09_CF_원금'!$C$6:$C$92,"ISA",'09_CF_원금'!$A$6:$A$92,"&lt;="&amp;$A115)</f>
        <v>40000000</v>
      </c>
      <c r="AD115" s="14">
        <f>IF($A115="","",$AA115+$AB115+$AC115+SUMIFS('09_CF_원금'!$E$6:$E$92,'09_CF_원금'!$D$6:$D$92,"중국",'09_CF_원금'!$A$6:$A$92,"&lt;="&amp;$A115)-SUMIFS('09_CF_원금'!$E$6:$E$92,'09_CF_원금'!$C$6:$C$92,"중국",'09_CF_원금'!$A$6:$A$92,"&lt;="&amp;$A115))</f>
        <v>340000000</v>
      </c>
      <c r="AE115" s="14" t="str">
        <f t="shared" si="13"/>
        <v/>
      </c>
      <c r="AF115" s="15"/>
      <c r="AG115" s="14"/>
      <c r="AH115" s="14"/>
      <c r="AI115" s="14"/>
      <c r="AJ115" s="14"/>
      <c r="AK115" s="16">
        <f t="shared" si="14"/>
        <v>202605</v>
      </c>
      <c r="AL115" s="17" t="str">
        <f t="shared" si="15"/>
        <v/>
      </c>
    </row>
    <row r="116" ht="15.75" customHeight="1">
      <c r="A116" s="6">
        <v>46163.0</v>
      </c>
      <c r="B116" s="7" t="str">
        <f t="shared" si="1"/>
        <v/>
      </c>
      <c r="C116" s="7" t="str">
        <f t="shared" si="16"/>
        <v/>
      </c>
      <c r="D116" s="7" t="str">
        <f t="shared" si="2"/>
        <v/>
      </c>
      <c r="E116" s="8" t="str">
        <f t="shared" si="3"/>
        <v/>
      </c>
      <c r="F116" s="8" t="str">
        <f>IF(OR($Y116="",$Y116=0,$G116="",$G116=0),"",($S116-$G116*'03_포지션'!$B$13)/$Y116)</f>
        <v/>
      </c>
      <c r="G116" s="7" t="str">
        <f t="shared" si="4"/>
        <v/>
      </c>
      <c r="H116" s="7" t="str">
        <f t="shared" si="5"/>
        <v/>
      </c>
      <c r="I116" s="7" t="str">
        <f t="shared" si="6"/>
        <v/>
      </c>
      <c r="J116" s="9" t="str">
        <f>IF(OR($I116="",'09_CF_원금'!$B$108=0),"",$I116/'09_CF_원금'!$B$108)</f>
        <v/>
      </c>
      <c r="K116" s="8" t="str">
        <f t="shared" si="7"/>
        <v/>
      </c>
      <c r="L116" s="8" t="str">
        <f t="shared" si="8"/>
        <v/>
      </c>
      <c r="M116" s="7" t="str">
        <f t="shared" si="9"/>
        <v/>
      </c>
      <c r="N116" s="7" t="str">
        <f t="shared" si="10"/>
        <v/>
      </c>
      <c r="O116" s="7" t="str">
        <f t="shared" si="11"/>
        <v/>
      </c>
      <c r="P116" s="10"/>
      <c r="Q116" s="11"/>
      <c r="R116" s="11"/>
      <c r="S116" s="12"/>
      <c r="T116" s="12"/>
      <c r="U116" s="12"/>
      <c r="V116" s="12"/>
      <c r="W116" s="18" t="str">
        <f t="shared" si="17"/>
        <v/>
      </c>
      <c r="X116" s="7" t="str">
        <f t="shared" si="18"/>
        <v/>
      </c>
      <c r="Y116" s="7" t="str">
        <f t="shared" si="19"/>
        <v/>
      </c>
      <c r="Z116" s="7" t="str">
        <f t="shared" si="12"/>
        <v/>
      </c>
      <c r="AA116" s="14">
        <f>SUMIFS('09_CF_원금'!$E$6:$E$92,'09_CF_원금'!$D$6:$D$92,"국장",'09_CF_원금'!$A$6:$A$92,"&lt;="&amp;$A116)-SUMIFS('09_CF_원금'!$E$6:$E$92,'09_CF_원금'!$C$6:$C$92,"국장",'09_CF_원금'!$A$6:$A$92,"&lt;="&amp;$A116)</f>
        <v>200000000</v>
      </c>
      <c r="AB116" s="14">
        <f>SUMIFS('09_CF_원금'!$E$6:$E$92,'09_CF_원금'!$D$6:$D$92,"미장",'09_CF_원금'!$A$6:$A$92,"&lt;="&amp;$A116)-SUMIFS('09_CF_원금'!$E$6:$E$92,'09_CF_원금'!$C$6:$C$92,"미장",'09_CF_원금'!$A$6:$A$92,"&lt;="&amp;$A116)</f>
        <v>100000000</v>
      </c>
      <c r="AC116" s="14">
        <f>SUMIFS('09_CF_원금'!$E$6:$E$92,'09_CF_원금'!$D$6:$D$92,"ISA",'09_CF_원금'!$A$6:$A$92,"&lt;="&amp;$A116)-SUMIFS('09_CF_원금'!$E$6:$E$92,'09_CF_원금'!$C$6:$C$92,"ISA",'09_CF_원금'!$A$6:$A$92,"&lt;="&amp;$A116)</f>
        <v>40000000</v>
      </c>
      <c r="AD116" s="14">
        <f>IF($A116="","",$AA116+$AB116+$AC116+SUMIFS('09_CF_원금'!$E$6:$E$92,'09_CF_원금'!$D$6:$D$92,"중국",'09_CF_원금'!$A$6:$A$92,"&lt;="&amp;$A116)-SUMIFS('09_CF_원금'!$E$6:$E$92,'09_CF_원금'!$C$6:$C$92,"중국",'09_CF_원금'!$A$6:$A$92,"&lt;="&amp;$A116))</f>
        <v>340000000</v>
      </c>
      <c r="AE116" s="14" t="str">
        <f t="shared" si="13"/>
        <v/>
      </c>
      <c r="AF116" s="15"/>
      <c r="AG116" s="14"/>
      <c r="AH116" s="14"/>
      <c r="AI116" s="14"/>
      <c r="AJ116" s="14"/>
      <c r="AK116" s="16">
        <f t="shared" si="14"/>
        <v>202605</v>
      </c>
      <c r="AL116" s="17" t="str">
        <f t="shared" si="15"/>
        <v/>
      </c>
    </row>
    <row r="117" ht="15.75" customHeight="1">
      <c r="A117" s="6">
        <v>46164.0</v>
      </c>
      <c r="B117" s="7" t="str">
        <f t="shared" si="1"/>
        <v/>
      </c>
      <c r="C117" s="7" t="str">
        <f t="shared" si="16"/>
        <v/>
      </c>
      <c r="D117" s="7" t="str">
        <f t="shared" si="2"/>
        <v/>
      </c>
      <c r="E117" s="8" t="str">
        <f t="shared" si="3"/>
        <v/>
      </c>
      <c r="F117" s="8" t="str">
        <f>IF(OR($Y117="",$Y117=0,$G117="",$G117=0),"",($S117-$G117*'03_포지션'!$B$13)/$Y117)</f>
        <v/>
      </c>
      <c r="G117" s="7" t="str">
        <f t="shared" si="4"/>
        <v/>
      </c>
      <c r="H117" s="7" t="str">
        <f t="shared" si="5"/>
        <v/>
      </c>
      <c r="I117" s="7" t="str">
        <f t="shared" si="6"/>
        <v/>
      </c>
      <c r="J117" s="9" t="str">
        <f>IF(OR($I117="",'09_CF_원금'!$B$108=0),"",$I117/'09_CF_원금'!$B$108)</f>
        <v/>
      </c>
      <c r="K117" s="8" t="str">
        <f t="shared" si="7"/>
        <v/>
      </c>
      <c r="L117" s="8" t="str">
        <f t="shared" si="8"/>
        <v/>
      </c>
      <c r="M117" s="7" t="str">
        <f t="shared" si="9"/>
        <v/>
      </c>
      <c r="N117" s="7" t="str">
        <f t="shared" si="10"/>
        <v/>
      </c>
      <c r="O117" s="7" t="str">
        <f t="shared" si="11"/>
        <v/>
      </c>
      <c r="P117" s="10"/>
      <c r="Q117" s="11"/>
      <c r="R117" s="11"/>
      <c r="S117" s="12"/>
      <c r="T117" s="12"/>
      <c r="U117" s="12"/>
      <c r="V117" s="12"/>
      <c r="W117" s="18" t="str">
        <f t="shared" si="17"/>
        <v/>
      </c>
      <c r="X117" s="7" t="str">
        <f t="shared" si="18"/>
        <v/>
      </c>
      <c r="Y117" s="7" t="str">
        <f t="shared" si="19"/>
        <v/>
      </c>
      <c r="Z117" s="7" t="str">
        <f t="shared" si="12"/>
        <v/>
      </c>
      <c r="AA117" s="14">
        <f>SUMIFS('09_CF_원금'!$E$6:$E$92,'09_CF_원금'!$D$6:$D$92,"국장",'09_CF_원금'!$A$6:$A$92,"&lt;="&amp;$A117)-SUMIFS('09_CF_원금'!$E$6:$E$92,'09_CF_원금'!$C$6:$C$92,"국장",'09_CF_원금'!$A$6:$A$92,"&lt;="&amp;$A117)</f>
        <v>200000000</v>
      </c>
      <c r="AB117" s="14">
        <f>SUMIFS('09_CF_원금'!$E$6:$E$92,'09_CF_원금'!$D$6:$D$92,"미장",'09_CF_원금'!$A$6:$A$92,"&lt;="&amp;$A117)-SUMIFS('09_CF_원금'!$E$6:$E$92,'09_CF_원금'!$C$6:$C$92,"미장",'09_CF_원금'!$A$6:$A$92,"&lt;="&amp;$A117)</f>
        <v>100000000</v>
      </c>
      <c r="AC117" s="14">
        <f>SUMIFS('09_CF_원금'!$E$6:$E$92,'09_CF_원금'!$D$6:$D$92,"ISA",'09_CF_원금'!$A$6:$A$92,"&lt;="&amp;$A117)-SUMIFS('09_CF_원금'!$E$6:$E$92,'09_CF_원금'!$C$6:$C$92,"ISA",'09_CF_원금'!$A$6:$A$92,"&lt;="&amp;$A117)</f>
        <v>40000000</v>
      </c>
      <c r="AD117" s="14">
        <f>IF($A117="","",$AA117+$AB117+$AC117+SUMIFS('09_CF_원금'!$E$6:$E$92,'09_CF_원금'!$D$6:$D$92,"중국",'09_CF_원금'!$A$6:$A$92,"&lt;="&amp;$A117)-SUMIFS('09_CF_원금'!$E$6:$E$92,'09_CF_원금'!$C$6:$C$92,"중국",'09_CF_원금'!$A$6:$A$92,"&lt;="&amp;$A117))</f>
        <v>340000000</v>
      </c>
      <c r="AE117" s="14" t="str">
        <f t="shared" si="13"/>
        <v/>
      </c>
      <c r="AF117" s="15"/>
      <c r="AG117" s="14"/>
      <c r="AH117" s="14"/>
      <c r="AI117" s="14"/>
      <c r="AJ117" s="14"/>
      <c r="AK117" s="16">
        <f t="shared" si="14"/>
        <v>202605</v>
      </c>
      <c r="AL117" s="17" t="str">
        <f t="shared" si="15"/>
        <v/>
      </c>
    </row>
    <row r="118" ht="15.75" customHeight="1">
      <c r="A118" s="6">
        <v>46167.0</v>
      </c>
      <c r="B118" s="7" t="str">
        <f t="shared" si="1"/>
        <v/>
      </c>
      <c r="C118" s="7" t="str">
        <f t="shared" si="16"/>
        <v/>
      </c>
      <c r="D118" s="7" t="str">
        <f t="shared" si="2"/>
        <v/>
      </c>
      <c r="E118" s="8" t="str">
        <f t="shared" si="3"/>
        <v/>
      </c>
      <c r="F118" s="8" t="str">
        <f>IF(OR($Y118="",$Y118=0,$G118="",$G118=0),"",($S118-$G118*'03_포지션'!$B$13)/$Y118)</f>
        <v/>
      </c>
      <c r="G118" s="7" t="str">
        <f t="shared" si="4"/>
        <v/>
      </c>
      <c r="H118" s="7" t="str">
        <f t="shared" si="5"/>
        <v/>
      </c>
      <c r="I118" s="7" t="str">
        <f t="shared" si="6"/>
        <v/>
      </c>
      <c r="J118" s="9" t="str">
        <f>IF(OR($I118="",'09_CF_원금'!$B$108=0),"",$I118/'09_CF_원금'!$B$108)</f>
        <v/>
      </c>
      <c r="K118" s="8" t="str">
        <f t="shared" si="7"/>
        <v/>
      </c>
      <c r="L118" s="8" t="str">
        <f t="shared" si="8"/>
        <v/>
      </c>
      <c r="M118" s="7" t="str">
        <f t="shared" si="9"/>
        <v/>
      </c>
      <c r="N118" s="7" t="str">
        <f t="shared" si="10"/>
        <v/>
      </c>
      <c r="O118" s="7" t="str">
        <f t="shared" si="11"/>
        <v/>
      </c>
      <c r="P118" s="10"/>
      <c r="Q118" s="11"/>
      <c r="R118" s="11"/>
      <c r="S118" s="12"/>
      <c r="T118" s="12"/>
      <c r="U118" s="12"/>
      <c r="V118" s="12"/>
      <c r="W118" s="18" t="str">
        <f t="shared" si="17"/>
        <v/>
      </c>
      <c r="X118" s="7" t="str">
        <f t="shared" si="18"/>
        <v/>
      </c>
      <c r="Y118" s="7" t="str">
        <f t="shared" si="19"/>
        <v/>
      </c>
      <c r="Z118" s="7" t="str">
        <f t="shared" si="12"/>
        <v/>
      </c>
      <c r="AA118" s="14">
        <f>SUMIFS('09_CF_원금'!$E$6:$E$92,'09_CF_원금'!$D$6:$D$92,"국장",'09_CF_원금'!$A$6:$A$92,"&lt;="&amp;$A118)-SUMIFS('09_CF_원금'!$E$6:$E$92,'09_CF_원금'!$C$6:$C$92,"국장",'09_CF_원금'!$A$6:$A$92,"&lt;="&amp;$A118)</f>
        <v>200000000</v>
      </c>
      <c r="AB118" s="14">
        <f>SUMIFS('09_CF_원금'!$E$6:$E$92,'09_CF_원금'!$D$6:$D$92,"미장",'09_CF_원금'!$A$6:$A$92,"&lt;="&amp;$A118)-SUMIFS('09_CF_원금'!$E$6:$E$92,'09_CF_원금'!$C$6:$C$92,"미장",'09_CF_원금'!$A$6:$A$92,"&lt;="&amp;$A118)</f>
        <v>100000000</v>
      </c>
      <c r="AC118" s="14">
        <f>SUMIFS('09_CF_원금'!$E$6:$E$92,'09_CF_원금'!$D$6:$D$92,"ISA",'09_CF_원금'!$A$6:$A$92,"&lt;="&amp;$A118)-SUMIFS('09_CF_원금'!$E$6:$E$92,'09_CF_원금'!$C$6:$C$92,"ISA",'09_CF_원금'!$A$6:$A$92,"&lt;="&amp;$A118)</f>
        <v>40000000</v>
      </c>
      <c r="AD118" s="14">
        <f>IF($A118="","",$AA118+$AB118+$AC118+SUMIFS('09_CF_원금'!$E$6:$E$92,'09_CF_원금'!$D$6:$D$92,"중국",'09_CF_원금'!$A$6:$A$92,"&lt;="&amp;$A118)-SUMIFS('09_CF_원금'!$E$6:$E$92,'09_CF_원금'!$C$6:$C$92,"중국",'09_CF_원금'!$A$6:$A$92,"&lt;="&amp;$A118))</f>
        <v>340000000</v>
      </c>
      <c r="AE118" s="14" t="str">
        <f t="shared" si="13"/>
        <v/>
      </c>
      <c r="AF118" s="15"/>
      <c r="AG118" s="14"/>
      <c r="AH118" s="14"/>
      <c r="AI118" s="14"/>
      <c r="AJ118" s="14"/>
      <c r="AK118" s="16">
        <f t="shared" si="14"/>
        <v>202605</v>
      </c>
      <c r="AL118" s="17" t="str">
        <f t="shared" si="15"/>
        <v/>
      </c>
    </row>
    <row r="119" ht="15.75" customHeight="1">
      <c r="A119" s="6">
        <v>46168.0</v>
      </c>
      <c r="B119" s="7" t="str">
        <f t="shared" si="1"/>
        <v/>
      </c>
      <c r="C119" s="7" t="str">
        <f t="shared" si="16"/>
        <v/>
      </c>
      <c r="D119" s="7" t="str">
        <f t="shared" si="2"/>
        <v/>
      </c>
      <c r="E119" s="8" t="str">
        <f t="shared" si="3"/>
        <v/>
      </c>
      <c r="F119" s="8" t="str">
        <f>IF(OR($Y119="",$Y119=0,$G119="",$G119=0),"",($S119-$G119*'03_포지션'!$B$13)/$Y119)</f>
        <v/>
      </c>
      <c r="G119" s="7" t="str">
        <f t="shared" si="4"/>
        <v/>
      </c>
      <c r="H119" s="7" t="str">
        <f t="shared" si="5"/>
        <v/>
      </c>
      <c r="I119" s="7" t="str">
        <f t="shared" si="6"/>
        <v/>
      </c>
      <c r="J119" s="9" t="str">
        <f>IF(OR($I119="",'09_CF_원금'!$B$108=0),"",$I119/'09_CF_원금'!$B$108)</f>
        <v/>
      </c>
      <c r="K119" s="8" t="str">
        <f t="shared" si="7"/>
        <v/>
      </c>
      <c r="L119" s="8" t="str">
        <f t="shared" si="8"/>
        <v/>
      </c>
      <c r="M119" s="7" t="str">
        <f t="shared" si="9"/>
        <v/>
      </c>
      <c r="N119" s="7" t="str">
        <f t="shared" si="10"/>
        <v/>
      </c>
      <c r="O119" s="7" t="str">
        <f t="shared" si="11"/>
        <v/>
      </c>
      <c r="P119" s="10"/>
      <c r="Q119" s="11"/>
      <c r="R119" s="11"/>
      <c r="S119" s="12"/>
      <c r="T119" s="12"/>
      <c r="U119" s="12"/>
      <c r="V119" s="12"/>
      <c r="W119" s="18" t="str">
        <f t="shared" si="17"/>
        <v/>
      </c>
      <c r="X119" s="7" t="str">
        <f t="shared" si="18"/>
        <v/>
      </c>
      <c r="Y119" s="7" t="str">
        <f t="shared" si="19"/>
        <v/>
      </c>
      <c r="Z119" s="7" t="str">
        <f t="shared" si="12"/>
        <v/>
      </c>
      <c r="AA119" s="14">
        <f>SUMIFS('09_CF_원금'!$E$6:$E$92,'09_CF_원금'!$D$6:$D$92,"국장",'09_CF_원금'!$A$6:$A$92,"&lt;="&amp;$A119)-SUMIFS('09_CF_원금'!$E$6:$E$92,'09_CF_원금'!$C$6:$C$92,"국장",'09_CF_원금'!$A$6:$A$92,"&lt;="&amp;$A119)</f>
        <v>200000000</v>
      </c>
      <c r="AB119" s="14">
        <f>SUMIFS('09_CF_원금'!$E$6:$E$92,'09_CF_원금'!$D$6:$D$92,"미장",'09_CF_원금'!$A$6:$A$92,"&lt;="&amp;$A119)-SUMIFS('09_CF_원금'!$E$6:$E$92,'09_CF_원금'!$C$6:$C$92,"미장",'09_CF_원금'!$A$6:$A$92,"&lt;="&amp;$A119)</f>
        <v>100000000</v>
      </c>
      <c r="AC119" s="14">
        <f>SUMIFS('09_CF_원금'!$E$6:$E$92,'09_CF_원금'!$D$6:$D$92,"ISA",'09_CF_원금'!$A$6:$A$92,"&lt;="&amp;$A119)-SUMIFS('09_CF_원금'!$E$6:$E$92,'09_CF_원금'!$C$6:$C$92,"ISA",'09_CF_원금'!$A$6:$A$92,"&lt;="&amp;$A119)</f>
        <v>40000000</v>
      </c>
      <c r="AD119" s="14">
        <f>IF($A119="","",$AA119+$AB119+$AC119+SUMIFS('09_CF_원금'!$E$6:$E$92,'09_CF_원금'!$D$6:$D$92,"중국",'09_CF_원금'!$A$6:$A$92,"&lt;="&amp;$A119)-SUMIFS('09_CF_원금'!$E$6:$E$92,'09_CF_원금'!$C$6:$C$92,"중국",'09_CF_원금'!$A$6:$A$92,"&lt;="&amp;$A119))</f>
        <v>340000000</v>
      </c>
      <c r="AE119" s="14" t="str">
        <f t="shared" si="13"/>
        <v/>
      </c>
      <c r="AF119" s="15"/>
      <c r="AG119" s="14"/>
      <c r="AH119" s="14"/>
      <c r="AI119" s="14"/>
      <c r="AJ119" s="14"/>
      <c r="AK119" s="16">
        <f t="shared" si="14"/>
        <v>202605</v>
      </c>
      <c r="AL119" s="17" t="str">
        <f t="shared" si="15"/>
        <v/>
      </c>
    </row>
    <row r="120" ht="15.75" customHeight="1">
      <c r="A120" s="6">
        <v>46169.0</v>
      </c>
      <c r="B120" s="7" t="str">
        <f t="shared" si="1"/>
        <v/>
      </c>
      <c r="C120" s="7" t="str">
        <f t="shared" si="16"/>
        <v/>
      </c>
      <c r="D120" s="7" t="str">
        <f t="shared" si="2"/>
        <v/>
      </c>
      <c r="E120" s="8" t="str">
        <f t="shared" si="3"/>
        <v/>
      </c>
      <c r="F120" s="8" t="str">
        <f>IF(OR($Y120="",$Y120=0,$G120="",$G120=0),"",($S120-$G120*'03_포지션'!$B$13)/$Y120)</f>
        <v/>
      </c>
      <c r="G120" s="7" t="str">
        <f t="shared" si="4"/>
        <v/>
      </c>
      <c r="H120" s="7" t="str">
        <f t="shared" si="5"/>
        <v/>
      </c>
      <c r="I120" s="7" t="str">
        <f t="shared" si="6"/>
        <v/>
      </c>
      <c r="J120" s="9" t="str">
        <f>IF(OR($I120="",'09_CF_원금'!$B$108=0),"",$I120/'09_CF_원금'!$B$108)</f>
        <v/>
      </c>
      <c r="K120" s="8" t="str">
        <f t="shared" si="7"/>
        <v/>
      </c>
      <c r="L120" s="8" t="str">
        <f t="shared" si="8"/>
        <v/>
      </c>
      <c r="M120" s="7" t="str">
        <f t="shared" si="9"/>
        <v/>
      </c>
      <c r="N120" s="7" t="str">
        <f t="shared" si="10"/>
        <v/>
      </c>
      <c r="O120" s="7" t="str">
        <f t="shared" si="11"/>
        <v/>
      </c>
      <c r="P120" s="10"/>
      <c r="Q120" s="11"/>
      <c r="R120" s="11"/>
      <c r="S120" s="12"/>
      <c r="T120" s="12"/>
      <c r="U120" s="12"/>
      <c r="V120" s="12"/>
      <c r="W120" s="18" t="str">
        <f t="shared" si="17"/>
        <v/>
      </c>
      <c r="X120" s="7" t="str">
        <f t="shared" si="18"/>
        <v/>
      </c>
      <c r="Y120" s="7" t="str">
        <f t="shared" si="19"/>
        <v/>
      </c>
      <c r="Z120" s="7" t="str">
        <f t="shared" si="12"/>
        <v/>
      </c>
      <c r="AA120" s="14">
        <f>SUMIFS('09_CF_원금'!$E$6:$E$92,'09_CF_원금'!$D$6:$D$92,"국장",'09_CF_원금'!$A$6:$A$92,"&lt;="&amp;$A120)-SUMIFS('09_CF_원금'!$E$6:$E$92,'09_CF_원금'!$C$6:$C$92,"국장",'09_CF_원금'!$A$6:$A$92,"&lt;="&amp;$A120)</f>
        <v>200000000</v>
      </c>
      <c r="AB120" s="14">
        <f>SUMIFS('09_CF_원금'!$E$6:$E$92,'09_CF_원금'!$D$6:$D$92,"미장",'09_CF_원금'!$A$6:$A$92,"&lt;="&amp;$A120)-SUMIFS('09_CF_원금'!$E$6:$E$92,'09_CF_원금'!$C$6:$C$92,"미장",'09_CF_원금'!$A$6:$A$92,"&lt;="&amp;$A120)</f>
        <v>100000000</v>
      </c>
      <c r="AC120" s="14">
        <f>SUMIFS('09_CF_원금'!$E$6:$E$92,'09_CF_원금'!$D$6:$D$92,"ISA",'09_CF_원금'!$A$6:$A$92,"&lt;="&amp;$A120)-SUMIFS('09_CF_원금'!$E$6:$E$92,'09_CF_원금'!$C$6:$C$92,"ISA",'09_CF_원금'!$A$6:$A$92,"&lt;="&amp;$A120)</f>
        <v>40000000</v>
      </c>
      <c r="AD120" s="14">
        <f>IF($A120="","",$AA120+$AB120+$AC120+SUMIFS('09_CF_원금'!$E$6:$E$92,'09_CF_원금'!$D$6:$D$92,"중국",'09_CF_원금'!$A$6:$A$92,"&lt;="&amp;$A120)-SUMIFS('09_CF_원금'!$E$6:$E$92,'09_CF_원금'!$C$6:$C$92,"중국",'09_CF_원금'!$A$6:$A$92,"&lt;="&amp;$A120))</f>
        <v>340000000</v>
      </c>
      <c r="AE120" s="14" t="str">
        <f t="shared" si="13"/>
        <v/>
      </c>
      <c r="AF120" s="15"/>
      <c r="AG120" s="14"/>
      <c r="AH120" s="14"/>
      <c r="AI120" s="14"/>
      <c r="AJ120" s="14"/>
      <c r="AK120" s="16">
        <f t="shared" si="14"/>
        <v>202605</v>
      </c>
      <c r="AL120" s="17" t="str">
        <f t="shared" si="15"/>
        <v/>
      </c>
    </row>
    <row r="121" ht="15.75" customHeight="1">
      <c r="A121" s="6">
        <v>46170.0</v>
      </c>
      <c r="B121" s="7" t="str">
        <f t="shared" si="1"/>
        <v/>
      </c>
      <c r="C121" s="7" t="str">
        <f t="shared" si="16"/>
        <v/>
      </c>
      <c r="D121" s="7" t="str">
        <f t="shared" si="2"/>
        <v/>
      </c>
      <c r="E121" s="8" t="str">
        <f t="shared" si="3"/>
        <v/>
      </c>
      <c r="F121" s="8" t="str">
        <f>IF(OR($Y121="",$Y121=0,$G121="",$G121=0),"",($S121-$G121*'03_포지션'!$B$13)/$Y121)</f>
        <v/>
      </c>
      <c r="G121" s="7" t="str">
        <f t="shared" si="4"/>
        <v/>
      </c>
      <c r="H121" s="7" t="str">
        <f t="shared" si="5"/>
        <v/>
      </c>
      <c r="I121" s="7" t="str">
        <f t="shared" si="6"/>
        <v/>
      </c>
      <c r="J121" s="9" t="str">
        <f>IF(OR($I121="",'09_CF_원금'!$B$108=0),"",$I121/'09_CF_원금'!$B$108)</f>
        <v/>
      </c>
      <c r="K121" s="8" t="str">
        <f t="shared" si="7"/>
        <v/>
      </c>
      <c r="L121" s="8" t="str">
        <f t="shared" si="8"/>
        <v/>
      </c>
      <c r="M121" s="7" t="str">
        <f t="shared" si="9"/>
        <v/>
      </c>
      <c r="N121" s="7" t="str">
        <f t="shared" si="10"/>
        <v/>
      </c>
      <c r="O121" s="7" t="str">
        <f t="shared" si="11"/>
        <v/>
      </c>
      <c r="P121" s="10"/>
      <c r="Q121" s="11"/>
      <c r="R121" s="11"/>
      <c r="S121" s="12"/>
      <c r="T121" s="12"/>
      <c r="U121" s="12"/>
      <c r="V121" s="12"/>
      <c r="W121" s="18" t="str">
        <f t="shared" si="17"/>
        <v/>
      </c>
      <c r="X121" s="7" t="str">
        <f t="shared" si="18"/>
        <v/>
      </c>
      <c r="Y121" s="7" t="str">
        <f t="shared" si="19"/>
        <v/>
      </c>
      <c r="Z121" s="7" t="str">
        <f t="shared" si="12"/>
        <v/>
      </c>
      <c r="AA121" s="14">
        <f>SUMIFS('09_CF_원금'!$E$6:$E$92,'09_CF_원금'!$D$6:$D$92,"국장",'09_CF_원금'!$A$6:$A$92,"&lt;="&amp;$A121)-SUMIFS('09_CF_원금'!$E$6:$E$92,'09_CF_원금'!$C$6:$C$92,"국장",'09_CF_원금'!$A$6:$A$92,"&lt;="&amp;$A121)</f>
        <v>200000000</v>
      </c>
      <c r="AB121" s="14">
        <f>SUMIFS('09_CF_원금'!$E$6:$E$92,'09_CF_원금'!$D$6:$D$92,"미장",'09_CF_원금'!$A$6:$A$92,"&lt;="&amp;$A121)-SUMIFS('09_CF_원금'!$E$6:$E$92,'09_CF_원금'!$C$6:$C$92,"미장",'09_CF_원금'!$A$6:$A$92,"&lt;="&amp;$A121)</f>
        <v>100000000</v>
      </c>
      <c r="AC121" s="14">
        <f>SUMIFS('09_CF_원금'!$E$6:$E$92,'09_CF_원금'!$D$6:$D$92,"ISA",'09_CF_원금'!$A$6:$A$92,"&lt;="&amp;$A121)-SUMIFS('09_CF_원금'!$E$6:$E$92,'09_CF_원금'!$C$6:$C$92,"ISA",'09_CF_원금'!$A$6:$A$92,"&lt;="&amp;$A121)</f>
        <v>40000000</v>
      </c>
      <c r="AD121" s="14">
        <f>IF($A121="","",$AA121+$AB121+$AC121+SUMIFS('09_CF_원금'!$E$6:$E$92,'09_CF_원금'!$D$6:$D$92,"중국",'09_CF_원금'!$A$6:$A$92,"&lt;="&amp;$A121)-SUMIFS('09_CF_원금'!$E$6:$E$92,'09_CF_원금'!$C$6:$C$92,"중국",'09_CF_원금'!$A$6:$A$92,"&lt;="&amp;$A121))</f>
        <v>340000000</v>
      </c>
      <c r="AE121" s="14" t="str">
        <f t="shared" si="13"/>
        <v/>
      </c>
      <c r="AF121" s="15"/>
      <c r="AG121" s="14"/>
      <c r="AH121" s="14"/>
      <c r="AI121" s="14"/>
      <c r="AJ121" s="14"/>
      <c r="AK121" s="16">
        <f t="shared" si="14"/>
        <v>202605</v>
      </c>
      <c r="AL121" s="17" t="str">
        <f t="shared" si="15"/>
        <v/>
      </c>
    </row>
    <row r="122" ht="15.75" customHeight="1">
      <c r="A122" s="6">
        <v>46171.0</v>
      </c>
      <c r="B122" s="7" t="str">
        <f t="shared" si="1"/>
        <v/>
      </c>
      <c r="C122" s="7" t="str">
        <f t="shared" si="16"/>
        <v/>
      </c>
      <c r="D122" s="7" t="str">
        <f t="shared" si="2"/>
        <v/>
      </c>
      <c r="E122" s="8" t="str">
        <f t="shared" si="3"/>
        <v/>
      </c>
      <c r="F122" s="8" t="str">
        <f>IF(OR($Y122="",$Y122=0,$G122="",$G122=0),"",($S122-$G122*'03_포지션'!$B$13)/$Y122)</f>
        <v/>
      </c>
      <c r="G122" s="7" t="str">
        <f t="shared" si="4"/>
        <v/>
      </c>
      <c r="H122" s="7" t="str">
        <f t="shared" si="5"/>
        <v/>
      </c>
      <c r="I122" s="7" t="str">
        <f t="shared" si="6"/>
        <v/>
      </c>
      <c r="J122" s="9" t="str">
        <f>IF(OR($I122="",'09_CF_원금'!$B$108=0),"",$I122/'09_CF_원금'!$B$108)</f>
        <v/>
      </c>
      <c r="K122" s="8" t="str">
        <f t="shared" si="7"/>
        <v/>
      </c>
      <c r="L122" s="8" t="str">
        <f t="shared" si="8"/>
        <v/>
      </c>
      <c r="M122" s="7" t="str">
        <f t="shared" si="9"/>
        <v/>
      </c>
      <c r="N122" s="7" t="str">
        <f t="shared" si="10"/>
        <v/>
      </c>
      <c r="O122" s="7" t="str">
        <f t="shared" si="11"/>
        <v/>
      </c>
      <c r="P122" s="10"/>
      <c r="Q122" s="11"/>
      <c r="R122" s="11"/>
      <c r="S122" s="12"/>
      <c r="T122" s="12"/>
      <c r="U122" s="12"/>
      <c r="V122" s="12"/>
      <c r="W122" s="18" t="str">
        <f t="shared" si="17"/>
        <v/>
      </c>
      <c r="X122" s="7" t="str">
        <f t="shared" si="18"/>
        <v/>
      </c>
      <c r="Y122" s="7" t="str">
        <f t="shared" si="19"/>
        <v/>
      </c>
      <c r="Z122" s="7" t="str">
        <f t="shared" si="12"/>
        <v/>
      </c>
      <c r="AA122" s="14">
        <f>SUMIFS('09_CF_원금'!$E$6:$E$92,'09_CF_원금'!$D$6:$D$92,"국장",'09_CF_원금'!$A$6:$A$92,"&lt;="&amp;$A122)-SUMIFS('09_CF_원금'!$E$6:$E$92,'09_CF_원금'!$C$6:$C$92,"국장",'09_CF_원금'!$A$6:$A$92,"&lt;="&amp;$A122)</f>
        <v>200000000</v>
      </c>
      <c r="AB122" s="14">
        <f>SUMIFS('09_CF_원금'!$E$6:$E$92,'09_CF_원금'!$D$6:$D$92,"미장",'09_CF_원금'!$A$6:$A$92,"&lt;="&amp;$A122)-SUMIFS('09_CF_원금'!$E$6:$E$92,'09_CF_원금'!$C$6:$C$92,"미장",'09_CF_원금'!$A$6:$A$92,"&lt;="&amp;$A122)</f>
        <v>100000000</v>
      </c>
      <c r="AC122" s="14">
        <f>SUMIFS('09_CF_원금'!$E$6:$E$92,'09_CF_원금'!$D$6:$D$92,"ISA",'09_CF_원금'!$A$6:$A$92,"&lt;="&amp;$A122)-SUMIFS('09_CF_원금'!$E$6:$E$92,'09_CF_원금'!$C$6:$C$92,"ISA",'09_CF_원금'!$A$6:$A$92,"&lt;="&amp;$A122)</f>
        <v>40000000</v>
      </c>
      <c r="AD122" s="14">
        <f>IF($A122="","",$AA122+$AB122+$AC122+SUMIFS('09_CF_원금'!$E$6:$E$92,'09_CF_원금'!$D$6:$D$92,"중국",'09_CF_원금'!$A$6:$A$92,"&lt;="&amp;$A122)-SUMIFS('09_CF_원금'!$E$6:$E$92,'09_CF_원금'!$C$6:$C$92,"중국",'09_CF_원금'!$A$6:$A$92,"&lt;="&amp;$A122))</f>
        <v>340000000</v>
      </c>
      <c r="AE122" s="14" t="str">
        <f t="shared" si="13"/>
        <v/>
      </c>
      <c r="AF122" s="15"/>
      <c r="AG122" s="14"/>
      <c r="AH122" s="14"/>
      <c r="AI122" s="14"/>
      <c r="AJ122" s="14"/>
      <c r="AK122" s="16">
        <f t="shared" si="14"/>
        <v>202605</v>
      </c>
      <c r="AL122" s="17" t="str">
        <f t="shared" si="15"/>
        <v/>
      </c>
    </row>
    <row r="123" ht="15.75" customHeight="1">
      <c r="A123" s="6">
        <v>46174.0</v>
      </c>
      <c r="B123" s="7">
        <f t="shared" si="1"/>
        <v>809140626</v>
      </c>
      <c r="C123" s="7" t="str">
        <f t="shared" si="16"/>
        <v/>
      </c>
      <c r="D123" s="7">
        <f t="shared" si="2"/>
        <v>469140626</v>
      </c>
      <c r="E123" s="8">
        <f t="shared" si="3"/>
        <v>0</v>
      </c>
      <c r="F123" s="8" t="str">
        <f>IF(OR($Y123="",$Y123=0,$G123="",$G123=0),"",($S123-$G123*'03_포지션'!$B$13)/$Y123)</f>
        <v/>
      </c>
      <c r="G123" s="7">
        <f t="shared" si="4"/>
        <v>275834874</v>
      </c>
      <c r="H123" s="7" t="str">
        <f t="shared" si="5"/>
        <v/>
      </c>
      <c r="I123" s="7" t="str">
        <f t="shared" si="6"/>
        <v/>
      </c>
      <c r="J123" s="9" t="str">
        <f>IF(OR($I123="",'09_CF_원금'!$B$108=0),"",$I123/'09_CF_원금'!$B$108)</f>
        <v/>
      </c>
      <c r="K123" s="8" t="str">
        <f t="shared" si="7"/>
        <v/>
      </c>
      <c r="L123" s="8" t="str">
        <f t="shared" si="8"/>
        <v/>
      </c>
      <c r="M123" s="7">
        <f t="shared" si="9"/>
        <v>609140626</v>
      </c>
      <c r="N123" s="7" t="str">
        <f t="shared" si="10"/>
        <v/>
      </c>
      <c r="O123" s="7" t="str">
        <f t="shared" si="11"/>
        <v/>
      </c>
      <c r="P123" s="10"/>
      <c r="Q123" s="11"/>
      <c r="R123" s="11"/>
      <c r="S123" s="12">
        <v>1.0849755E9</v>
      </c>
      <c r="T123" s="12">
        <v>8.09140626E8</v>
      </c>
      <c r="U123" s="12"/>
      <c r="V123" s="12"/>
      <c r="W123" s="18" t="str">
        <f t="shared" si="17"/>
        <v/>
      </c>
      <c r="X123" s="7" t="str">
        <f t="shared" si="18"/>
        <v/>
      </c>
      <c r="Y123" s="7" t="str">
        <f t="shared" si="19"/>
        <v/>
      </c>
      <c r="Z123" s="7">
        <f t="shared" si="12"/>
        <v>1084975500</v>
      </c>
      <c r="AA123" s="14">
        <f>SUMIFS('09_CF_원금'!$E$6:$E$92,'09_CF_원금'!$D$6:$D$92,"국장",'09_CF_원금'!$A$6:$A$92,"&lt;="&amp;$A123)-SUMIFS('09_CF_원금'!$E$6:$E$92,'09_CF_원금'!$C$6:$C$92,"국장",'09_CF_원금'!$A$6:$A$92,"&lt;="&amp;$A123)</f>
        <v>200000000</v>
      </c>
      <c r="AB123" s="14">
        <f>SUMIFS('09_CF_원금'!$E$6:$E$92,'09_CF_원금'!$D$6:$D$92,"미장",'09_CF_원금'!$A$6:$A$92,"&lt;="&amp;$A123)-SUMIFS('09_CF_원금'!$E$6:$E$92,'09_CF_원금'!$C$6:$C$92,"미장",'09_CF_원금'!$A$6:$A$92,"&lt;="&amp;$A123)</f>
        <v>100000000</v>
      </c>
      <c r="AC123" s="14">
        <f>SUMIFS('09_CF_원금'!$E$6:$E$92,'09_CF_원금'!$D$6:$D$92,"ISA",'09_CF_원금'!$A$6:$A$92,"&lt;="&amp;$A123)-SUMIFS('09_CF_원금'!$E$6:$E$92,'09_CF_원금'!$C$6:$C$92,"ISA",'09_CF_원금'!$A$6:$A$92,"&lt;="&amp;$A123)</f>
        <v>40000000</v>
      </c>
      <c r="AD123" s="14">
        <f>IF($A123="","",$AA123+$AB123+$AC123+SUMIFS('09_CF_원금'!$E$6:$E$92,'09_CF_원금'!$D$6:$D$92,"중국",'09_CF_원금'!$A$6:$A$92,"&lt;="&amp;$A123)-SUMIFS('09_CF_원금'!$E$6:$E$92,'09_CF_원금'!$C$6:$C$92,"중국",'09_CF_원금'!$A$6:$A$92,"&lt;="&amp;$A123))</f>
        <v>340000000</v>
      </c>
      <c r="AE123" s="14">
        <f t="shared" si="13"/>
        <v>809140626</v>
      </c>
      <c r="AF123" s="15"/>
      <c r="AG123" s="14"/>
      <c r="AH123" s="14"/>
      <c r="AI123" s="14"/>
      <c r="AJ123" s="14"/>
      <c r="AK123" s="16">
        <f t="shared" si="14"/>
        <v>202606</v>
      </c>
      <c r="AL123" s="17" t="str">
        <f t="shared" si="15"/>
        <v/>
      </c>
    </row>
    <row r="124" ht="15.75" customHeight="1">
      <c r="A124" s="6">
        <v>46175.0</v>
      </c>
      <c r="B124" s="7">
        <f t="shared" si="1"/>
        <v>827126651</v>
      </c>
      <c r="C124" s="7" t="str">
        <f t="shared" si="16"/>
        <v/>
      </c>
      <c r="D124" s="7">
        <f t="shared" si="2"/>
        <v>487126651</v>
      </c>
      <c r="E124" s="8">
        <f t="shared" si="3"/>
        <v>0</v>
      </c>
      <c r="F124" s="8" t="str">
        <f>IF(OR($Y124="",$Y124=0,$G124="",$G124=0),"",($S124-$G124*'03_포지션'!$B$13)/$Y124)</f>
        <v/>
      </c>
      <c r="G124" s="7">
        <f t="shared" si="4"/>
        <v>324041349</v>
      </c>
      <c r="H124" s="7" t="str">
        <f t="shared" si="5"/>
        <v/>
      </c>
      <c r="I124" s="7" t="str">
        <f t="shared" si="6"/>
        <v/>
      </c>
      <c r="J124" s="9" t="str">
        <f>IF(OR($I124="",'09_CF_원금'!$B$108=0),"",$I124/'09_CF_원금'!$B$108)</f>
        <v/>
      </c>
      <c r="K124" s="8" t="str">
        <f t="shared" si="7"/>
        <v/>
      </c>
      <c r="L124" s="8" t="str">
        <f t="shared" si="8"/>
        <v/>
      </c>
      <c r="M124" s="7">
        <f t="shared" si="9"/>
        <v>627126651</v>
      </c>
      <c r="N124" s="7" t="str">
        <f t="shared" si="10"/>
        <v/>
      </c>
      <c r="O124" s="7" t="str">
        <f t="shared" si="11"/>
        <v/>
      </c>
      <c r="P124" s="10"/>
      <c r="Q124" s="11"/>
      <c r="R124" s="11"/>
      <c r="S124" s="12">
        <v>1.151168E9</v>
      </c>
      <c r="T124" s="12">
        <v>8.27126651E8</v>
      </c>
      <c r="U124" s="12"/>
      <c r="V124" s="12"/>
      <c r="W124" s="18" t="str">
        <f t="shared" si="17"/>
        <v/>
      </c>
      <c r="X124" s="7" t="str">
        <f t="shared" si="18"/>
        <v/>
      </c>
      <c r="Y124" s="7" t="str">
        <f t="shared" si="19"/>
        <v/>
      </c>
      <c r="Z124" s="7">
        <f t="shared" si="12"/>
        <v>1151168000</v>
      </c>
      <c r="AA124" s="14">
        <f>SUMIFS('09_CF_원금'!$E$6:$E$92,'09_CF_원금'!$D$6:$D$92,"국장",'09_CF_원금'!$A$6:$A$92,"&lt;="&amp;$A124)-SUMIFS('09_CF_원금'!$E$6:$E$92,'09_CF_원금'!$C$6:$C$92,"국장",'09_CF_원금'!$A$6:$A$92,"&lt;="&amp;$A124)</f>
        <v>200000000</v>
      </c>
      <c r="AB124" s="14">
        <f>SUMIFS('09_CF_원금'!$E$6:$E$92,'09_CF_원금'!$D$6:$D$92,"미장",'09_CF_원금'!$A$6:$A$92,"&lt;="&amp;$A124)-SUMIFS('09_CF_원금'!$E$6:$E$92,'09_CF_원금'!$C$6:$C$92,"미장",'09_CF_원금'!$A$6:$A$92,"&lt;="&amp;$A124)</f>
        <v>100000000</v>
      </c>
      <c r="AC124" s="14">
        <f>SUMIFS('09_CF_원금'!$E$6:$E$92,'09_CF_원금'!$D$6:$D$92,"ISA",'09_CF_원금'!$A$6:$A$92,"&lt;="&amp;$A124)-SUMIFS('09_CF_원금'!$E$6:$E$92,'09_CF_원금'!$C$6:$C$92,"ISA",'09_CF_원금'!$A$6:$A$92,"&lt;="&amp;$A124)</f>
        <v>40000000</v>
      </c>
      <c r="AD124" s="14">
        <f>IF($A124="","",$AA124+$AB124+$AC124+SUMIFS('09_CF_원금'!$E$6:$E$92,'09_CF_원금'!$D$6:$D$92,"중국",'09_CF_원금'!$A$6:$A$92,"&lt;="&amp;$A124)-SUMIFS('09_CF_원금'!$E$6:$E$92,'09_CF_원금'!$C$6:$C$92,"중국",'09_CF_원금'!$A$6:$A$92,"&lt;="&amp;$A124))</f>
        <v>340000000</v>
      </c>
      <c r="AE124" s="14">
        <f t="shared" si="13"/>
        <v>827126651</v>
      </c>
      <c r="AF124" s="15"/>
      <c r="AG124" s="14"/>
      <c r="AH124" s="14"/>
      <c r="AI124" s="14"/>
      <c r="AJ124" s="14"/>
      <c r="AK124" s="16">
        <f t="shared" si="14"/>
        <v>202606</v>
      </c>
      <c r="AL124" s="17" t="str">
        <f t="shared" si="15"/>
        <v/>
      </c>
    </row>
    <row r="125" ht="15.75" customHeight="1">
      <c r="A125" s="6">
        <v>46176.0</v>
      </c>
      <c r="B125" s="7">
        <f t="shared" si="1"/>
        <v>827126651</v>
      </c>
      <c r="C125" s="7" t="str">
        <f t="shared" si="16"/>
        <v/>
      </c>
      <c r="D125" s="7">
        <f t="shared" si="2"/>
        <v>487126651</v>
      </c>
      <c r="E125" s="8">
        <f t="shared" si="3"/>
        <v>0</v>
      </c>
      <c r="F125" s="8" t="str">
        <f>IF(OR($Y125="",$Y125=0,$G125="",$G125=0),"",($S125-$G125*'03_포지션'!$B$13)/$Y125)</f>
        <v/>
      </c>
      <c r="G125" s="7">
        <f t="shared" si="4"/>
        <v>324041349</v>
      </c>
      <c r="H125" s="7" t="str">
        <f t="shared" si="5"/>
        <v/>
      </c>
      <c r="I125" s="7" t="str">
        <f t="shared" si="6"/>
        <v/>
      </c>
      <c r="J125" s="9" t="str">
        <f>IF(OR($I125="",'09_CF_원금'!$B$108=0),"",$I125/'09_CF_원금'!$B$108)</f>
        <v/>
      </c>
      <c r="K125" s="8" t="str">
        <f t="shared" si="7"/>
        <v/>
      </c>
      <c r="L125" s="8" t="str">
        <f t="shared" si="8"/>
        <v/>
      </c>
      <c r="M125" s="7">
        <f t="shared" si="9"/>
        <v>627126651</v>
      </c>
      <c r="N125" s="7" t="str">
        <f t="shared" si="10"/>
        <v/>
      </c>
      <c r="O125" s="7" t="str">
        <f t="shared" si="11"/>
        <v/>
      </c>
      <c r="P125" s="10"/>
      <c r="Q125" s="11"/>
      <c r="R125" s="11"/>
      <c r="S125" s="12">
        <v>1.151168E9</v>
      </c>
      <c r="T125" s="12">
        <v>8.27126651E8</v>
      </c>
      <c r="U125" s="12"/>
      <c r="V125" s="12"/>
      <c r="W125" s="18" t="str">
        <f t="shared" si="17"/>
        <v/>
      </c>
      <c r="X125" s="7" t="str">
        <f t="shared" si="18"/>
        <v/>
      </c>
      <c r="Y125" s="7" t="str">
        <f t="shared" si="19"/>
        <v/>
      </c>
      <c r="Z125" s="7">
        <f t="shared" si="12"/>
        <v>1151168000</v>
      </c>
      <c r="AA125" s="14">
        <f>SUMIFS('09_CF_원금'!$E$6:$E$92,'09_CF_원금'!$D$6:$D$92,"국장",'09_CF_원금'!$A$6:$A$92,"&lt;="&amp;$A125)-SUMIFS('09_CF_원금'!$E$6:$E$92,'09_CF_원금'!$C$6:$C$92,"국장",'09_CF_원금'!$A$6:$A$92,"&lt;="&amp;$A125)</f>
        <v>200000000</v>
      </c>
      <c r="AB125" s="14">
        <f>SUMIFS('09_CF_원금'!$E$6:$E$92,'09_CF_원금'!$D$6:$D$92,"미장",'09_CF_원금'!$A$6:$A$92,"&lt;="&amp;$A125)-SUMIFS('09_CF_원금'!$E$6:$E$92,'09_CF_원금'!$C$6:$C$92,"미장",'09_CF_원금'!$A$6:$A$92,"&lt;="&amp;$A125)</f>
        <v>100000000</v>
      </c>
      <c r="AC125" s="14">
        <f>SUMIFS('09_CF_원금'!$E$6:$E$92,'09_CF_원금'!$D$6:$D$92,"ISA",'09_CF_원금'!$A$6:$A$92,"&lt;="&amp;$A125)-SUMIFS('09_CF_원금'!$E$6:$E$92,'09_CF_원금'!$C$6:$C$92,"ISA",'09_CF_원금'!$A$6:$A$92,"&lt;="&amp;$A125)</f>
        <v>40000000</v>
      </c>
      <c r="AD125" s="14">
        <f>IF($A125="","",$AA125+$AB125+$AC125+SUMIFS('09_CF_원금'!$E$6:$E$92,'09_CF_원금'!$D$6:$D$92,"중국",'09_CF_원금'!$A$6:$A$92,"&lt;="&amp;$A125)-SUMIFS('09_CF_원금'!$E$6:$E$92,'09_CF_원금'!$C$6:$C$92,"중국",'09_CF_원금'!$A$6:$A$92,"&lt;="&amp;$A125))</f>
        <v>340000000</v>
      </c>
      <c r="AE125" s="14">
        <f t="shared" si="13"/>
        <v>827126651</v>
      </c>
      <c r="AF125" s="15"/>
      <c r="AG125" s="14"/>
      <c r="AH125" s="14"/>
      <c r="AI125" s="14"/>
      <c r="AJ125" s="14"/>
      <c r="AK125" s="16">
        <f t="shared" si="14"/>
        <v>202606</v>
      </c>
      <c r="AL125" s="17" t="str">
        <f t="shared" si="15"/>
        <v/>
      </c>
    </row>
    <row r="126" ht="15.75" customHeight="1">
      <c r="A126" s="6">
        <v>46177.0</v>
      </c>
      <c r="B126" s="7">
        <f t="shared" si="1"/>
        <v>786958358</v>
      </c>
      <c r="C126" s="7" t="str">
        <f t="shared" si="16"/>
        <v/>
      </c>
      <c r="D126" s="7">
        <f t="shared" si="2"/>
        <v>446958358</v>
      </c>
      <c r="E126" s="8">
        <f t="shared" si="3"/>
        <v>-0.04856365461</v>
      </c>
      <c r="F126" s="8" t="str">
        <f>IF(OR($Y126="",$Y126=0,$G126="",$G126=0),"",($S126-$G126*'03_포지션'!$B$13)/$Y126)</f>
        <v/>
      </c>
      <c r="G126" s="7">
        <f t="shared" si="4"/>
        <v>421918627</v>
      </c>
      <c r="H126" s="7" t="str">
        <f t="shared" si="5"/>
        <v/>
      </c>
      <c r="I126" s="7" t="str">
        <f t="shared" si="6"/>
        <v/>
      </c>
      <c r="J126" s="9" t="str">
        <f>IF(OR($I126="",'09_CF_원금'!$B$108=0),"",$I126/'09_CF_원금'!$B$108)</f>
        <v/>
      </c>
      <c r="K126" s="8" t="str">
        <f t="shared" si="7"/>
        <v/>
      </c>
      <c r="L126" s="8" t="str">
        <f t="shared" si="8"/>
        <v/>
      </c>
      <c r="M126" s="7">
        <f t="shared" si="9"/>
        <v>586958358</v>
      </c>
      <c r="N126" s="7" t="str">
        <f t="shared" si="10"/>
        <v/>
      </c>
      <c r="O126" s="7" t="str">
        <f t="shared" si="11"/>
        <v/>
      </c>
      <c r="P126" s="10"/>
      <c r="Q126" s="11"/>
      <c r="R126" s="11"/>
      <c r="S126" s="12">
        <v>1.208876985E9</v>
      </c>
      <c r="T126" s="12">
        <v>7.86958358E8</v>
      </c>
      <c r="U126" s="12"/>
      <c r="V126" s="12"/>
      <c r="W126" s="18" t="str">
        <f t="shared" si="17"/>
        <v/>
      </c>
      <c r="X126" s="7" t="str">
        <f t="shared" si="18"/>
        <v/>
      </c>
      <c r="Y126" s="7" t="str">
        <f t="shared" si="19"/>
        <v/>
      </c>
      <c r="Z126" s="7">
        <f t="shared" si="12"/>
        <v>1208876985</v>
      </c>
      <c r="AA126" s="14">
        <f>SUMIFS('09_CF_원금'!$E$6:$E$92,'09_CF_원금'!$D$6:$D$92,"국장",'09_CF_원금'!$A$6:$A$92,"&lt;="&amp;$A126)-SUMIFS('09_CF_원금'!$E$6:$E$92,'09_CF_원금'!$C$6:$C$92,"국장",'09_CF_원금'!$A$6:$A$92,"&lt;="&amp;$A126)</f>
        <v>200000000</v>
      </c>
      <c r="AB126" s="14">
        <f>SUMIFS('09_CF_원금'!$E$6:$E$92,'09_CF_원금'!$D$6:$D$92,"미장",'09_CF_원금'!$A$6:$A$92,"&lt;="&amp;$A126)-SUMIFS('09_CF_원금'!$E$6:$E$92,'09_CF_원금'!$C$6:$C$92,"미장",'09_CF_원금'!$A$6:$A$92,"&lt;="&amp;$A126)</f>
        <v>100000000</v>
      </c>
      <c r="AC126" s="14">
        <f>SUMIFS('09_CF_원금'!$E$6:$E$92,'09_CF_원금'!$D$6:$D$92,"ISA",'09_CF_원금'!$A$6:$A$92,"&lt;="&amp;$A126)-SUMIFS('09_CF_원금'!$E$6:$E$92,'09_CF_원금'!$C$6:$C$92,"ISA",'09_CF_원금'!$A$6:$A$92,"&lt;="&amp;$A126)</f>
        <v>40000000</v>
      </c>
      <c r="AD126" s="14">
        <f>IF($A126="","",$AA126+$AB126+$AC126+SUMIFS('09_CF_원금'!$E$6:$E$92,'09_CF_원금'!$D$6:$D$92,"중국",'09_CF_원금'!$A$6:$A$92,"&lt;="&amp;$A126)-SUMIFS('09_CF_원금'!$E$6:$E$92,'09_CF_원금'!$C$6:$C$92,"중국",'09_CF_원금'!$A$6:$A$92,"&lt;="&amp;$A126))</f>
        <v>340000000</v>
      </c>
      <c r="AE126" s="14">
        <f t="shared" si="13"/>
        <v>827126651</v>
      </c>
      <c r="AF126" s="15"/>
      <c r="AG126" s="14"/>
      <c r="AH126" s="14"/>
      <c r="AI126" s="14"/>
      <c r="AJ126" s="14"/>
      <c r="AK126" s="16">
        <f t="shared" si="14"/>
        <v>202606</v>
      </c>
      <c r="AL126" s="17" t="str">
        <f t="shared" si="15"/>
        <v/>
      </c>
    </row>
    <row r="127" ht="15.75" customHeight="1">
      <c r="A127" s="6">
        <v>46178.0</v>
      </c>
      <c r="B127" s="7">
        <f t="shared" si="1"/>
        <v>685415234</v>
      </c>
      <c r="C127" s="7" t="str">
        <f t="shared" si="16"/>
        <v/>
      </c>
      <c r="D127" s="7">
        <f t="shared" si="2"/>
        <v>345415234</v>
      </c>
      <c r="E127" s="8">
        <f t="shared" si="3"/>
        <v>-0.1713297677</v>
      </c>
      <c r="F127" s="8" t="str">
        <f>IF(OR($Y127="",$Y127=0,$G127="",$G127=0),"",($S127-$G127*'03_포지션'!$B$13)/$Y127)</f>
        <v/>
      </c>
      <c r="G127" s="7">
        <f t="shared" si="4"/>
        <v>323154766</v>
      </c>
      <c r="H127" s="7" t="str">
        <f t="shared" si="5"/>
        <v/>
      </c>
      <c r="I127" s="7" t="str">
        <f t="shared" si="6"/>
        <v/>
      </c>
      <c r="J127" s="9" t="str">
        <f>IF(OR($I127="",'09_CF_원금'!$B$108=0),"",$I127/'09_CF_원금'!$B$108)</f>
        <v/>
      </c>
      <c r="K127" s="8" t="str">
        <f t="shared" si="7"/>
        <v/>
      </c>
      <c r="L127" s="8" t="str">
        <f t="shared" si="8"/>
        <v/>
      </c>
      <c r="M127" s="7">
        <f t="shared" si="9"/>
        <v>485415234</v>
      </c>
      <c r="N127" s="7" t="str">
        <f t="shared" si="10"/>
        <v/>
      </c>
      <c r="O127" s="7" t="str">
        <f t="shared" si="11"/>
        <v/>
      </c>
      <c r="P127" s="10"/>
      <c r="Q127" s="11"/>
      <c r="R127" s="11"/>
      <c r="S127" s="12">
        <v>1.00857E9</v>
      </c>
      <c r="T127" s="12">
        <v>6.85415234E8</v>
      </c>
      <c r="U127" s="12"/>
      <c r="V127" s="12"/>
      <c r="W127" s="18" t="str">
        <f t="shared" si="17"/>
        <v/>
      </c>
      <c r="X127" s="7" t="str">
        <f t="shared" si="18"/>
        <v/>
      </c>
      <c r="Y127" s="7" t="str">
        <f t="shared" si="19"/>
        <v/>
      </c>
      <c r="Z127" s="7">
        <f t="shared" si="12"/>
        <v>1008570000</v>
      </c>
      <c r="AA127" s="14">
        <f>SUMIFS('09_CF_원금'!$E$6:$E$92,'09_CF_원금'!$D$6:$D$92,"국장",'09_CF_원금'!$A$6:$A$92,"&lt;="&amp;$A127)-SUMIFS('09_CF_원금'!$E$6:$E$92,'09_CF_원금'!$C$6:$C$92,"국장",'09_CF_원금'!$A$6:$A$92,"&lt;="&amp;$A127)</f>
        <v>200000000</v>
      </c>
      <c r="AB127" s="14">
        <f>SUMIFS('09_CF_원금'!$E$6:$E$92,'09_CF_원금'!$D$6:$D$92,"미장",'09_CF_원금'!$A$6:$A$92,"&lt;="&amp;$A127)-SUMIFS('09_CF_원금'!$E$6:$E$92,'09_CF_원금'!$C$6:$C$92,"미장",'09_CF_원금'!$A$6:$A$92,"&lt;="&amp;$A127)</f>
        <v>100000000</v>
      </c>
      <c r="AC127" s="14">
        <f>SUMIFS('09_CF_원금'!$E$6:$E$92,'09_CF_원금'!$D$6:$D$92,"ISA",'09_CF_원금'!$A$6:$A$92,"&lt;="&amp;$A127)-SUMIFS('09_CF_원금'!$E$6:$E$92,'09_CF_원금'!$C$6:$C$92,"ISA",'09_CF_원금'!$A$6:$A$92,"&lt;="&amp;$A127)</f>
        <v>40000000</v>
      </c>
      <c r="AD127" s="14">
        <f>IF($A127="","",$AA127+$AB127+$AC127+SUMIFS('09_CF_원금'!$E$6:$E$92,'09_CF_원금'!$D$6:$D$92,"중국",'09_CF_원금'!$A$6:$A$92,"&lt;="&amp;$A127)-SUMIFS('09_CF_원금'!$E$6:$E$92,'09_CF_원금'!$C$6:$C$92,"중국",'09_CF_원금'!$A$6:$A$92,"&lt;="&amp;$A127))</f>
        <v>340000000</v>
      </c>
      <c r="AE127" s="14">
        <f t="shared" si="13"/>
        <v>827126651</v>
      </c>
      <c r="AF127" s="15"/>
      <c r="AG127" s="14"/>
      <c r="AH127" s="14"/>
      <c r="AI127" s="14"/>
      <c r="AJ127" s="14"/>
      <c r="AK127" s="16">
        <f t="shared" si="14"/>
        <v>202606</v>
      </c>
      <c r="AL127" s="17" t="str">
        <f t="shared" si="15"/>
        <v/>
      </c>
    </row>
    <row r="128" ht="15.75" customHeight="1">
      <c r="A128" s="6">
        <v>46181.0</v>
      </c>
      <c r="B128" s="7">
        <f t="shared" si="1"/>
        <v>567891222</v>
      </c>
      <c r="C128" s="7" t="str">
        <f t="shared" si="16"/>
        <v/>
      </c>
      <c r="D128" s="7">
        <f t="shared" si="2"/>
        <v>227891222</v>
      </c>
      <c r="E128" s="8">
        <f t="shared" si="3"/>
        <v>-0.3134168494</v>
      </c>
      <c r="F128" s="8" t="str">
        <f>IF(OR($Y128="",$Y128=0,$G128="",$G128=0),"",($S128-$G128*'03_포지션'!$B$13)/$Y128)</f>
        <v/>
      </c>
      <c r="G128" s="7">
        <f t="shared" si="4"/>
        <v>340510913</v>
      </c>
      <c r="H128" s="7" t="str">
        <f t="shared" si="5"/>
        <v/>
      </c>
      <c r="I128" s="7" t="str">
        <f t="shared" si="6"/>
        <v/>
      </c>
      <c r="J128" s="9" t="str">
        <f>IF(OR($I128="",'09_CF_원금'!$B$108=0),"",$I128/'09_CF_원금'!$B$108)</f>
        <v/>
      </c>
      <c r="K128" s="8" t="str">
        <f t="shared" si="7"/>
        <v/>
      </c>
      <c r="L128" s="8" t="str">
        <f t="shared" si="8"/>
        <v/>
      </c>
      <c r="M128" s="7">
        <f t="shared" si="9"/>
        <v>367891222</v>
      </c>
      <c r="N128" s="7" t="str">
        <f t="shared" si="10"/>
        <v/>
      </c>
      <c r="O128" s="7" t="str">
        <f t="shared" si="11"/>
        <v/>
      </c>
      <c r="P128" s="10"/>
      <c r="Q128" s="11"/>
      <c r="R128" s="11"/>
      <c r="S128" s="12">
        <v>9.08402135E8</v>
      </c>
      <c r="T128" s="12">
        <v>5.67891222E8</v>
      </c>
      <c r="U128" s="12"/>
      <c r="V128" s="12"/>
      <c r="W128" s="18" t="str">
        <f t="shared" si="17"/>
        <v/>
      </c>
      <c r="X128" s="7" t="str">
        <f t="shared" si="18"/>
        <v/>
      </c>
      <c r="Y128" s="7" t="str">
        <f t="shared" si="19"/>
        <v/>
      </c>
      <c r="Z128" s="7">
        <f t="shared" si="12"/>
        <v>908402135</v>
      </c>
      <c r="AA128" s="14">
        <f>SUMIFS('09_CF_원금'!$E$6:$E$92,'09_CF_원금'!$D$6:$D$92,"국장",'09_CF_원금'!$A$6:$A$92,"&lt;="&amp;$A128)-SUMIFS('09_CF_원금'!$E$6:$E$92,'09_CF_원금'!$C$6:$C$92,"국장",'09_CF_원금'!$A$6:$A$92,"&lt;="&amp;$A128)</f>
        <v>200000000</v>
      </c>
      <c r="AB128" s="14">
        <f>SUMIFS('09_CF_원금'!$E$6:$E$92,'09_CF_원금'!$D$6:$D$92,"미장",'09_CF_원금'!$A$6:$A$92,"&lt;="&amp;$A128)-SUMIFS('09_CF_원금'!$E$6:$E$92,'09_CF_원금'!$C$6:$C$92,"미장",'09_CF_원금'!$A$6:$A$92,"&lt;="&amp;$A128)</f>
        <v>100000000</v>
      </c>
      <c r="AC128" s="14">
        <f>SUMIFS('09_CF_원금'!$E$6:$E$92,'09_CF_원금'!$D$6:$D$92,"ISA",'09_CF_원금'!$A$6:$A$92,"&lt;="&amp;$A128)-SUMIFS('09_CF_원금'!$E$6:$E$92,'09_CF_원금'!$C$6:$C$92,"ISA",'09_CF_원금'!$A$6:$A$92,"&lt;="&amp;$A128)</f>
        <v>40000000</v>
      </c>
      <c r="AD128" s="14">
        <f>IF($A128="","",$AA128+$AB128+$AC128+SUMIFS('09_CF_원금'!$E$6:$E$92,'09_CF_원금'!$D$6:$D$92,"중국",'09_CF_원금'!$A$6:$A$92,"&lt;="&amp;$A128)-SUMIFS('09_CF_원금'!$E$6:$E$92,'09_CF_원금'!$C$6:$C$92,"중국",'09_CF_원금'!$A$6:$A$92,"&lt;="&amp;$A128))</f>
        <v>340000000</v>
      </c>
      <c r="AE128" s="14">
        <f t="shared" si="13"/>
        <v>827126651</v>
      </c>
      <c r="AF128" s="15"/>
      <c r="AG128" s="14"/>
      <c r="AH128" s="14"/>
      <c r="AI128" s="14"/>
      <c r="AJ128" s="14"/>
      <c r="AK128" s="16">
        <f t="shared" si="14"/>
        <v>202606</v>
      </c>
      <c r="AL128" s="17" t="str">
        <f t="shared" si="15"/>
        <v/>
      </c>
    </row>
    <row r="129" ht="15.75" customHeight="1">
      <c r="A129" s="6">
        <v>46182.0</v>
      </c>
      <c r="B129" s="7">
        <f t="shared" si="1"/>
        <v>694048032</v>
      </c>
      <c r="C129" s="7" t="str">
        <f t="shared" si="16"/>
        <v/>
      </c>
      <c r="D129" s="7">
        <f t="shared" si="2"/>
        <v>354048032</v>
      </c>
      <c r="E129" s="8">
        <f t="shared" si="3"/>
        <v>-0.1608926745</v>
      </c>
      <c r="F129" s="8" t="str">
        <f>IF(OR($Y129="",$Y129=0,$G129="",$G129=0),"",($S129-$G129*'03_포지션'!$B$13)/$Y129)</f>
        <v/>
      </c>
      <c r="G129" s="7">
        <f t="shared" si="4"/>
        <v>422407968</v>
      </c>
      <c r="H129" s="7" t="str">
        <f t="shared" si="5"/>
        <v/>
      </c>
      <c r="I129" s="7" t="str">
        <f t="shared" si="6"/>
        <v/>
      </c>
      <c r="J129" s="9" t="str">
        <f>IF(OR($I129="",'09_CF_원금'!$B$108=0),"",$I129/'09_CF_원금'!$B$108)</f>
        <v/>
      </c>
      <c r="K129" s="8" t="str">
        <f t="shared" si="7"/>
        <v/>
      </c>
      <c r="L129" s="8" t="str">
        <f t="shared" si="8"/>
        <v/>
      </c>
      <c r="M129" s="7">
        <f t="shared" si="9"/>
        <v>494048032</v>
      </c>
      <c r="N129" s="7" t="str">
        <f t="shared" si="10"/>
        <v/>
      </c>
      <c r="O129" s="7" t="str">
        <f t="shared" si="11"/>
        <v/>
      </c>
      <c r="P129" s="10"/>
      <c r="Q129" s="11"/>
      <c r="R129" s="11"/>
      <c r="S129" s="12">
        <v>1.116456E9</v>
      </c>
      <c r="T129" s="12">
        <v>6.94048032E8</v>
      </c>
      <c r="U129" s="12"/>
      <c r="V129" s="12"/>
      <c r="W129" s="18" t="str">
        <f t="shared" si="17"/>
        <v/>
      </c>
      <c r="X129" s="7" t="str">
        <f t="shared" si="18"/>
        <v/>
      </c>
      <c r="Y129" s="7" t="str">
        <f t="shared" si="19"/>
        <v/>
      </c>
      <c r="Z129" s="7">
        <f t="shared" si="12"/>
        <v>1116456000</v>
      </c>
      <c r="AA129" s="14">
        <f>SUMIFS('09_CF_원금'!$E$6:$E$92,'09_CF_원금'!$D$6:$D$92,"국장",'09_CF_원금'!$A$6:$A$92,"&lt;="&amp;$A129)-SUMIFS('09_CF_원금'!$E$6:$E$92,'09_CF_원금'!$C$6:$C$92,"국장",'09_CF_원금'!$A$6:$A$92,"&lt;="&amp;$A129)</f>
        <v>200000000</v>
      </c>
      <c r="AB129" s="14">
        <f>SUMIFS('09_CF_원금'!$E$6:$E$92,'09_CF_원금'!$D$6:$D$92,"미장",'09_CF_원금'!$A$6:$A$92,"&lt;="&amp;$A129)-SUMIFS('09_CF_원금'!$E$6:$E$92,'09_CF_원금'!$C$6:$C$92,"미장",'09_CF_원금'!$A$6:$A$92,"&lt;="&amp;$A129)</f>
        <v>100000000</v>
      </c>
      <c r="AC129" s="14">
        <f>SUMIFS('09_CF_원금'!$E$6:$E$92,'09_CF_원금'!$D$6:$D$92,"ISA",'09_CF_원금'!$A$6:$A$92,"&lt;="&amp;$A129)-SUMIFS('09_CF_원금'!$E$6:$E$92,'09_CF_원금'!$C$6:$C$92,"ISA",'09_CF_원금'!$A$6:$A$92,"&lt;="&amp;$A129)</f>
        <v>40000000</v>
      </c>
      <c r="AD129" s="14">
        <f>IF($A129="","",$AA129+$AB129+$AC129+SUMIFS('09_CF_원금'!$E$6:$E$92,'09_CF_원금'!$D$6:$D$92,"중국",'09_CF_원금'!$A$6:$A$92,"&lt;="&amp;$A129)-SUMIFS('09_CF_원금'!$E$6:$E$92,'09_CF_원금'!$C$6:$C$92,"중국",'09_CF_원금'!$A$6:$A$92,"&lt;="&amp;$A129))</f>
        <v>340000000</v>
      </c>
      <c r="AE129" s="14">
        <f t="shared" si="13"/>
        <v>827126651</v>
      </c>
      <c r="AF129" s="15"/>
      <c r="AG129" s="14"/>
      <c r="AH129" s="14"/>
      <c r="AI129" s="14"/>
      <c r="AJ129" s="14"/>
      <c r="AK129" s="16">
        <f t="shared" si="14"/>
        <v>202606</v>
      </c>
      <c r="AL129" s="17" t="str">
        <f t="shared" si="15"/>
        <v/>
      </c>
    </row>
    <row r="130" ht="15.75" customHeight="1">
      <c r="A130" s="6">
        <v>46183.0</v>
      </c>
      <c r="B130" s="7">
        <f t="shared" si="1"/>
        <v>603794412</v>
      </c>
      <c r="C130" s="7" t="str">
        <f t="shared" si="16"/>
        <v/>
      </c>
      <c r="D130" s="7">
        <f t="shared" si="2"/>
        <v>263794412</v>
      </c>
      <c r="E130" s="8">
        <f t="shared" si="3"/>
        <v>-0.2700097243</v>
      </c>
      <c r="F130" s="8" t="str">
        <f>IF(OR($Y130="",$Y130=0,$G130="",$G130=0),"",($S130-$G130*'03_포지션'!$B$13)/$Y130)</f>
        <v/>
      </c>
      <c r="G130" s="7">
        <f t="shared" si="4"/>
        <v>422752888</v>
      </c>
      <c r="H130" s="7" t="str">
        <f t="shared" si="5"/>
        <v/>
      </c>
      <c r="I130" s="7" t="str">
        <f t="shared" si="6"/>
        <v/>
      </c>
      <c r="J130" s="9" t="str">
        <f>IF(OR($I130="",'09_CF_원금'!$B$108=0),"",$I130/'09_CF_원금'!$B$108)</f>
        <v/>
      </c>
      <c r="K130" s="8" t="str">
        <f t="shared" si="7"/>
        <v/>
      </c>
      <c r="L130" s="8" t="str">
        <f t="shared" si="8"/>
        <v/>
      </c>
      <c r="M130" s="7">
        <f t="shared" si="9"/>
        <v>403794412</v>
      </c>
      <c r="N130" s="7" t="str">
        <f t="shared" si="10"/>
        <v/>
      </c>
      <c r="O130" s="7" t="str">
        <f t="shared" si="11"/>
        <v/>
      </c>
      <c r="P130" s="10"/>
      <c r="Q130" s="11"/>
      <c r="R130" s="11"/>
      <c r="S130" s="12">
        <v>1.0265473E9</v>
      </c>
      <c r="T130" s="12">
        <v>6.03794412E8</v>
      </c>
      <c r="U130" s="12"/>
      <c r="V130" s="12"/>
      <c r="W130" s="18" t="str">
        <f t="shared" si="17"/>
        <v/>
      </c>
      <c r="X130" s="7" t="str">
        <f t="shared" si="18"/>
        <v/>
      </c>
      <c r="Y130" s="7" t="str">
        <f t="shared" si="19"/>
        <v/>
      </c>
      <c r="Z130" s="7">
        <f t="shared" si="12"/>
        <v>1026547300</v>
      </c>
      <c r="AA130" s="14">
        <f>SUMIFS('09_CF_원금'!$E$6:$E$92,'09_CF_원금'!$D$6:$D$92,"국장",'09_CF_원금'!$A$6:$A$92,"&lt;="&amp;$A130)-SUMIFS('09_CF_원금'!$E$6:$E$92,'09_CF_원금'!$C$6:$C$92,"국장",'09_CF_원금'!$A$6:$A$92,"&lt;="&amp;$A130)</f>
        <v>200000000</v>
      </c>
      <c r="AB130" s="14">
        <f>SUMIFS('09_CF_원금'!$E$6:$E$92,'09_CF_원금'!$D$6:$D$92,"미장",'09_CF_원금'!$A$6:$A$92,"&lt;="&amp;$A130)-SUMIFS('09_CF_원금'!$E$6:$E$92,'09_CF_원금'!$C$6:$C$92,"미장",'09_CF_원금'!$A$6:$A$92,"&lt;="&amp;$A130)</f>
        <v>100000000</v>
      </c>
      <c r="AC130" s="14">
        <f>SUMIFS('09_CF_원금'!$E$6:$E$92,'09_CF_원금'!$D$6:$D$92,"ISA",'09_CF_원금'!$A$6:$A$92,"&lt;="&amp;$A130)-SUMIFS('09_CF_원금'!$E$6:$E$92,'09_CF_원금'!$C$6:$C$92,"ISA",'09_CF_원금'!$A$6:$A$92,"&lt;="&amp;$A130)</f>
        <v>40000000</v>
      </c>
      <c r="AD130" s="14">
        <f>IF($A130="","",$AA130+$AB130+$AC130+SUMIFS('09_CF_원금'!$E$6:$E$92,'09_CF_원금'!$D$6:$D$92,"중국",'09_CF_원금'!$A$6:$A$92,"&lt;="&amp;$A130)-SUMIFS('09_CF_원금'!$E$6:$E$92,'09_CF_원금'!$C$6:$C$92,"중국",'09_CF_원금'!$A$6:$A$92,"&lt;="&amp;$A130))</f>
        <v>340000000</v>
      </c>
      <c r="AE130" s="14">
        <f t="shared" si="13"/>
        <v>827126651</v>
      </c>
      <c r="AF130" s="15"/>
      <c r="AG130" s="14"/>
      <c r="AH130" s="14"/>
      <c r="AI130" s="14"/>
      <c r="AJ130" s="14"/>
      <c r="AK130" s="16">
        <f t="shared" si="14"/>
        <v>202606</v>
      </c>
      <c r="AL130" s="17" t="str">
        <f t="shared" si="15"/>
        <v/>
      </c>
    </row>
    <row r="131" ht="15.75" customHeight="1">
      <c r="A131" s="6">
        <v>46184.0</v>
      </c>
      <c r="B131" s="7">
        <f t="shared" si="1"/>
        <v>606280733</v>
      </c>
      <c r="C131" s="7" t="str">
        <f t="shared" si="16"/>
        <v/>
      </c>
      <c r="D131" s="7">
        <f t="shared" si="2"/>
        <v>266280733</v>
      </c>
      <c r="E131" s="8">
        <f t="shared" si="3"/>
        <v>-0.2670037506</v>
      </c>
      <c r="F131" s="8" t="str">
        <f>IF(OR($Y131="",$Y131=0,$G131="",$G131=0),"",($S131-$G131*'03_포지션'!$B$13)/$Y131)</f>
        <v/>
      </c>
      <c r="G131" s="7">
        <f t="shared" si="4"/>
        <v>507681667</v>
      </c>
      <c r="H131" s="7" t="str">
        <f t="shared" si="5"/>
        <v/>
      </c>
      <c r="I131" s="7" t="str">
        <f t="shared" si="6"/>
        <v/>
      </c>
      <c r="J131" s="9" t="str">
        <f>IF(OR($I131="",'09_CF_원금'!$B$108=0),"",$I131/'09_CF_원금'!$B$108)</f>
        <v/>
      </c>
      <c r="K131" s="8" t="str">
        <f t="shared" si="7"/>
        <v/>
      </c>
      <c r="L131" s="8" t="str">
        <f t="shared" si="8"/>
        <v/>
      </c>
      <c r="M131" s="7">
        <f t="shared" si="9"/>
        <v>406280733</v>
      </c>
      <c r="N131" s="7" t="str">
        <f t="shared" si="10"/>
        <v/>
      </c>
      <c r="O131" s="7" t="str">
        <f t="shared" si="11"/>
        <v/>
      </c>
      <c r="P131" s="10"/>
      <c r="Q131" s="11"/>
      <c r="R131" s="11"/>
      <c r="S131" s="12">
        <v>1.1139624E9</v>
      </c>
      <c r="T131" s="12">
        <v>6.06280733E8</v>
      </c>
      <c r="U131" s="12"/>
      <c r="V131" s="12"/>
      <c r="W131" s="18" t="str">
        <f t="shared" si="17"/>
        <v/>
      </c>
      <c r="X131" s="7" t="str">
        <f t="shared" si="18"/>
        <v/>
      </c>
      <c r="Y131" s="7" t="str">
        <f t="shared" si="19"/>
        <v/>
      </c>
      <c r="Z131" s="7">
        <f t="shared" si="12"/>
        <v>1113962400</v>
      </c>
      <c r="AA131" s="14">
        <f>SUMIFS('09_CF_원금'!$E$6:$E$92,'09_CF_원금'!$D$6:$D$92,"국장",'09_CF_원금'!$A$6:$A$92,"&lt;="&amp;$A131)-SUMIFS('09_CF_원금'!$E$6:$E$92,'09_CF_원금'!$C$6:$C$92,"국장",'09_CF_원금'!$A$6:$A$92,"&lt;="&amp;$A131)</f>
        <v>200000000</v>
      </c>
      <c r="AB131" s="14">
        <f>SUMIFS('09_CF_원금'!$E$6:$E$92,'09_CF_원금'!$D$6:$D$92,"미장",'09_CF_원금'!$A$6:$A$92,"&lt;="&amp;$A131)-SUMIFS('09_CF_원금'!$E$6:$E$92,'09_CF_원금'!$C$6:$C$92,"미장",'09_CF_원금'!$A$6:$A$92,"&lt;="&amp;$A131)</f>
        <v>100000000</v>
      </c>
      <c r="AC131" s="14">
        <f>SUMIFS('09_CF_원금'!$E$6:$E$92,'09_CF_원금'!$D$6:$D$92,"ISA",'09_CF_원금'!$A$6:$A$92,"&lt;="&amp;$A131)-SUMIFS('09_CF_원금'!$E$6:$E$92,'09_CF_원금'!$C$6:$C$92,"ISA",'09_CF_원금'!$A$6:$A$92,"&lt;="&amp;$A131)</f>
        <v>40000000</v>
      </c>
      <c r="AD131" s="14">
        <f>IF($A131="","",$AA131+$AB131+$AC131+SUMIFS('09_CF_원금'!$E$6:$E$92,'09_CF_원금'!$D$6:$D$92,"중국",'09_CF_원금'!$A$6:$A$92,"&lt;="&amp;$A131)-SUMIFS('09_CF_원금'!$E$6:$E$92,'09_CF_원금'!$C$6:$C$92,"중국",'09_CF_원금'!$A$6:$A$92,"&lt;="&amp;$A131))</f>
        <v>340000000</v>
      </c>
      <c r="AE131" s="14">
        <f t="shared" si="13"/>
        <v>827126651</v>
      </c>
      <c r="AF131" s="15"/>
      <c r="AG131" s="14"/>
      <c r="AH131" s="14"/>
      <c r="AI131" s="14"/>
      <c r="AJ131" s="14"/>
      <c r="AK131" s="16">
        <f t="shared" si="14"/>
        <v>202606</v>
      </c>
      <c r="AL131" s="17" t="str">
        <f t="shared" si="15"/>
        <v/>
      </c>
    </row>
    <row r="132" ht="15.75" customHeight="1">
      <c r="A132" s="6">
        <v>46185.0</v>
      </c>
      <c r="B132" s="7">
        <f t="shared" si="1"/>
        <v>667228183</v>
      </c>
      <c r="C132" s="7" t="str">
        <f t="shared" si="16"/>
        <v/>
      </c>
      <c r="D132" s="7">
        <f t="shared" si="2"/>
        <v>327228183</v>
      </c>
      <c r="E132" s="8">
        <f t="shared" si="3"/>
        <v>-0.1933179977</v>
      </c>
      <c r="F132" s="8" t="str">
        <f>IF(OR($Y132="",$Y132=0,$G132="",$G132=0),"",($S132-$G132*'03_포지션'!$B$13)/$Y132)</f>
        <v/>
      </c>
      <c r="G132" s="7">
        <f t="shared" si="4"/>
        <v>397649817</v>
      </c>
      <c r="H132" s="7" t="str">
        <f t="shared" si="5"/>
        <v/>
      </c>
      <c r="I132" s="7" t="str">
        <f t="shared" si="6"/>
        <v/>
      </c>
      <c r="J132" s="9" t="str">
        <f>IF(OR($I132="",'09_CF_원금'!$B$108=0),"",$I132/'09_CF_원금'!$B$108)</f>
        <v/>
      </c>
      <c r="K132" s="8" t="str">
        <f t="shared" si="7"/>
        <v/>
      </c>
      <c r="L132" s="8" t="str">
        <f t="shared" si="8"/>
        <v/>
      </c>
      <c r="M132" s="7">
        <f t="shared" si="9"/>
        <v>467228183</v>
      </c>
      <c r="N132" s="7" t="str">
        <f t="shared" si="10"/>
        <v/>
      </c>
      <c r="O132" s="7" t="str">
        <f t="shared" si="11"/>
        <v/>
      </c>
      <c r="P132" s="10"/>
      <c r="Q132" s="11"/>
      <c r="R132" s="11"/>
      <c r="S132" s="12">
        <v>1.064878E9</v>
      </c>
      <c r="T132" s="12">
        <v>6.67228183E8</v>
      </c>
      <c r="U132" s="12"/>
      <c r="V132" s="12"/>
      <c r="W132" s="18" t="str">
        <f t="shared" si="17"/>
        <v/>
      </c>
      <c r="X132" s="7" t="str">
        <f t="shared" si="18"/>
        <v/>
      </c>
      <c r="Y132" s="7" t="str">
        <f t="shared" si="19"/>
        <v/>
      </c>
      <c r="Z132" s="7">
        <f t="shared" si="12"/>
        <v>1064878000</v>
      </c>
      <c r="AA132" s="14">
        <f>SUMIFS('09_CF_원금'!$E$6:$E$92,'09_CF_원금'!$D$6:$D$92,"국장",'09_CF_원금'!$A$6:$A$92,"&lt;="&amp;$A132)-SUMIFS('09_CF_원금'!$E$6:$E$92,'09_CF_원금'!$C$6:$C$92,"국장",'09_CF_원금'!$A$6:$A$92,"&lt;="&amp;$A132)</f>
        <v>200000000</v>
      </c>
      <c r="AB132" s="14">
        <f>SUMIFS('09_CF_원금'!$E$6:$E$92,'09_CF_원금'!$D$6:$D$92,"미장",'09_CF_원금'!$A$6:$A$92,"&lt;="&amp;$A132)-SUMIFS('09_CF_원금'!$E$6:$E$92,'09_CF_원금'!$C$6:$C$92,"미장",'09_CF_원금'!$A$6:$A$92,"&lt;="&amp;$A132)</f>
        <v>100000000</v>
      </c>
      <c r="AC132" s="14">
        <f>SUMIFS('09_CF_원금'!$E$6:$E$92,'09_CF_원금'!$D$6:$D$92,"ISA",'09_CF_원금'!$A$6:$A$92,"&lt;="&amp;$A132)-SUMIFS('09_CF_원금'!$E$6:$E$92,'09_CF_원금'!$C$6:$C$92,"ISA",'09_CF_원금'!$A$6:$A$92,"&lt;="&amp;$A132)</f>
        <v>40000000</v>
      </c>
      <c r="AD132" s="14">
        <f>IF($A132="","",$AA132+$AB132+$AC132+SUMIFS('09_CF_원금'!$E$6:$E$92,'09_CF_원금'!$D$6:$D$92,"중국",'09_CF_원금'!$A$6:$A$92,"&lt;="&amp;$A132)-SUMIFS('09_CF_원금'!$E$6:$E$92,'09_CF_원금'!$C$6:$C$92,"중국",'09_CF_원금'!$A$6:$A$92,"&lt;="&amp;$A132))</f>
        <v>340000000</v>
      </c>
      <c r="AE132" s="14">
        <f t="shared" si="13"/>
        <v>827126651</v>
      </c>
      <c r="AF132" s="15"/>
      <c r="AG132" s="14"/>
      <c r="AH132" s="14"/>
      <c r="AI132" s="14"/>
      <c r="AJ132" s="14"/>
      <c r="AK132" s="16">
        <f t="shared" si="14"/>
        <v>202606</v>
      </c>
      <c r="AL132" s="17" t="str">
        <f t="shared" si="15"/>
        <v/>
      </c>
    </row>
    <row r="133" ht="15.75" customHeight="1">
      <c r="A133" s="6">
        <v>46188.0</v>
      </c>
      <c r="B133" s="7">
        <f t="shared" si="1"/>
        <v>748886222</v>
      </c>
      <c r="C133" s="7" t="str">
        <f t="shared" si="16"/>
        <v/>
      </c>
      <c r="D133" s="7">
        <f t="shared" si="2"/>
        <v>408886222</v>
      </c>
      <c r="E133" s="8">
        <f t="shared" si="3"/>
        <v>-0.09459304558</v>
      </c>
      <c r="F133" s="8" t="str">
        <f>IF(OR($Y133="",$Y133=0,$G133="",$G133=0),"",($S133-$G133*'03_포지션'!$B$13)/$Y133)</f>
        <v/>
      </c>
      <c r="G133" s="7">
        <f t="shared" si="4"/>
        <v>350585278</v>
      </c>
      <c r="H133" s="7" t="str">
        <f t="shared" si="5"/>
        <v/>
      </c>
      <c r="I133" s="7" t="str">
        <f t="shared" si="6"/>
        <v/>
      </c>
      <c r="J133" s="9" t="str">
        <f>IF(OR($I133="",'09_CF_원금'!$B$108=0),"",$I133/'09_CF_원금'!$B$108)</f>
        <v/>
      </c>
      <c r="K133" s="8" t="str">
        <f t="shared" si="7"/>
        <v/>
      </c>
      <c r="L133" s="8" t="str">
        <f t="shared" si="8"/>
        <v/>
      </c>
      <c r="M133" s="7">
        <f t="shared" si="9"/>
        <v>548886222</v>
      </c>
      <c r="N133" s="7" t="str">
        <f t="shared" si="10"/>
        <v/>
      </c>
      <c r="O133" s="7" t="str">
        <f t="shared" si="11"/>
        <v/>
      </c>
      <c r="P133" s="10"/>
      <c r="Q133" s="11"/>
      <c r="R133" s="11"/>
      <c r="S133" s="12">
        <v>1.0994715E9</v>
      </c>
      <c r="T133" s="12">
        <v>7.48886222E8</v>
      </c>
      <c r="U133" s="12"/>
      <c r="V133" s="12"/>
      <c r="W133" s="18" t="str">
        <f t="shared" si="17"/>
        <v/>
      </c>
      <c r="X133" s="7" t="str">
        <f t="shared" si="18"/>
        <v/>
      </c>
      <c r="Y133" s="7" t="str">
        <f t="shared" si="19"/>
        <v/>
      </c>
      <c r="Z133" s="7">
        <f t="shared" si="12"/>
        <v>1099471500</v>
      </c>
      <c r="AA133" s="14">
        <f>SUMIFS('09_CF_원금'!$E$6:$E$92,'09_CF_원금'!$D$6:$D$92,"국장",'09_CF_원금'!$A$6:$A$92,"&lt;="&amp;$A133)-SUMIFS('09_CF_원금'!$E$6:$E$92,'09_CF_원금'!$C$6:$C$92,"국장",'09_CF_원금'!$A$6:$A$92,"&lt;="&amp;$A133)</f>
        <v>200000000</v>
      </c>
      <c r="AB133" s="14">
        <f>SUMIFS('09_CF_원금'!$E$6:$E$92,'09_CF_원금'!$D$6:$D$92,"미장",'09_CF_원금'!$A$6:$A$92,"&lt;="&amp;$A133)-SUMIFS('09_CF_원금'!$E$6:$E$92,'09_CF_원금'!$C$6:$C$92,"미장",'09_CF_원금'!$A$6:$A$92,"&lt;="&amp;$A133)</f>
        <v>100000000</v>
      </c>
      <c r="AC133" s="14">
        <f>SUMIFS('09_CF_원금'!$E$6:$E$92,'09_CF_원금'!$D$6:$D$92,"ISA",'09_CF_원금'!$A$6:$A$92,"&lt;="&amp;$A133)-SUMIFS('09_CF_원금'!$E$6:$E$92,'09_CF_원금'!$C$6:$C$92,"ISA",'09_CF_원금'!$A$6:$A$92,"&lt;="&amp;$A133)</f>
        <v>40000000</v>
      </c>
      <c r="AD133" s="14">
        <f>IF($A133="","",$AA133+$AB133+$AC133+SUMIFS('09_CF_원금'!$E$6:$E$92,'09_CF_원금'!$D$6:$D$92,"중국",'09_CF_원금'!$A$6:$A$92,"&lt;="&amp;$A133)-SUMIFS('09_CF_원금'!$E$6:$E$92,'09_CF_원금'!$C$6:$C$92,"중국",'09_CF_원금'!$A$6:$A$92,"&lt;="&amp;$A133))</f>
        <v>340000000</v>
      </c>
      <c r="AE133" s="14">
        <f t="shared" si="13"/>
        <v>827126651</v>
      </c>
      <c r="AF133" s="15"/>
      <c r="AG133" s="14"/>
      <c r="AH133" s="14"/>
      <c r="AI133" s="14"/>
      <c r="AJ133" s="14"/>
      <c r="AK133" s="16">
        <f t="shared" si="14"/>
        <v>202606</v>
      </c>
      <c r="AL133" s="17" t="str">
        <f t="shared" si="15"/>
        <v/>
      </c>
    </row>
    <row r="134" ht="15.75" customHeight="1">
      <c r="A134" s="6">
        <v>46189.0</v>
      </c>
      <c r="B134" s="7">
        <f t="shared" si="1"/>
        <v>787208364</v>
      </c>
      <c r="C134" s="7" t="str">
        <f t="shared" si="16"/>
        <v/>
      </c>
      <c r="D134" s="7">
        <f t="shared" si="2"/>
        <v>447208364</v>
      </c>
      <c r="E134" s="8">
        <f t="shared" si="3"/>
        <v>-0.04826139619</v>
      </c>
      <c r="F134" s="8" t="str">
        <f>IF(OR($Y134="",$Y134=0,$G134="",$G134=0),"",($S134-$G134*'03_포지션'!$B$13)/$Y134)</f>
        <v/>
      </c>
      <c r="G134" s="7">
        <f t="shared" si="4"/>
        <v>320909636</v>
      </c>
      <c r="H134" s="7" t="str">
        <f t="shared" si="5"/>
        <v/>
      </c>
      <c r="I134" s="7" t="str">
        <f t="shared" si="6"/>
        <v/>
      </c>
      <c r="J134" s="9" t="str">
        <f>IF(OR($I134="",'09_CF_원금'!$B$108=0),"",$I134/'09_CF_원금'!$B$108)</f>
        <v/>
      </c>
      <c r="K134" s="8" t="str">
        <f t="shared" si="7"/>
        <v/>
      </c>
      <c r="L134" s="8" t="str">
        <f t="shared" si="8"/>
        <v/>
      </c>
      <c r="M134" s="7">
        <f t="shared" si="9"/>
        <v>587208364</v>
      </c>
      <c r="N134" s="7" t="str">
        <f t="shared" si="10"/>
        <v/>
      </c>
      <c r="O134" s="7" t="str">
        <f t="shared" si="11"/>
        <v/>
      </c>
      <c r="P134" s="10"/>
      <c r="Q134" s="11"/>
      <c r="R134" s="11"/>
      <c r="S134" s="12">
        <v>1.108118E9</v>
      </c>
      <c r="T134" s="12">
        <v>7.87208364E8</v>
      </c>
      <c r="U134" s="12"/>
      <c r="V134" s="12"/>
      <c r="W134" s="18" t="str">
        <f t="shared" si="17"/>
        <v/>
      </c>
      <c r="X134" s="7" t="str">
        <f t="shared" si="18"/>
        <v/>
      </c>
      <c r="Y134" s="7" t="str">
        <f t="shared" si="19"/>
        <v/>
      </c>
      <c r="Z134" s="7">
        <f t="shared" si="12"/>
        <v>1108118000</v>
      </c>
      <c r="AA134" s="14">
        <f>SUMIFS('09_CF_원금'!$E$6:$E$92,'09_CF_원금'!$D$6:$D$92,"국장",'09_CF_원금'!$A$6:$A$92,"&lt;="&amp;$A134)-SUMIFS('09_CF_원금'!$E$6:$E$92,'09_CF_원금'!$C$6:$C$92,"국장",'09_CF_원금'!$A$6:$A$92,"&lt;="&amp;$A134)</f>
        <v>200000000</v>
      </c>
      <c r="AB134" s="14">
        <f>SUMIFS('09_CF_원금'!$E$6:$E$92,'09_CF_원금'!$D$6:$D$92,"미장",'09_CF_원금'!$A$6:$A$92,"&lt;="&amp;$A134)-SUMIFS('09_CF_원금'!$E$6:$E$92,'09_CF_원금'!$C$6:$C$92,"미장",'09_CF_원금'!$A$6:$A$92,"&lt;="&amp;$A134)</f>
        <v>100000000</v>
      </c>
      <c r="AC134" s="14">
        <f>SUMIFS('09_CF_원금'!$E$6:$E$92,'09_CF_원금'!$D$6:$D$92,"ISA",'09_CF_원금'!$A$6:$A$92,"&lt;="&amp;$A134)-SUMIFS('09_CF_원금'!$E$6:$E$92,'09_CF_원금'!$C$6:$C$92,"ISA",'09_CF_원금'!$A$6:$A$92,"&lt;="&amp;$A134)</f>
        <v>40000000</v>
      </c>
      <c r="AD134" s="14">
        <f>IF($A134="","",$AA134+$AB134+$AC134+SUMIFS('09_CF_원금'!$E$6:$E$92,'09_CF_원금'!$D$6:$D$92,"중국",'09_CF_원금'!$A$6:$A$92,"&lt;="&amp;$A134)-SUMIFS('09_CF_원금'!$E$6:$E$92,'09_CF_원금'!$C$6:$C$92,"중국",'09_CF_원금'!$A$6:$A$92,"&lt;="&amp;$A134))</f>
        <v>340000000</v>
      </c>
      <c r="AE134" s="14">
        <f t="shared" si="13"/>
        <v>827126651</v>
      </c>
      <c r="AF134" s="15"/>
      <c r="AG134" s="14"/>
      <c r="AH134" s="14"/>
      <c r="AI134" s="14"/>
      <c r="AJ134" s="14"/>
      <c r="AK134" s="16">
        <f t="shared" si="14"/>
        <v>202606</v>
      </c>
      <c r="AL134" s="17" t="str">
        <f t="shared" si="15"/>
        <v/>
      </c>
    </row>
    <row r="135" ht="15.75" customHeight="1">
      <c r="A135" s="6">
        <v>46190.0</v>
      </c>
      <c r="B135" s="7">
        <f t="shared" si="1"/>
        <v>815889907</v>
      </c>
      <c r="C135" s="7" t="str">
        <f t="shared" si="16"/>
        <v/>
      </c>
      <c r="D135" s="7">
        <f t="shared" si="2"/>
        <v>475889907</v>
      </c>
      <c r="E135" s="8">
        <f t="shared" si="3"/>
        <v>-0.01358527619</v>
      </c>
      <c r="F135" s="8" t="str">
        <f>IF(OR($Y135="",$Y135=0,$G135="",$G135=0),"",($S135-$G135*'03_포지션'!$B$13)/$Y135)</f>
        <v/>
      </c>
      <c r="G135" s="7">
        <f t="shared" si="4"/>
        <v>356884093</v>
      </c>
      <c r="H135" s="7" t="str">
        <f t="shared" si="5"/>
        <v/>
      </c>
      <c r="I135" s="7" t="str">
        <f t="shared" si="6"/>
        <v/>
      </c>
      <c r="J135" s="9" t="str">
        <f>IF(OR($I135="",'09_CF_원금'!$B$108=0),"",$I135/'09_CF_원금'!$B$108)</f>
        <v/>
      </c>
      <c r="K135" s="8" t="str">
        <f t="shared" si="7"/>
        <v/>
      </c>
      <c r="L135" s="8" t="str">
        <f t="shared" si="8"/>
        <v/>
      </c>
      <c r="M135" s="7">
        <f t="shared" si="9"/>
        <v>615889907</v>
      </c>
      <c r="N135" s="7" t="str">
        <f t="shared" si="10"/>
        <v/>
      </c>
      <c r="O135" s="7" t="str">
        <f t="shared" si="11"/>
        <v/>
      </c>
      <c r="P135" s="10"/>
      <c r="Q135" s="11"/>
      <c r="R135" s="11"/>
      <c r="S135" s="12">
        <v>1.172774E9</v>
      </c>
      <c r="T135" s="12">
        <v>8.15889907E8</v>
      </c>
      <c r="U135" s="12"/>
      <c r="V135" s="12"/>
      <c r="W135" s="18" t="str">
        <f t="shared" si="17"/>
        <v/>
      </c>
      <c r="X135" s="7" t="str">
        <f t="shared" si="18"/>
        <v/>
      </c>
      <c r="Y135" s="7" t="str">
        <f t="shared" si="19"/>
        <v/>
      </c>
      <c r="Z135" s="7">
        <f t="shared" si="12"/>
        <v>1172774000</v>
      </c>
      <c r="AA135" s="14">
        <f>SUMIFS('09_CF_원금'!$E$6:$E$92,'09_CF_원금'!$D$6:$D$92,"국장",'09_CF_원금'!$A$6:$A$92,"&lt;="&amp;$A135)-SUMIFS('09_CF_원금'!$E$6:$E$92,'09_CF_원금'!$C$6:$C$92,"국장",'09_CF_원금'!$A$6:$A$92,"&lt;="&amp;$A135)</f>
        <v>200000000</v>
      </c>
      <c r="AB135" s="14">
        <f>SUMIFS('09_CF_원금'!$E$6:$E$92,'09_CF_원금'!$D$6:$D$92,"미장",'09_CF_원금'!$A$6:$A$92,"&lt;="&amp;$A135)-SUMIFS('09_CF_원금'!$E$6:$E$92,'09_CF_원금'!$C$6:$C$92,"미장",'09_CF_원금'!$A$6:$A$92,"&lt;="&amp;$A135)</f>
        <v>100000000</v>
      </c>
      <c r="AC135" s="14">
        <f>SUMIFS('09_CF_원금'!$E$6:$E$92,'09_CF_원금'!$D$6:$D$92,"ISA",'09_CF_원금'!$A$6:$A$92,"&lt;="&amp;$A135)-SUMIFS('09_CF_원금'!$E$6:$E$92,'09_CF_원금'!$C$6:$C$92,"ISA",'09_CF_원금'!$A$6:$A$92,"&lt;="&amp;$A135)</f>
        <v>40000000</v>
      </c>
      <c r="AD135" s="14">
        <f>IF($A135="","",$AA135+$AB135+$AC135+SUMIFS('09_CF_원금'!$E$6:$E$92,'09_CF_원금'!$D$6:$D$92,"중국",'09_CF_원금'!$A$6:$A$92,"&lt;="&amp;$A135)-SUMIFS('09_CF_원금'!$E$6:$E$92,'09_CF_원금'!$C$6:$C$92,"중국",'09_CF_원금'!$A$6:$A$92,"&lt;="&amp;$A135))</f>
        <v>340000000</v>
      </c>
      <c r="AE135" s="14">
        <f t="shared" si="13"/>
        <v>827126651</v>
      </c>
      <c r="AF135" s="15"/>
      <c r="AG135" s="14"/>
      <c r="AH135" s="14"/>
      <c r="AI135" s="14"/>
      <c r="AJ135" s="14"/>
      <c r="AK135" s="16">
        <f t="shared" si="14"/>
        <v>202606</v>
      </c>
      <c r="AL135" s="17" t="str">
        <f t="shared" si="15"/>
        <v/>
      </c>
    </row>
    <row r="136" ht="15.75" customHeight="1">
      <c r="A136" s="6">
        <v>46191.0</v>
      </c>
      <c r="B136" s="7">
        <f t="shared" si="1"/>
        <v>860110951</v>
      </c>
      <c r="C136" s="7" t="str">
        <f t="shared" si="16"/>
        <v/>
      </c>
      <c r="D136" s="7">
        <f t="shared" si="2"/>
        <v>520110951</v>
      </c>
      <c r="E136" s="8">
        <f t="shared" si="3"/>
        <v>0</v>
      </c>
      <c r="F136" s="8" t="str">
        <f>IF(OR($Y136="",$Y136=0,$G136="",$G136=0),"",($S136-$G136*'03_포지션'!$B$13)/$Y136)</f>
        <v/>
      </c>
      <c r="G136" s="7">
        <f t="shared" si="4"/>
        <v>366394049</v>
      </c>
      <c r="H136" s="7" t="str">
        <f t="shared" si="5"/>
        <v/>
      </c>
      <c r="I136" s="7" t="str">
        <f t="shared" si="6"/>
        <v/>
      </c>
      <c r="J136" s="9" t="str">
        <f>IF(OR($I136="",'09_CF_원금'!$B$108=0),"",$I136/'09_CF_원금'!$B$108)</f>
        <v/>
      </c>
      <c r="K136" s="8" t="str">
        <f t="shared" si="7"/>
        <v/>
      </c>
      <c r="L136" s="8" t="str">
        <f t="shared" si="8"/>
        <v/>
      </c>
      <c r="M136" s="7">
        <f t="shared" si="9"/>
        <v>660110951</v>
      </c>
      <c r="N136" s="7" t="str">
        <f t="shared" si="10"/>
        <v/>
      </c>
      <c r="O136" s="7" t="str">
        <f t="shared" si="11"/>
        <v/>
      </c>
      <c r="P136" s="10"/>
      <c r="Q136" s="11"/>
      <c r="R136" s="11"/>
      <c r="S136" s="12">
        <v>1.226505E9</v>
      </c>
      <c r="T136" s="12">
        <v>8.60110951E8</v>
      </c>
      <c r="U136" s="12"/>
      <c r="V136" s="12"/>
      <c r="W136" s="18" t="str">
        <f t="shared" si="17"/>
        <v/>
      </c>
      <c r="X136" s="7" t="str">
        <f t="shared" si="18"/>
        <v/>
      </c>
      <c r="Y136" s="7" t="str">
        <f t="shared" si="19"/>
        <v/>
      </c>
      <c r="Z136" s="7">
        <f t="shared" si="12"/>
        <v>1226505000</v>
      </c>
      <c r="AA136" s="14">
        <f>SUMIFS('09_CF_원금'!$E$6:$E$92,'09_CF_원금'!$D$6:$D$92,"국장",'09_CF_원금'!$A$6:$A$92,"&lt;="&amp;$A136)-SUMIFS('09_CF_원금'!$E$6:$E$92,'09_CF_원금'!$C$6:$C$92,"국장",'09_CF_원금'!$A$6:$A$92,"&lt;="&amp;$A136)</f>
        <v>200000000</v>
      </c>
      <c r="AB136" s="14">
        <f>SUMIFS('09_CF_원금'!$E$6:$E$92,'09_CF_원금'!$D$6:$D$92,"미장",'09_CF_원금'!$A$6:$A$92,"&lt;="&amp;$A136)-SUMIFS('09_CF_원금'!$E$6:$E$92,'09_CF_원금'!$C$6:$C$92,"미장",'09_CF_원금'!$A$6:$A$92,"&lt;="&amp;$A136)</f>
        <v>100000000</v>
      </c>
      <c r="AC136" s="14">
        <f>SUMIFS('09_CF_원금'!$E$6:$E$92,'09_CF_원금'!$D$6:$D$92,"ISA",'09_CF_원금'!$A$6:$A$92,"&lt;="&amp;$A136)-SUMIFS('09_CF_원금'!$E$6:$E$92,'09_CF_원금'!$C$6:$C$92,"ISA",'09_CF_원금'!$A$6:$A$92,"&lt;="&amp;$A136)</f>
        <v>40000000</v>
      </c>
      <c r="AD136" s="14">
        <f>IF($A136="","",$AA136+$AB136+$AC136+SUMIFS('09_CF_원금'!$E$6:$E$92,'09_CF_원금'!$D$6:$D$92,"중국",'09_CF_원금'!$A$6:$A$92,"&lt;="&amp;$A136)-SUMIFS('09_CF_원금'!$E$6:$E$92,'09_CF_원금'!$C$6:$C$92,"중국",'09_CF_원금'!$A$6:$A$92,"&lt;="&amp;$A136))</f>
        <v>340000000</v>
      </c>
      <c r="AE136" s="14">
        <f t="shared" si="13"/>
        <v>860110951</v>
      </c>
      <c r="AF136" s="15"/>
      <c r="AG136" s="14"/>
      <c r="AH136" s="14"/>
      <c r="AI136" s="14"/>
      <c r="AJ136" s="14"/>
      <c r="AK136" s="16">
        <f t="shared" si="14"/>
        <v>202606</v>
      </c>
      <c r="AL136" s="17" t="str">
        <f t="shared" si="15"/>
        <v/>
      </c>
    </row>
    <row r="137" ht="15.75" customHeight="1">
      <c r="A137" s="6">
        <v>46192.0</v>
      </c>
      <c r="B137" s="7">
        <f t="shared" si="1"/>
        <v>852746866</v>
      </c>
      <c r="C137" s="7" t="str">
        <f t="shared" si="16"/>
        <v/>
      </c>
      <c r="D137" s="7">
        <f t="shared" si="2"/>
        <v>512746866</v>
      </c>
      <c r="E137" s="8">
        <f t="shared" si="3"/>
        <v>-0.008561784955</v>
      </c>
      <c r="F137" s="8" t="str">
        <f>IF(OR($Y137="",$Y137=0,$G137="",$G137=0),"",($S137-$G137*'03_포지션'!$B$13)/$Y137)</f>
        <v/>
      </c>
      <c r="G137" s="7">
        <f t="shared" si="4"/>
        <v>365240134</v>
      </c>
      <c r="H137" s="7" t="str">
        <f t="shared" si="5"/>
        <v/>
      </c>
      <c r="I137" s="7" t="str">
        <f t="shared" si="6"/>
        <v/>
      </c>
      <c r="J137" s="9" t="str">
        <f>IF(OR($I137="",'09_CF_원금'!$B$108=0),"",$I137/'09_CF_원금'!$B$108)</f>
        <v/>
      </c>
      <c r="K137" s="8" t="str">
        <f t="shared" si="7"/>
        <v/>
      </c>
      <c r="L137" s="8" t="str">
        <f t="shared" si="8"/>
        <v/>
      </c>
      <c r="M137" s="7">
        <f t="shared" si="9"/>
        <v>652746866</v>
      </c>
      <c r="N137" s="7" t="str">
        <f t="shared" si="10"/>
        <v/>
      </c>
      <c r="O137" s="7" t="str">
        <f t="shared" si="11"/>
        <v/>
      </c>
      <c r="P137" s="10"/>
      <c r="Q137" s="11"/>
      <c r="R137" s="11"/>
      <c r="S137" s="12">
        <v>1.217987E9</v>
      </c>
      <c r="T137" s="12">
        <v>8.52746866E8</v>
      </c>
      <c r="U137" s="12"/>
      <c r="V137" s="12"/>
      <c r="W137" s="18" t="str">
        <f t="shared" si="17"/>
        <v/>
      </c>
      <c r="X137" s="7" t="str">
        <f t="shared" si="18"/>
        <v/>
      </c>
      <c r="Y137" s="7" t="str">
        <f t="shared" si="19"/>
        <v/>
      </c>
      <c r="Z137" s="7">
        <f t="shared" si="12"/>
        <v>1217987000</v>
      </c>
      <c r="AA137" s="14">
        <f>SUMIFS('09_CF_원금'!$E$6:$E$92,'09_CF_원금'!$D$6:$D$92,"국장",'09_CF_원금'!$A$6:$A$92,"&lt;="&amp;$A137)-SUMIFS('09_CF_원금'!$E$6:$E$92,'09_CF_원금'!$C$6:$C$92,"국장",'09_CF_원금'!$A$6:$A$92,"&lt;="&amp;$A137)</f>
        <v>200000000</v>
      </c>
      <c r="AB137" s="14">
        <f>SUMIFS('09_CF_원금'!$E$6:$E$92,'09_CF_원금'!$D$6:$D$92,"미장",'09_CF_원금'!$A$6:$A$92,"&lt;="&amp;$A137)-SUMIFS('09_CF_원금'!$E$6:$E$92,'09_CF_원금'!$C$6:$C$92,"미장",'09_CF_원금'!$A$6:$A$92,"&lt;="&amp;$A137)</f>
        <v>100000000</v>
      </c>
      <c r="AC137" s="14">
        <f>SUMIFS('09_CF_원금'!$E$6:$E$92,'09_CF_원금'!$D$6:$D$92,"ISA",'09_CF_원금'!$A$6:$A$92,"&lt;="&amp;$A137)-SUMIFS('09_CF_원금'!$E$6:$E$92,'09_CF_원금'!$C$6:$C$92,"ISA",'09_CF_원금'!$A$6:$A$92,"&lt;="&amp;$A137)</f>
        <v>40000000</v>
      </c>
      <c r="AD137" s="14">
        <f>IF($A137="","",$AA137+$AB137+$AC137+SUMIFS('09_CF_원금'!$E$6:$E$92,'09_CF_원금'!$D$6:$D$92,"중국",'09_CF_원금'!$A$6:$A$92,"&lt;="&amp;$A137)-SUMIFS('09_CF_원금'!$E$6:$E$92,'09_CF_원금'!$C$6:$C$92,"중국",'09_CF_원금'!$A$6:$A$92,"&lt;="&amp;$A137))</f>
        <v>340000000</v>
      </c>
      <c r="AE137" s="14">
        <f t="shared" si="13"/>
        <v>860110951</v>
      </c>
      <c r="AF137" s="15"/>
      <c r="AG137" s="14"/>
      <c r="AH137" s="14"/>
      <c r="AI137" s="14"/>
      <c r="AJ137" s="14"/>
      <c r="AK137" s="16">
        <f t="shared" si="14"/>
        <v>202606</v>
      </c>
      <c r="AL137" s="17" t="str">
        <f t="shared" si="15"/>
        <v/>
      </c>
    </row>
    <row r="138" ht="15.75" customHeight="1">
      <c r="A138" s="6">
        <v>46195.0</v>
      </c>
      <c r="B138" s="7">
        <f t="shared" si="1"/>
        <v>879668843</v>
      </c>
      <c r="C138" s="7" t="str">
        <f t="shared" si="16"/>
        <v/>
      </c>
      <c r="D138" s="7">
        <f t="shared" si="2"/>
        <v>539668843</v>
      </c>
      <c r="E138" s="8">
        <f t="shared" si="3"/>
        <v>0</v>
      </c>
      <c r="F138" s="8" t="str">
        <f>IF(OR($Y138="",$Y138=0,$G138="",$G138=0),"",($S138-$G138*'03_포지션'!$B$13)/$Y138)</f>
        <v/>
      </c>
      <c r="G138" s="7">
        <f t="shared" si="4"/>
        <v>390132657</v>
      </c>
      <c r="H138" s="7" t="str">
        <f t="shared" si="5"/>
        <v/>
      </c>
      <c r="I138" s="7" t="str">
        <f t="shared" si="6"/>
        <v/>
      </c>
      <c r="J138" s="9" t="str">
        <f>IF(OR($I138="",'09_CF_원금'!$B$108=0),"",$I138/'09_CF_원금'!$B$108)</f>
        <v/>
      </c>
      <c r="K138" s="8" t="str">
        <f t="shared" si="7"/>
        <v/>
      </c>
      <c r="L138" s="8" t="str">
        <f t="shared" si="8"/>
        <v/>
      </c>
      <c r="M138" s="7">
        <f t="shared" si="9"/>
        <v>679668843</v>
      </c>
      <c r="N138" s="7" t="str">
        <f t="shared" si="10"/>
        <v/>
      </c>
      <c r="O138" s="7" t="str">
        <f t="shared" si="11"/>
        <v/>
      </c>
      <c r="P138" s="10"/>
      <c r="Q138" s="11"/>
      <c r="R138" s="11"/>
      <c r="S138" s="12">
        <v>1.2698015E9</v>
      </c>
      <c r="T138" s="12">
        <v>8.79668843E8</v>
      </c>
      <c r="U138" s="12"/>
      <c r="V138" s="12"/>
      <c r="W138" s="18" t="str">
        <f t="shared" si="17"/>
        <v/>
      </c>
      <c r="X138" s="7" t="str">
        <f t="shared" si="18"/>
        <v/>
      </c>
      <c r="Y138" s="7" t="str">
        <f t="shared" si="19"/>
        <v/>
      </c>
      <c r="Z138" s="7">
        <f t="shared" si="12"/>
        <v>1269801500</v>
      </c>
      <c r="AA138" s="14">
        <f>SUMIFS('09_CF_원금'!$E$6:$E$92,'09_CF_원금'!$D$6:$D$92,"국장",'09_CF_원금'!$A$6:$A$92,"&lt;="&amp;$A138)-SUMIFS('09_CF_원금'!$E$6:$E$92,'09_CF_원금'!$C$6:$C$92,"국장",'09_CF_원금'!$A$6:$A$92,"&lt;="&amp;$A138)</f>
        <v>200000000</v>
      </c>
      <c r="AB138" s="14">
        <f>SUMIFS('09_CF_원금'!$E$6:$E$92,'09_CF_원금'!$D$6:$D$92,"미장",'09_CF_원금'!$A$6:$A$92,"&lt;="&amp;$A138)-SUMIFS('09_CF_원금'!$E$6:$E$92,'09_CF_원금'!$C$6:$C$92,"미장",'09_CF_원금'!$A$6:$A$92,"&lt;="&amp;$A138)</f>
        <v>100000000</v>
      </c>
      <c r="AC138" s="14">
        <f>SUMIFS('09_CF_원금'!$E$6:$E$92,'09_CF_원금'!$D$6:$D$92,"ISA",'09_CF_원금'!$A$6:$A$92,"&lt;="&amp;$A138)-SUMIFS('09_CF_원금'!$E$6:$E$92,'09_CF_원금'!$C$6:$C$92,"ISA",'09_CF_원금'!$A$6:$A$92,"&lt;="&amp;$A138)</f>
        <v>40000000</v>
      </c>
      <c r="AD138" s="14">
        <f>IF($A138="","",$AA138+$AB138+$AC138+SUMIFS('09_CF_원금'!$E$6:$E$92,'09_CF_원금'!$D$6:$D$92,"중국",'09_CF_원금'!$A$6:$A$92,"&lt;="&amp;$A138)-SUMIFS('09_CF_원금'!$E$6:$E$92,'09_CF_원금'!$C$6:$C$92,"중국",'09_CF_원금'!$A$6:$A$92,"&lt;="&amp;$A138))</f>
        <v>340000000</v>
      </c>
      <c r="AE138" s="14">
        <f t="shared" si="13"/>
        <v>879668843</v>
      </c>
      <c r="AF138" s="15"/>
      <c r="AG138" s="14"/>
      <c r="AH138" s="14"/>
      <c r="AI138" s="14"/>
      <c r="AJ138" s="14"/>
      <c r="AK138" s="16">
        <f t="shared" si="14"/>
        <v>202606</v>
      </c>
      <c r="AL138" s="17" t="str">
        <f t="shared" si="15"/>
        <v/>
      </c>
    </row>
    <row r="139" ht="15.75" customHeight="1">
      <c r="A139" s="6">
        <v>46196.0</v>
      </c>
      <c r="B139" s="7">
        <f t="shared" si="1"/>
        <v>690932497</v>
      </c>
      <c r="C139" s="7" t="str">
        <f t="shared" si="16"/>
        <v/>
      </c>
      <c r="D139" s="7">
        <f t="shared" si="2"/>
        <v>350932497</v>
      </c>
      <c r="E139" s="8">
        <f t="shared" si="3"/>
        <v>-0.2145538602</v>
      </c>
      <c r="F139" s="8" t="str">
        <f>IF(OR($Y139="",$Y139=0,$G139="",$G139=0),"",($S139-$G139*'03_포지션'!$B$13)/$Y139)</f>
        <v/>
      </c>
      <c r="G139" s="7">
        <f t="shared" si="4"/>
        <v>479519803</v>
      </c>
      <c r="H139" s="7" t="str">
        <f t="shared" si="5"/>
        <v/>
      </c>
      <c r="I139" s="7" t="str">
        <f t="shared" si="6"/>
        <v/>
      </c>
      <c r="J139" s="9" t="str">
        <f>IF(OR($I139="",'09_CF_원금'!$B$108=0),"",$I139/'09_CF_원금'!$B$108)</f>
        <v/>
      </c>
      <c r="K139" s="8" t="str">
        <f t="shared" si="7"/>
        <v/>
      </c>
      <c r="L139" s="8" t="str">
        <f t="shared" si="8"/>
        <v/>
      </c>
      <c r="M139" s="7">
        <f t="shared" si="9"/>
        <v>490932497</v>
      </c>
      <c r="N139" s="7" t="str">
        <f t="shared" si="10"/>
        <v/>
      </c>
      <c r="O139" s="7" t="str">
        <f t="shared" si="11"/>
        <v/>
      </c>
      <c r="P139" s="10"/>
      <c r="Q139" s="11"/>
      <c r="R139" s="11"/>
      <c r="S139" s="12">
        <v>1.1704523E9</v>
      </c>
      <c r="T139" s="12">
        <v>6.90932497E8</v>
      </c>
      <c r="U139" s="12"/>
      <c r="V139" s="12"/>
      <c r="W139" s="18" t="str">
        <f t="shared" si="17"/>
        <v/>
      </c>
      <c r="X139" s="7" t="str">
        <f t="shared" si="18"/>
        <v/>
      </c>
      <c r="Y139" s="7" t="str">
        <f t="shared" si="19"/>
        <v/>
      </c>
      <c r="Z139" s="7">
        <f t="shared" si="12"/>
        <v>1170452300</v>
      </c>
      <c r="AA139" s="14">
        <f>SUMIFS('09_CF_원금'!$E$6:$E$92,'09_CF_원금'!$D$6:$D$92,"국장",'09_CF_원금'!$A$6:$A$92,"&lt;="&amp;$A139)-SUMIFS('09_CF_원금'!$E$6:$E$92,'09_CF_원금'!$C$6:$C$92,"국장",'09_CF_원금'!$A$6:$A$92,"&lt;="&amp;$A139)</f>
        <v>200000000</v>
      </c>
      <c r="AB139" s="14">
        <f>SUMIFS('09_CF_원금'!$E$6:$E$92,'09_CF_원금'!$D$6:$D$92,"미장",'09_CF_원금'!$A$6:$A$92,"&lt;="&amp;$A139)-SUMIFS('09_CF_원금'!$E$6:$E$92,'09_CF_원금'!$C$6:$C$92,"미장",'09_CF_원금'!$A$6:$A$92,"&lt;="&amp;$A139)</f>
        <v>100000000</v>
      </c>
      <c r="AC139" s="14">
        <f>SUMIFS('09_CF_원금'!$E$6:$E$92,'09_CF_원금'!$D$6:$D$92,"ISA",'09_CF_원금'!$A$6:$A$92,"&lt;="&amp;$A139)-SUMIFS('09_CF_원금'!$E$6:$E$92,'09_CF_원금'!$C$6:$C$92,"ISA",'09_CF_원금'!$A$6:$A$92,"&lt;="&amp;$A139)</f>
        <v>40000000</v>
      </c>
      <c r="AD139" s="14">
        <f>IF($A139="","",$AA139+$AB139+$AC139+SUMIFS('09_CF_원금'!$E$6:$E$92,'09_CF_원금'!$D$6:$D$92,"중국",'09_CF_원금'!$A$6:$A$92,"&lt;="&amp;$A139)-SUMIFS('09_CF_원금'!$E$6:$E$92,'09_CF_원금'!$C$6:$C$92,"중국",'09_CF_원금'!$A$6:$A$92,"&lt;="&amp;$A139))</f>
        <v>340000000</v>
      </c>
      <c r="AE139" s="14">
        <f t="shared" si="13"/>
        <v>879668843</v>
      </c>
      <c r="AF139" s="15"/>
      <c r="AG139" s="14"/>
      <c r="AH139" s="14"/>
      <c r="AI139" s="14"/>
      <c r="AJ139" s="14"/>
      <c r="AK139" s="16">
        <f t="shared" si="14"/>
        <v>202606</v>
      </c>
      <c r="AL139" s="17" t="str">
        <f t="shared" si="15"/>
        <v/>
      </c>
    </row>
    <row r="140" ht="15.75" customHeight="1">
      <c r="A140" s="6">
        <v>46197.0</v>
      </c>
      <c r="B140" s="7">
        <f t="shared" si="1"/>
        <v>746727609</v>
      </c>
      <c r="C140" s="7" t="str">
        <f t="shared" si="16"/>
        <v/>
      </c>
      <c r="D140" s="7">
        <f t="shared" si="2"/>
        <v>406727609</v>
      </c>
      <c r="E140" s="8">
        <f t="shared" si="3"/>
        <v>-0.1511264552</v>
      </c>
      <c r="F140" s="8" t="str">
        <f>IF(OR($Y140="",$Y140=0,$G140="",$G140=0),"",($S140-$G140*'03_포지션'!$B$13)/$Y140)</f>
        <v/>
      </c>
      <c r="G140" s="7">
        <f t="shared" si="4"/>
        <v>462321441</v>
      </c>
      <c r="H140" s="7" t="str">
        <f t="shared" si="5"/>
        <v/>
      </c>
      <c r="I140" s="7" t="str">
        <f t="shared" si="6"/>
        <v/>
      </c>
      <c r="J140" s="9" t="str">
        <f>IF(OR($I140="",'09_CF_원금'!$B$108=0),"",$I140/'09_CF_원금'!$B$108)</f>
        <v/>
      </c>
      <c r="K140" s="8" t="str">
        <f t="shared" si="7"/>
        <v/>
      </c>
      <c r="L140" s="8" t="str">
        <f t="shared" si="8"/>
        <v/>
      </c>
      <c r="M140" s="7">
        <f t="shared" si="9"/>
        <v>546727609</v>
      </c>
      <c r="N140" s="7" t="str">
        <f t="shared" si="10"/>
        <v/>
      </c>
      <c r="O140" s="7" t="str">
        <f t="shared" si="11"/>
        <v/>
      </c>
      <c r="P140" s="10"/>
      <c r="Q140" s="11"/>
      <c r="R140" s="11"/>
      <c r="S140" s="12">
        <v>1.20904905E9</v>
      </c>
      <c r="T140" s="12">
        <v>7.46727609E8</v>
      </c>
      <c r="U140" s="12"/>
      <c r="V140" s="12"/>
      <c r="W140" s="18" t="str">
        <f t="shared" si="17"/>
        <v/>
      </c>
      <c r="X140" s="7" t="str">
        <f t="shared" si="18"/>
        <v/>
      </c>
      <c r="Y140" s="7" t="str">
        <f t="shared" si="19"/>
        <v/>
      </c>
      <c r="Z140" s="7">
        <f t="shared" si="12"/>
        <v>1209049050</v>
      </c>
      <c r="AA140" s="14">
        <f>SUMIFS('09_CF_원금'!$E$6:$E$92,'09_CF_원금'!$D$6:$D$92,"국장",'09_CF_원금'!$A$6:$A$92,"&lt;="&amp;$A140)-SUMIFS('09_CF_원금'!$E$6:$E$92,'09_CF_원금'!$C$6:$C$92,"국장",'09_CF_원금'!$A$6:$A$92,"&lt;="&amp;$A140)</f>
        <v>200000000</v>
      </c>
      <c r="AB140" s="14">
        <f>SUMIFS('09_CF_원금'!$E$6:$E$92,'09_CF_원금'!$D$6:$D$92,"미장",'09_CF_원금'!$A$6:$A$92,"&lt;="&amp;$A140)-SUMIFS('09_CF_원금'!$E$6:$E$92,'09_CF_원금'!$C$6:$C$92,"미장",'09_CF_원금'!$A$6:$A$92,"&lt;="&amp;$A140)</f>
        <v>100000000</v>
      </c>
      <c r="AC140" s="14">
        <f>SUMIFS('09_CF_원금'!$E$6:$E$92,'09_CF_원금'!$D$6:$D$92,"ISA",'09_CF_원금'!$A$6:$A$92,"&lt;="&amp;$A140)-SUMIFS('09_CF_원금'!$E$6:$E$92,'09_CF_원금'!$C$6:$C$92,"ISA",'09_CF_원금'!$A$6:$A$92,"&lt;="&amp;$A140)</f>
        <v>40000000</v>
      </c>
      <c r="AD140" s="14">
        <f>IF($A140="","",$AA140+$AB140+$AC140+SUMIFS('09_CF_원금'!$E$6:$E$92,'09_CF_원금'!$D$6:$D$92,"중국",'09_CF_원금'!$A$6:$A$92,"&lt;="&amp;$A140)-SUMIFS('09_CF_원금'!$E$6:$E$92,'09_CF_원금'!$C$6:$C$92,"중국",'09_CF_원금'!$A$6:$A$92,"&lt;="&amp;$A140))</f>
        <v>340000000</v>
      </c>
      <c r="AE140" s="14">
        <f t="shared" si="13"/>
        <v>879668843</v>
      </c>
      <c r="AF140" s="15"/>
      <c r="AG140" s="14"/>
      <c r="AH140" s="14"/>
      <c r="AI140" s="14"/>
      <c r="AJ140" s="14"/>
      <c r="AK140" s="16">
        <f t="shared" si="14"/>
        <v>202606</v>
      </c>
      <c r="AL140" s="17" t="str">
        <f t="shared" si="15"/>
        <v/>
      </c>
    </row>
    <row r="141" ht="15.75" customHeight="1">
      <c r="A141" s="6">
        <v>46198.0</v>
      </c>
      <c r="B141" s="7">
        <f t="shared" si="1"/>
        <v>841614858</v>
      </c>
      <c r="C141" s="7" t="str">
        <f t="shared" si="16"/>
        <v/>
      </c>
      <c r="D141" s="7">
        <f t="shared" si="2"/>
        <v>501614858</v>
      </c>
      <c r="E141" s="8">
        <f t="shared" si="3"/>
        <v>-0.04325944394</v>
      </c>
      <c r="F141" s="8" t="str">
        <f>IF(OR($Y141="",$Y141=0,$G141="",$G141=0),"",($S141-$G141*'03_포지션'!$B$13)/$Y141)</f>
        <v/>
      </c>
      <c r="G141" s="7">
        <f t="shared" si="4"/>
        <v>395399892</v>
      </c>
      <c r="H141" s="7" t="str">
        <f t="shared" si="5"/>
        <v/>
      </c>
      <c r="I141" s="7" t="str">
        <f t="shared" si="6"/>
        <v/>
      </c>
      <c r="J141" s="9" t="str">
        <f>IF(OR($I141="",'09_CF_원금'!$B$108=0),"",$I141/'09_CF_원금'!$B$108)</f>
        <v/>
      </c>
      <c r="K141" s="8" t="str">
        <f t="shared" si="7"/>
        <v/>
      </c>
      <c r="L141" s="8" t="str">
        <f t="shared" si="8"/>
        <v/>
      </c>
      <c r="M141" s="7">
        <f t="shared" si="9"/>
        <v>641614858</v>
      </c>
      <c r="N141" s="7" t="str">
        <f t="shared" si="10"/>
        <v/>
      </c>
      <c r="O141" s="7" t="str">
        <f t="shared" si="11"/>
        <v/>
      </c>
      <c r="P141" s="10"/>
      <c r="Q141" s="11"/>
      <c r="R141" s="11"/>
      <c r="S141" s="12">
        <v>1.23701475E9</v>
      </c>
      <c r="T141" s="12">
        <v>8.41614858E8</v>
      </c>
      <c r="U141" s="12"/>
      <c r="V141" s="12"/>
      <c r="W141" s="18" t="str">
        <f t="shared" si="17"/>
        <v/>
      </c>
      <c r="X141" s="7" t="str">
        <f t="shared" si="18"/>
        <v/>
      </c>
      <c r="Y141" s="7" t="str">
        <f t="shared" si="19"/>
        <v/>
      </c>
      <c r="Z141" s="7">
        <f t="shared" si="12"/>
        <v>1237014750</v>
      </c>
      <c r="AA141" s="14">
        <f>SUMIFS('09_CF_원금'!$E$6:$E$92,'09_CF_원금'!$D$6:$D$92,"국장",'09_CF_원금'!$A$6:$A$92,"&lt;="&amp;$A141)-SUMIFS('09_CF_원금'!$E$6:$E$92,'09_CF_원금'!$C$6:$C$92,"국장",'09_CF_원금'!$A$6:$A$92,"&lt;="&amp;$A141)</f>
        <v>200000000</v>
      </c>
      <c r="AB141" s="14">
        <f>SUMIFS('09_CF_원금'!$E$6:$E$92,'09_CF_원금'!$D$6:$D$92,"미장",'09_CF_원금'!$A$6:$A$92,"&lt;="&amp;$A141)-SUMIFS('09_CF_원금'!$E$6:$E$92,'09_CF_원금'!$C$6:$C$92,"미장",'09_CF_원금'!$A$6:$A$92,"&lt;="&amp;$A141)</f>
        <v>100000000</v>
      </c>
      <c r="AC141" s="14">
        <f>SUMIFS('09_CF_원금'!$E$6:$E$92,'09_CF_원금'!$D$6:$D$92,"ISA",'09_CF_원금'!$A$6:$A$92,"&lt;="&amp;$A141)-SUMIFS('09_CF_원금'!$E$6:$E$92,'09_CF_원금'!$C$6:$C$92,"ISA",'09_CF_원금'!$A$6:$A$92,"&lt;="&amp;$A141)</f>
        <v>40000000</v>
      </c>
      <c r="AD141" s="14">
        <f>IF($A141="","",$AA141+$AB141+$AC141+SUMIFS('09_CF_원금'!$E$6:$E$92,'09_CF_원금'!$D$6:$D$92,"중국",'09_CF_원금'!$A$6:$A$92,"&lt;="&amp;$A141)-SUMIFS('09_CF_원금'!$E$6:$E$92,'09_CF_원금'!$C$6:$C$92,"중국",'09_CF_원금'!$A$6:$A$92,"&lt;="&amp;$A141))</f>
        <v>340000000</v>
      </c>
      <c r="AE141" s="14">
        <f t="shared" si="13"/>
        <v>879668843</v>
      </c>
      <c r="AF141" s="15"/>
      <c r="AG141" s="14"/>
      <c r="AH141" s="14"/>
      <c r="AI141" s="14"/>
      <c r="AJ141" s="14"/>
      <c r="AK141" s="16">
        <f t="shared" si="14"/>
        <v>202606</v>
      </c>
      <c r="AL141" s="17" t="str">
        <f t="shared" si="15"/>
        <v/>
      </c>
    </row>
    <row r="142" ht="15.75" customHeight="1">
      <c r="A142" s="6">
        <v>46199.0</v>
      </c>
      <c r="B142" s="7">
        <f t="shared" si="1"/>
        <v>746821582</v>
      </c>
      <c r="C142" s="7" t="str">
        <f t="shared" si="16"/>
        <v/>
      </c>
      <c r="D142" s="7">
        <f t="shared" si="2"/>
        <v>406821582</v>
      </c>
      <c r="E142" s="8">
        <f t="shared" si="3"/>
        <v>-0.1510196275</v>
      </c>
      <c r="F142" s="8" t="str">
        <f>IF(OR($Y142="",$Y142=0,$G142="",$G142=0),"",($S142-$G142*'03_포지션'!$B$13)/$Y142)</f>
        <v/>
      </c>
      <c r="G142" s="7">
        <f t="shared" si="4"/>
        <v>437031273</v>
      </c>
      <c r="H142" s="7" t="str">
        <f t="shared" si="5"/>
        <v/>
      </c>
      <c r="I142" s="7" t="str">
        <f t="shared" si="6"/>
        <v/>
      </c>
      <c r="J142" s="9" t="str">
        <f>IF(OR($I142="",'09_CF_원금'!$B$108=0),"",$I142/'09_CF_원금'!$B$108)</f>
        <v/>
      </c>
      <c r="K142" s="8" t="str">
        <f t="shared" si="7"/>
        <v/>
      </c>
      <c r="L142" s="8" t="str">
        <f t="shared" si="8"/>
        <v/>
      </c>
      <c r="M142" s="7">
        <f t="shared" si="9"/>
        <v>546821582</v>
      </c>
      <c r="N142" s="7" t="str">
        <f t="shared" si="10"/>
        <v/>
      </c>
      <c r="O142" s="7" t="str">
        <f t="shared" si="11"/>
        <v/>
      </c>
      <c r="P142" s="10"/>
      <c r="Q142" s="11"/>
      <c r="R142" s="11"/>
      <c r="S142" s="12">
        <v>1.183852855E9</v>
      </c>
      <c r="T142" s="12">
        <v>7.46821582E8</v>
      </c>
      <c r="U142" s="12"/>
      <c r="V142" s="12"/>
      <c r="W142" s="18" t="str">
        <f t="shared" si="17"/>
        <v/>
      </c>
      <c r="X142" s="7" t="str">
        <f t="shared" si="18"/>
        <v/>
      </c>
      <c r="Y142" s="7" t="str">
        <f t="shared" si="19"/>
        <v/>
      </c>
      <c r="Z142" s="7">
        <f t="shared" si="12"/>
        <v>1183852855</v>
      </c>
      <c r="AA142" s="14">
        <f>SUMIFS('09_CF_원금'!$E$6:$E$92,'09_CF_원금'!$D$6:$D$92,"국장",'09_CF_원금'!$A$6:$A$92,"&lt;="&amp;$A142)-SUMIFS('09_CF_원금'!$E$6:$E$92,'09_CF_원금'!$C$6:$C$92,"국장",'09_CF_원금'!$A$6:$A$92,"&lt;="&amp;$A142)</f>
        <v>200000000</v>
      </c>
      <c r="AB142" s="14">
        <f>SUMIFS('09_CF_원금'!$E$6:$E$92,'09_CF_원금'!$D$6:$D$92,"미장",'09_CF_원금'!$A$6:$A$92,"&lt;="&amp;$A142)-SUMIFS('09_CF_원금'!$E$6:$E$92,'09_CF_원금'!$C$6:$C$92,"미장",'09_CF_원금'!$A$6:$A$92,"&lt;="&amp;$A142)</f>
        <v>100000000</v>
      </c>
      <c r="AC142" s="14">
        <f>SUMIFS('09_CF_원금'!$E$6:$E$92,'09_CF_원금'!$D$6:$D$92,"ISA",'09_CF_원금'!$A$6:$A$92,"&lt;="&amp;$A142)-SUMIFS('09_CF_원금'!$E$6:$E$92,'09_CF_원금'!$C$6:$C$92,"ISA",'09_CF_원금'!$A$6:$A$92,"&lt;="&amp;$A142)</f>
        <v>40000000</v>
      </c>
      <c r="AD142" s="14">
        <f>IF($A142="","",$AA142+$AB142+$AC142+SUMIFS('09_CF_원금'!$E$6:$E$92,'09_CF_원금'!$D$6:$D$92,"중국",'09_CF_원금'!$A$6:$A$92,"&lt;="&amp;$A142)-SUMIFS('09_CF_원금'!$E$6:$E$92,'09_CF_원금'!$C$6:$C$92,"중국",'09_CF_원금'!$A$6:$A$92,"&lt;="&amp;$A142))</f>
        <v>340000000</v>
      </c>
      <c r="AE142" s="14">
        <f t="shared" si="13"/>
        <v>879668843</v>
      </c>
      <c r="AF142" s="15"/>
      <c r="AG142" s="14"/>
      <c r="AH142" s="14"/>
      <c r="AI142" s="14"/>
      <c r="AJ142" s="14"/>
      <c r="AK142" s="16">
        <f t="shared" si="14"/>
        <v>202606</v>
      </c>
      <c r="AL142" s="17" t="str">
        <f t="shared" si="15"/>
        <v/>
      </c>
    </row>
    <row r="143" ht="15.75" customHeight="1">
      <c r="A143" s="6">
        <v>46202.0</v>
      </c>
      <c r="B143" s="7">
        <f t="shared" si="1"/>
        <v>736094895</v>
      </c>
      <c r="C143" s="7" t="str">
        <f t="shared" si="16"/>
        <v/>
      </c>
      <c r="D143" s="7">
        <f t="shared" si="2"/>
        <v>396094895</v>
      </c>
      <c r="E143" s="8">
        <f t="shared" si="3"/>
        <v>-0.1632136333</v>
      </c>
      <c r="F143" s="8" t="str">
        <f>IF(OR($Y143="",$Y143=0,$G143="",$G143=0),"",($S143-$G143*'03_포지션'!$B$13)/$Y143)</f>
        <v/>
      </c>
      <c r="G143" s="7">
        <f t="shared" si="4"/>
        <v>404754595</v>
      </c>
      <c r="H143" s="7" t="str">
        <f t="shared" si="5"/>
        <v/>
      </c>
      <c r="I143" s="7" t="str">
        <f t="shared" si="6"/>
        <v/>
      </c>
      <c r="J143" s="9" t="str">
        <f>IF(OR($I143="",'09_CF_원금'!$B$108=0),"",$I143/'09_CF_원금'!$B$108)</f>
        <v/>
      </c>
      <c r="K143" s="8" t="str">
        <f t="shared" si="7"/>
        <v/>
      </c>
      <c r="L143" s="8" t="str">
        <f t="shared" si="8"/>
        <v/>
      </c>
      <c r="M143" s="7">
        <f t="shared" si="9"/>
        <v>536094895</v>
      </c>
      <c r="N143" s="7" t="str">
        <f t="shared" si="10"/>
        <v/>
      </c>
      <c r="O143" s="7" t="str">
        <f t="shared" si="11"/>
        <v/>
      </c>
      <c r="P143" s="10"/>
      <c r="Q143" s="11"/>
      <c r="R143" s="11"/>
      <c r="S143" s="12">
        <v>1.14084949E9</v>
      </c>
      <c r="T143" s="12">
        <v>7.36094895E8</v>
      </c>
      <c r="U143" s="12"/>
      <c r="V143" s="12"/>
      <c r="W143" s="18" t="str">
        <f t="shared" si="17"/>
        <v/>
      </c>
      <c r="X143" s="7" t="str">
        <f t="shared" si="18"/>
        <v/>
      </c>
      <c r="Y143" s="7" t="str">
        <f t="shared" si="19"/>
        <v/>
      </c>
      <c r="Z143" s="7">
        <f t="shared" si="12"/>
        <v>1140849490</v>
      </c>
      <c r="AA143" s="14">
        <f>SUMIFS('09_CF_원금'!$E$6:$E$92,'09_CF_원금'!$D$6:$D$92,"국장",'09_CF_원금'!$A$6:$A$92,"&lt;="&amp;$A143)-SUMIFS('09_CF_원금'!$E$6:$E$92,'09_CF_원금'!$C$6:$C$92,"국장",'09_CF_원금'!$A$6:$A$92,"&lt;="&amp;$A143)</f>
        <v>200000000</v>
      </c>
      <c r="AB143" s="14">
        <f>SUMIFS('09_CF_원금'!$E$6:$E$92,'09_CF_원금'!$D$6:$D$92,"미장",'09_CF_원금'!$A$6:$A$92,"&lt;="&amp;$A143)-SUMIFS('09_CF_원금'!$E$6:$E$92,'09_CF_원금'!$C$6:$C$92,"미장",'09_CF_원금'!$A$6:$A$92,"&lt;="&amp;$A143)</f>
        <v>100000000</v>
      </c>
      <c r="AC143" s="14">
        <f>SUMIFS('09_CF_원금'!$E$6:$E$92,'09_CF_원금'!$D$6:$D$92,"ISA",'09_CF_원금'!$A$6:$A$92,"&lt;="&amp;$A143)-SUMIFS('09_CF_원금'!$E$6:$E$92,'09_CF_원금'!$C$6:$C$92,"ISA",'09_CF_원금'!$A$6:$A$92,"&lt;="&amp;$A143)</f>
        <v>40000000</v>
      </c>
      <c r="AD143" s="14">
        <f>IF($A143="","",$AA143+$AB143+$AC143+SUMIFS('09_CF_원금'!$E$6:$E$92,'09_CF_원금'!$D$6:$D$92,"중국",'09_CF_원금'!$A$6:$A$92,"&lt;="&amp;$A143)-SUMIFS('09_CF_원금'!$E$6:$E$92,'09_CF_원금'!$C$6:$C$92,"중국",'09_CF_원금'!$A$6:$A$92,"&lt;="&amp;$A143))</f>
        <v>340000000</v>
      </c>
      <c r="AE143" s="14">
        <f t="shared" si="13"/>
        <v>879668843</v>
      </c>
      <c r="AF143" s="15"/>
      <c r="AG143" s="14"/>
      <c r="AH143" s="14"/>
      <c r="AI143" s="14"/>
      <c r="AJ143" s="14"/>
      <c r="AK143" s="16">
        <f t="shared" si="14"/>
        <v>202606</v>
      </c>
      <c r="AL143" s="17" t="str">
        <f t="shared" si="15"/>
        <v/>
      </c>
    </row>
    <row r="144" ht="15.75" customHeight="1">
      <c r="A144" s="6">
        <v>46203.0</v>
      </c>
      <c r="B144" s="7">
        <f t="shared" si="1"/>
        <v>754329482</v>
      </c>
      <c r="C144" s="7" t="str">
        <f t="shared" si="16"/>
        <v/>
      </c>
      <c r="D144" s="7">
        <f t="shared" si="2"/>
        <v>414329482</v>
      </c>
      <c r="E144" s="8">
        <f t="shared" si="3"/>
        <v>-0.1424847111</v>
      </c>
      <c r="F144" s="8" t="str">
        <f>IF(OR($Y144="",$Y144=0,$G144="",$G144=0),"",($S144-$G144*'03_포지션'!$B$13)/$Y144)</f>
        <v/>
      </c>
      <c r="G144" s="7">
        <f t="shared" si="4"/>
        <v>391739063</v>
      </c>
      <c r="H144" s="7" t="str">
        <f t="shared" si="5"/>
        <v/>
      </c>
      <c r="I144" s="7" t="str">
        <f t="shared" si="6"/>
        <v/>
      </c>
      <c r="J144" s="9" t="str">
        <f>IF(OR($I144="",'09_CF_원금'!$B$108=0),"",$I144/'09_CF_원금'!$B$108)</f>
        <v/>
      </c>
      <c r="K144" s="8" t="str">
        <f t="shared" si="7"/>
        <v/>
      </c>
      <c r="L144" s="8" t="str">
        <f t="shared" si="8"/>
        <v/>
      </c>
      <c r="M144" s="7">
        <f t="shared" si="9"/>
        <v>554329482</v>
      </c>
      <c r="N144" s="7" t="str">
        <f t="shared" si="10"/>
        <v/>
      </c>
      <c r="O144" s="7" t="str">
        <f t="shared" si="11"/>
        <v/>
      </c>
      <c r="P144" s="10"/>
      <c r="Q144" s="11"/>
      <c r="R144" s="11"/>
      <c r="S144" s="12">
        <v>1.146068545E9</v>
      </c>
      <c r="T144" s="12">
        <v>7.54329482E8</v>
      </c>
      <c r="U144" s="12"/>
      <c r="V144" s="12"/>
      <c r="W144" s="18" t="str">
        <f t="shared" si="17"/>
        <v/>
      </c>
      <c r="X144" s="7" t="str">
        <f t="shared" si="18"/>
        <v/>
      </c>
      <c r="Y144" s="7" t="str">
        <f t="shared" si="19"/>
        <v/>
      </c>
      <c r="Z144" s="7">
        <f t="shared" si="12"/>
        <v>1146068545</v>
      </c>
      <c r="AA144" s="14">
        <f>SUMIFS('09_CF_원금'!$E$6:$E$92,'09_CF_원금'!$D$6:$D$92,"국장",'09_CF_원금'!$A$6:$A$92,"&lt;="&amp;$A144)-SUMIFS('09_CF_원금'!$E$6:$E$92,'09_CF_원금'!$C$6:$C$92,"국장",'09_CF_원금'!$A$6:$A$92,"&lt;="&amp;$A144)</f>
        <v>200000000</v>
      </c>
      <c r="AB144" s="14">
        <f>SUMIFS('09_CF_원금'!$E$6:$E$92,'09_CF_원금'!$D$6:$D$92,"미장",'09_CF_원금'!$A$6:$A$92,"&lt;="&amp;$A144)-SUMIFS('09_CF_원금'!$E$6:$E$92,'09_CF_원금'!$C$6:$C$92,"미장",'09_CF_원금'!$A$6:$A$92,"&lt;="&amp;$A144)</f>
        <v>100000000</v>
      </c>
      <c r="AC144" s="14">
        <f>SUMIFS('09_CF_원금'!$E$6:$E$92,'09_CF_원금'!$D$6:$D$92,"ISA",'09_CF_원금'!$A$6:$A$92,"&lt;="&amp;$A144)-SUMIFS('09_CF_원금'!$E$6:$E$92,'09_CF_원금'!$C$6:$C$92,"ISA",'09_CF_원금'!$A$6:$A$92,"&lt;="&amp;$A144)</f>
        <v>40000000</v>
      </c>
      <c r="AD144" s="14">
        <f>IF($A144="","",$AA144+$AB144+$AC144+SUMIFS('09_CF_원금'!$E$6:$E$92,'09_CF_원금'!$D$6:$D$92,"중국",'09_CF_원금'!$A$6:$A$92,"&lt;="&amp;$A144)-SUMIFS('09_CF_원금'!$E$6:$E$92,'09_CF_원금'!$C$6:$C$92,"중국",'09_CF_원금'!$A$6:$A$92,"&lt;="&amp;$A144))</f>
        <v>340000000</v>
      </c>
      <c r="AE144" s="14">
        <f t="shared" si="13"/>
        <v>879668843</v>
      </c>
      <c r="AF144" s="15"/>
      <c r="AG144" s="14"/>
      <c r="AH144" s="14"/>
      <c r="AI144" s="14"/>
      <c r="AJ144" s="14"/>
      <c r="AK144" s="16">
        <f t="shared" si="14"/>
        <v>202606</v>
      </c>
      <c r="AL144" s="17" t="str">
        <f t="shared" si="15"/>
        <v/>
      </c>
    </row>
    <row r="145" ht="15.75" customHeight="1">
      <c r="A145" s="6">
        <v>46204.0</v>
      </c>
      <c r="B145" s="7">
        <f t="shared" si="1"/>
        <v>710992019</v>
      </c>
      <c r="C145" s="7" t="str">
        <f t="shared" si="16"/>
        <v/>
      </c>
      <c r="D145" s="7">
        <f t="shared" si="2"/>
        <v>370992019</v>
      </c>
      <c r="E145" s="8">
        <f t="shared" si="3"/>
        <v>-0.1917503676</v>
      </c>
      <c r="F145" s="8" t="str">
        <f>IF(OR($Y145="",$Y145=0,$G145="",$G145=0),"",($S145-$G145*'03_포지션'!$B$13)/$Y145)</f>
        <v/>
      </c>
      <c r="G145" s="7">
        <f t="shared" si="4"/>
        <v>394246886</v>
      </c>
      <c r="H145" s="7" t="str">
        <f t="shared" si="5"/>
        <v/>
      </c>
      <c r="I145" s="7" t="str">
        <f t="shared" si="6"/>
        <v/>
      </c>
      <c r="J145" s="9" t="str">
        <f>IF(OR($I145="",'09_CF_원금'!$B$108=0),"",$I145/'09_CF_원금'!$B$108)</f>
        <v/>
      </c>
      <c r="K145" s="8" t="str">
        <f t="shared" si="7"/>
        <v/>
      </c>
      <c r="L145" s="8" t="str">
        <f t="shared" si="8"/>
        <v/>
      </c>
      <c r="M145" s="7">
        <f t="shared" si="9"/>
        <v>510992019</v>
      </c>
      <c r="N145" s="7" t="str">
        <f t="shared" si="10"/>
        <v/>
      </c>
      <c r="O145" s="7" t="str">
        <f t="shared" si="11"/>
        <v/>
      </c>
      <c r="P145" s="10"/>
      <c r="Q145" s="11"/>
      <c r="R145" s="11"/>
      <c r="S145" s="12">
        <v>1.105238905E9</v>
      </c>
      <c r="T145" s="12">
        <v>7.10992019E8</v>
      </c>
      <c r="U145" s="12"/>
      <c r="V145" s="12"/>
      <c r="W145" s="18" t="str">
        <f t="shared" si="17"/>
        <v/>
      </c>
      <c r="X145" s="7" t="str">
        <f t="shared" si="18"/>
        <v/>
      </c>
      <c r="Y145" s="7" t="str">
        <f t="shared" si="19"/>
        <v/>
      </c>
      <c r="Z145" s="7">
        <f t="shared" si="12"/>
        <v>1105238905</v>
      </c>
      <c r="AA145" s="14">
        <f>SUMIFS('09_CF_원금'!$E$6:$E$92,'09_CF_원금'!$D$6:$D$92,"국장",'09_CF_원금'!$A$6:$A$92,"&lt;="&amp;$A145)-SUMIFS('09_CF_원금'!$E$6:$E$92,'09_CF_원금'!$C$6:$C$92,"국장",'09_CF_원금'!$A$6:$A$92,"&lt;="&amp;$A145)</f>
        <v>200000000</v>
      </c>
      <c r="AB145" s="14">
        <f>SUMIFS('09_CF_원금'!$E$6:$E$92,'09_CF_원금'!$D$6:$D$92,"미장",'09_CF_원금'!$A$6:$A$92,"&lt;="&amp;$A145)-SUMIFS('09_CF_원금'!$E$6:$E$92,'09_CF_원금'!$C$6:$C$92,"미장",'09_CF_원금'!$A$6:$A$92,"&lt;="&amp;$A145)</f>
        <v>100000000</v>
      </c>
      <c r="AC145" s="14">
        <f>SUMIFS('09_CF_원금'!$E$6:$E$92,'09_CF_원금'!$D$6:$D$92,"ISA",'09_CF_원금'!$A$6:$A$92,"&lt;="&amp;$A145)-SUMIFS('09_CF_원금'!$E$6:$E$92,'09_CF_원금'!$C$6:$C$92,"ISA",'09_CF_원금'!$A$6:$A$92,"&lt;="&amp;$A145)</f>
        <v>40000000</v>
      </c>
      <c r="AD145" s="14">
        <f>IF($A145="","",$AA145+$AB145+$AC145+SUMIFS('09_CF_원금'!$E$6:$E$92,'09_CF_원금'!$D$6:$D$92,"중국",'09_CF_원금'!$A$6:$A$92,"&lt;="&amp;$A145)-SUMIFS('09_CF_원금'!$E$6:$E$92,'09_CF_원금'!$C$6:$C$92,"중국",'09_CF_원금'!$A$6:$A$92,"&lt;="&amp;$A145))</f>
        <v>340000000</v>
      </c>
      <c r="AE145" s="14">
        <f t="shared" si="13"/>
        <v>879668843</v>
      </c>
      <c r="AF145" s="15"/>
      <c r="AG145" s="14"/>
      <c r="AH145" s="14"/>
      <c r="AI145" s="14"/>
      <c r="AJ145" s="14"/>
      <c r="AK145" s="16">
        <f t="shared" si="14"/>
        <v>202607</v>
      </c>
      <c r="AL145" s="17" t="str">
        <f t="shared" si="15"/>
        <v/>
      </c>
    </row>
    <row r="146" ht="15.75" customHeight="1">
      <c r="A146" s="6">
        <v>46205.0</v>
      </c>
      <c r="B146" s="7">
        <f t="shared" si="1"/>
        <v>566008823</v>
      </c>
      <c r="C146" s="7" t="str">
        <f t="shared" si="16"/>
        <v/>
      </c>
      <c r="D146" s="7">
        <f t="shared" si="2"/>
        <v>226008823</v>
      </c>
      <c r="E146" s="8">
        <f t="shared" si="3"/>
        <v>-0.356566022</v>
      </c>
      <c r="F146" s="8" t="str">
        <f>IF(OR($Y146="",$Y146=0,$G146="",$G146=0),"",($S146-$G146*'03_포지션'!$B$13)/$Y146)</f>
        <v/>
      </c>
      <c r="G146" s="7">
        <f t="shared" si="4"/>
        <v>586539382</v>
      </c>
      <c r="H146" s="7" t="str">
        <f t="shared" si="5"/>
        <v/>
      </c>
      <c r="I146" s="7" t="str">
        <f t="shared" si="6"/>
        <v/>
      </c>
      <c r="J146" s="9" t="str">
        <f>IF(OR($I146="",'09_CF_원금'!$B$108=0),"",$I146/'09_CF_원금'!$B$108)</f>
        <v/>
      </c>
      <c r="K146" s="8" t="str">
        <f t="shared" si="7"/>
        <v/>
      </c>
      <c r="L146" s="8" t="str">
        <f t="shared" si="8"/>
        <v/>
      </c>
      <c r="M146" s="7">
        <f t="shared" si="9"/>
        <v>366008823</v>
      </c>
      <c r="N146" s="7" t="str">
        <f t="shared" si="10"/>
        <v/>
      </c>
      <c r="O146" s="7" t="str">
        <f t="shared" si="11"/>
        <v/>
      </c>
      <c r="P146" s="10"/>
      <c r="Q146" s="11"/>
      <c r="R146" s="11"/>
      <c r="S146" s="12">
        <v>1.152548205E9</v>
      </c>
      <c r="T146" s="12">
        <v>5.66008823E8</v>
      </c>
      <c r="U146" s="12"/>
      <c r="V146" s="12"/>
      <c r="W146" s="18" t="str">
        <f t="shared" si="17"/>
        <v/>
      </c>
      <c r="X146" s="7" t="str">
        <f t="shared" si="18"/>
        <v/>
      </c>
      <c r="Y146" s="7" t="str">
        <f t="shared" si="19"/>
        <v/>
      </c>
      <c r="Z146" s="7">
        <f t="shared" si="12"/>
        <v>1152548205</v>
      </c>
      <c r="AA146" s="14">
        <f>SUMIFS('09_CF_원금'!$E$6:$E$92,'09_CF_원금'!$D$6:$D$92,"국장",'09_CF_원금'!$A$6:$A$92,"&lt;="&amp;$A146)-SUMIFS('09_CF_원금'!$E$6:$E$92,'09_CF_원금'!$C$6:$C$92,"국장",'09_CF_원금'!$A$6:$A$92,"&lt;="&amp;$A146)</f>
        <v>200000000</v>
      </c>
      <c r="AB146" s="14">
        <f>SUMIFS('09_CF_원금'!$E$6:$E$92,'09_CF_원금'!$D$6:$D$92,"미장",'09_CF_원금'!$A$6:$A$92,"&lt;="&amp;$A146)-SUMIFS('09_CF_원금'!$E$6:$E$92,'09_CF_원금'!$C$6:$C$92,"미장",'09_CF_원금'!$A$6:$A$92,"&lt;="&amp;$A146)</f>
        <v>100000000</v>
      </c>
      <c r="AC146" s="14">
        <f>SUMIFS('09_CF_원금'!$E$6:$E$92,'09_CF_원금'!$D$6:$D$92,"ISA",'09_CF_원금'!$A$6:$A$92,"&lt;="&amp;$A146)-SUMIFS('09_CF_원금'!$E$6:$E$92,'09_CF_원금'!$C$6:$C$92,"ISA",'09_CF_원금'!$A$6:$A$92,"&lt;="&amp;$A146)</f>
        <v>40000000</v>
      </c>
      <c r="AD146" s="14">
        <f>IF($A146="","",$AA146+$AB146+$AC146+SUMIFS('09_CF_원금'!$E$6:$E$92,'09_CF_원금'!$D$6:$D$92,"중국",'09_CF_원금'!$A$6:$A$92,"&lt;="&amp;$A146)-SUMIFS('09_CF_원금'!$E$6:$E$92,'09_CF_원금'!$C$6:$C$92,"중국",'09_CF_원금'!$A$6:$A$92,"&lt;="&amp;$A146))</f>
        <v>340000000</v>
      </c>
      <c r="AE146" s="14">
        <f t="shared" si="13"/>
        <v>879668843</v>
      </c>
      <c r="AF146" s="15"/>
      <c r="AG146" s="14"/>
      <c r="AH146" s="14"/>
      <c r="AI146" s="14"/>
      <c r="AJ146" s="14"/>
      <c r="AK146" s="16">
        <f t="shared" si="14"/>
        <v>202607</v>
      </c>
      <c r="AL146" s="17" t="str">
        <f t="shared" si="15"/>
        <v/>
      </c>
    </row>
    <row r="147" ht="15.75" customHeight="1">
      <c r="A147" s="6">
        <v>46206.0</v>
      </c>
      <c r="B147" s="7">
        <f t="shared" si="1"/>
        <v>690084143</v>
      </c>
      <c r="C147" s="7" t="str">
        <f t="shared" si="16"/>
        <v/>
      </c>
      <c r="D147" s="7">
        <f t="shared" si="2"/>
        <v>350084143</v>
      </c>
      <c r="E147" s="8">
        <f t="shared" si="3"/>
        <v>-0.2155182618</v>
      </c>
      <c r="F147" s="8" t="str">
        <f>IF(OR($Y147="",$Y147=0,$G147="",$G147=0),"",($S147-$G147*'03_포지션'!$B$13)/$Y147)</f>
        <v/>
      </c>
      <c r="G147" s="7">
        <f t="shared" si="4"/>
        <v>364192357</v>
      </c>
      <c r="H147" s="7" t="str">
        <f t="shared" si="5"/>
        <v/>
      </c>
      <c r="I147" s="7" t="str">
        <f t="shared" si="6"/>
        <v/>
      </c>
      <c r="J147" s="9" t="str">
        <f>IF(OR($I147="",'09_CF_원금'!$B$108=0),"",$I147/'09_CF_원금'!$B$108)</f>
        <v/>
      </c>
      <c r="K147" s="8" t="str">
        <f t="shared" si="7"/>
        <v/>
      </c>
      <c r="L147" s="8" t="str">
        <f t="shared" si="8"/>
        <v/>
      </c>
      <c r="M147" s="7">
        <f t="shared" si="9"/>
        <v>490084143</v>
      </c>
      <c r="N147" s="7" t="str">
        <f t="shared" si="10"/>
        <v/>
      </c>
      <c r="O147" s="7" t="str">
        <f t="shared" si="11"/>
        <v/>
      </c>
      <c r="P147" s="10"/>
      <c r="Q147" s="11"/>
      <c r="R147" s="11"/>
      <c r="S147" s="12">
        <v>1.0542765E9</v>
      </c>
      <c r="T147" s="12">
        <v>6.90084143E8</v>
      </c>
      <c r="U147" s="12"/>
      <c r="V147" s="12"/>
      <c r="W147" s="18" t="str">
        <f t="shared" si="17"/>
        <v/>
      </c>
      <c r="X147" s="7" t="str">
        <f t="shared" si="18"/>
        <v/>
      </c>
      <c r="Y147" s="7" t="str">
        <f t="shared" si="19"/>
        <v/>
      </c>
      <c r="Z147" s="7">
        <f t="shared" si="12"/>
        <v>1054276500</v>
      </c>
      <c r="AA147" s="14">
        <f>SUMIFS('09_CF_원금'!$E$6:$E$92,'09_CF_원금'!$D$6:$D$92,"국장",'09_CF_원금'!$A$6:$A$92,"&lt;="&amp;$A147)-SUMIFS('09_CF_원금'!$E$6:$E$92,'09_CF_원금'!$C$6:$C$92,"국장",'09_CF_원금'!$A$6:$A$92,"&lt;="&amp;$A147)</f>
        <v>200000000</v>
      </c>
      <c r="AB147" s="14">
        <f>SUMIFS('09_CF_원금'!$E$6:$E$92,'09_CF_원금'!$D$6:$D$92,"미장",'09_CF_원금'!$A$6:$A$92,"&lt;="&amp;$A147)-SUMIFS('09_CF_원금'!$E$6:$E$92,'09_CF_원금'!$C$6:$C$92,"미장",'09_CF_원금'!$A$6:$A$92,"&lt;="&amp;$A147)</f>
        <v>100000000</v>
      </c>
      <c r="AC147" s="14">
        <f>SUMIFS('09_CF_원금'!$E$6:$E$92,'09_CF_원금'!$D$6:$D$92,"ISA",'09_CF_원금'!$A$6:$A$92,"&lt;="&amp;$A147)-SUMIFS('09_CF_원금'!$E$6:$E$92,'09_CF_원금'!$C$6:$C$92,"ISA",'09_CF_원금'!$A$6:$A$92,"&lt;="&amp;$A147)</f>
        <v>40000000</v>
      </c>
      <c r="AD147" s="14">
        <f>IF($A147="","",$AA147+$AB147+$AC147+SUMIFS('09_CF_원금'!$E$6:$E$92,'09_CF_원금'!$D$6:$D$92,"중국",'09_CF_원금'!$A$6:$A$92,"&lt;="&amp;$A147)-SUMIFS('09_CF_원금'!$E$6:$E$92,'09_CF_원금'!$C$6:$C$92,"중국",'09_CF_원금'!$A$6:$A$92,"&lt;="&amp;$A147))</f>
        <v>340000000</v>
      </c>
      <c r="AE147" s="14">
        <f t="shared" si="13"/>
        <v>879668843</v>
      </c>
      <c r="AF147" s="15"/>
      <c r="AG147" s="14"/>
      <c r="AH147" s="14"/>
      <c r="AI147" s="14"/>
      <c r="AJ147" s="14"/>
      <c r="AK147" s="16">
        <f t="shared" si="14"/>
        <v>202607</v>
      </c>
      <c r="AL147" s="17" t="str">
        <f t="shared" si="15"/>
        <v/>
      </c>
    </row>
    <row r="148" ht="15.75" customHeight="1">
      <c r="A148" s="6">
        <v>46209.0</v>
      </c>
      <c r="B148" s="7">
        <f t="shared" si="1"/>
        <v>686279901</v>
      </c>
      <c r="C148" s="7" t="str">
        <f t="shared" si="16"/>
        <v/>
      </c>
      <c r="D148" s="7">
        <f t="shared" si="2"/>
        <v>346279901</v>
      </c>
      <c r="E148" s="8">
        <f t="shared" si="3"/>
        <v>-0.2198428915</v>
      </c>
      <c r="F148" s="8" t="str">
        <f>IF(OR($Y148="",$Y148=0,$G148="",$G148=0),"",($S148-$G148*'03_포지션'!$B$13)/$Y148)</f>
        <v/>
      </c>
      <c r="G148" s="7">
        <f t="shared" si="4"/>
        <v>410711599</v>
      </c>
      <c r="H148" s="7" t="str">
        <f t="shared" si="5"/>
        <v/>
      </c>
      <c r="I148" s="7" t="str">
        <f t="shared" si="6"/>
        <v/>
      </c>
      <c r="J148" s="9" t="str">
        <f>IF(OR($I148="",'09_CF_원금'!$B$108=0),"",$I148/'09_CF_원금'!$B$108)</f>
        <v/>
      </c>
      <c r="K148" s="8" t="str">
        <f t="shared" si="7"/>
        <v/>
      </c>
      <c r="L148" s="8" t="str">
        <f t="shared" si="8"/>
        <v/>
      </c>
      <c r="M148" s="7">
        <f t="shared" si="9"/>
        <v>486279901</v>
      </c>
      <c r="N148" s="7" t="str">
        <f t="shared" si="10"/>
        <v/>
      </c>
      <c r="O148" s="7" t="str">
        <f t="shared" si="11"/>
        <v/>
      </c>
      <c r="P148" s="10"/>
      <c r="Q148" s="11"/>
      <c r="R148" s="11"/>
      <c r="S148" s="12">
        <v>1.0969915E9</v>
      </c>
      <c r="T148" s="12">
        <v>6.86279901E8</v>
      </c>
      <c r="U148" s="12"/>
      <c r="V148" s="12"/>
      <c r="W148" s="18" t="str">
        <f t="shared" si="17"/>
        <v/>
      </c>
      <c r="X148" s="7" t="str">
        <f t="shared" si="18"/>
        <v/>
      </c>
      <c r="Y148" s="7" t="str">
        <f t="shared" si="19"/>
        <v/>
      </c>
      <c r="Z148" s="7">
        <f t="shared" si="12"/>
        <v>1096991500</v>
      </c>
      <c r="AA148" s="14">
        <f>SUMIFS('09_CF_원금'!$E$6:$E$92,'09_CF_원금'!$D$6:$D$92,"국장",'09_CF_원금'!$A$6:$A$92,"&lt;="&amp;$A148)-SUMIFS('09_CF_원금'!$E$6:$E$92,'09_CF_원금'!$C$6:$C$92,"국장",'09_CF_원금'!$A$6:$A$92,"&lt;="&amp;$A148)</f>
        <v>200000000</v>
      </c>
      <c r="AB148" s="14">
        <f>SUMIFS('09_CF_원금'!$E$6:$E$92,'09_CF_원금'!$D$6:$D$92,"미장",'09_CF_원금'!$A$6:$A$92,"&lt;="&amp;$A148)-SUMIFS('09_CF_원금'!$E$6:$E$92,'09_CF_원금'!$C$6:$C$92,"미장",'09_CF_원금'!$A$6:$A$92,"&lt;="&amp;$A148)</f>
        <v>100000000</v>
      </c>
      <c r="AC148" s="14">
        <f>SUMIFS('09_CF_원금'!$E$6:$E$92,'09_CF_원금'!$D$6:$D$92,"ISA",'09_CF_원금'!$A$6:$A$92,"&lt;="&amp;$A148)-SUMIFS('09_CF_원금'!$E$6:$E$92,'09_CF_원금'!$C$6:$C$92,"ISA",'09_CF_원금'!$A$6:$A$92,"&lt;="&amp;$A148)</f>
        <v>40000000</v>
      </c>
      <c r="AD148" s="14">
        <f>IF($A148="","",$AA148+$AB148+$AC148+SUMIFS('09_CF_원금'!$E$6:$E$92,'09_CF_원금'!$D$6:$D$92,"중국",'09_CF_원금'!$A$6:$A$92,"&lt;="&amp;$A148)-SUMIFS('09_CF_원금'!$E$6:$E$92,'09_CF_원금'!$C$6:$C$92,"중국",'09_CF_원금'!$A$6:$A$92,"&lt;="&amp;$A148))</f>
        <v>340000000</v>
      </c>
      <c r="AE148" s="14">
        <f t="shared" si="13"/>
        <v>879668843</v>
      </c>
      <c r="AF148" s="15"/>
      <c r="AG148" s="14"/>
      <c r="AH148" s="14"/>
      <c r="AI148" s="14"/>
      <c r="AJ148" s="14"/>
      <c r="AK148" s="16">
        <f t="shared" si="14"/>
        <v>202607</v>
      </c>
      <c r="AL148" s="17" t="str">
        <f t="shared" si="15"/>
        <v/>
      </c>
    </row>
    <row r="149" ht="15.75" customHeight="1">
      <c r="A149" s="6">
        <v>46210.0</v>
      </c>
      <c r="B149" s="7">
        <f t="shared" si="1"/>
        <v>606540952</v>
      </c>
      <c r="C149" s="7" t="str">
        <f t="shared" si="16"/>
        <v/>
      </c>
      <c r="D149" s="7">
        <f t="shared" si="2"/>
        <v>266540952</v>
      </c>
      <c r="E149" s="8">
        <f t="shared" si="3"/>
        <v>-0.3104894452</v>
      </c>
      <c r="F149" s="8" t="str">
        <f>IF(OR($Y149="",$Y149=0,$G149="",$G149=0),"",($S149-$G149*'03_포지션'!$B$13)/$Y149)</f>
        <v/>
      </c>
      <c r="G149" s="7">
        <f t="shared" si="4"/>
        <v>572110168</v>
      </c>
      <c r="H149" s="7" t="str">
        <f t="shared" si="5"/>
        <v/>
      </c>
      <c r="I149" s="7" t="str">
        <f t="shared" si="6"/>
        <v/>
      </c>
      <c r="J149" s="9" t="str">
        <f>IF(OR($I149="",'09_CF_원금'!$B$108=0),"",$I149/'09_CF_원금'!$B$108)</f>
        <v/>
      </c>
      <c r="K149" s="8" t="str">
        <f t="shared" si="7"/>
        <v/>
      </c>
      <c r="L149" s="8" t="str">
        <f t="shared" si="8"/>
        <v/>
      </c>
      <c r="M149" s="7">
        <f t="shared" si="9"/>
        <v>406540952</v>
      </c>
      <c r="N149" s="7" t="str">
        <f t="shared" si="10"/>
        <v/>
      </c>
      <c r="O149" s="7" t="str">
        <f t="shared" si="11"/>
        <v/>
      </c>
      <c r="P149" s="10"/>
      <c r="Q149" s="11"/>
      <c r="R149" s="11"/>
      <c r="S149" s="12">
        <v>1.17865112E9</v>
      </c>
      <c r="T149" s="12">
        <v>6.06540952E8</v>
      </c>
      <c r="U149" s="12"/>
      <c r="V149" s="12"/>
      <c r="W149" s="18" t="str">
        <f t="shared" si="17"/>
        <v/>
      </c>
      <c r="X149" s="7" t="str">
        <f t="shared" si="18"/>
        <v/>
      </c>
      <c r="Y149" s="7" t="str">
        <f t="shared" si="19"/>
        <v/>
      </c>
      <c r="Z149" s="7">
        <f t="shared" si="12"/>
        <v>1178651120</v>
      </c>
      <c r="AA149" s="14">
        <f>SUMIFS('09_CF_원금'!$E$6:$E$92,'09_CF_원금'!$D$6:$D$92,"국장",'09_CF_원금'!$A$6:$A$92,"&lt;="&amp;$A149)-SUMIFS('09_CF_원금'!$E$6:$E$92,'09_CF_원금'!$C$6:$C$92,"국장",'09_CF_원금'!$A$6:$A$92,"&lt;="&amp;$A149)</f>
        <v>200000000</v>
      </c>
      <c r="AB149" s="14">
        <f>SUMIFS('09_CF_원금'!$E$6:$E$92,'09_CF_원금'!$D$6:$D$92,"미장",'09_CF_원금'!$A$6:$A$92,"&lt;="&amp;$A149)-SUMIFS('09_CF_원금'!$E$6:$E$92,'09_CF_원금'!$C$6:$C$92,"미장",'09_CF_원금'!$A$6:$A$92,"&lt;="&amp;$A149)</f>
        <v>100000000</v>
      </c>
      <c r="AC149" s="14">
        <f>SUMIFS('09_CF_원금'!$E$6:$E$92,'09_CF_원금'!$D$6:$D$92,"ISA",'09_CF_원금'!$A$6:$A$92,"&lt;="&amp;$A149)-SUMIFS('09_CF_원금'!$E$6:$E$92,'09_CF_원금'!$C$6:$C$92,"ISA",'09_CF_원금'!$A$6:$A$92,"&lt;="&amp;$A149)</f>
        <v>40000000</v>
      </c>
      <c r="AD149" s="14">
        <f>IF($A149="","",$AA149+$AB149+$AC149+SUMIFS('09_CF_원금'!$E$6:$E$92,'09_CF_원금'!$D$6:$D$92,"중국",'09_CF_원금'!$A$6:$A$92,"&lt;="&amp;$A149)-SUMIFS('09_CF_원금'!$E$6:$E$92,'09_CF_원금'!$C$6:$C$92,"중국",'09_CF_원금'!$A$6:$A$92,"&lt;="&amp;$A149))</f>
        <v>340000000</v>
      </c>
      <c r="AE149" s="14">
        <f t="shared" si="13"/>
        <v>879668843</v>
      </c>
      <c r="AF149" s="15"/>
      <c r="AG149" s="14"/>
      <c r="AH149" s="14"/>
      <c r="AI149" s="14"/>
      <c r="AJ149" s="14"/>
      <c r="AK149" s="16">
        <f t="shared" si="14"/>
        <v>202607</v>
      </c>
      <c r="AL149" s="17" t="str">
        <f t="shared" si="15"/>
        <v/>
      </c>
    </row>
    <row r="150" ht="15.75" customHeight="1">
      <c r="A150" s="6">
        <v>46211.0</v>
      </c>
      <c r="B150" s="7">
        <f t="shared" si="1"/>
        <v>520741487</v>
      </c>
      <c r="C150" s="7" t="str">
        <f t="shared" si="16"/>
        <v/>
      </c>
      <c r="D150" s="7">
        <f t="shared" si="2"/>
        <v>180741487</v>
      </c>
      <c r="E150" s="8">
        <f t="shared" si="3"/>
        <v>-0.4080255415</v>
      </c>
      <c r="F150" s="8" t="str">
        <f>IF(OR($Y150="",$Y150=0,$G150="",$G150=0),"",($S150-$G150*'03_포지션'!$B$13)/$Y150)</f>
        <v/>
      </c>
      <c r="G150" s="7">
        <f t="shared" si="4"/>
        <v>571296748</v>
      </c>
      <c r="H150" s="7" t="str">
        <f t="shared" si="5"/>
        <v/>
      </c>
      <c r="I150" s="7" t="str">
        <f t="shared" si="6"/>
        <v/>
      </c>
      <c r="J150" s="9" t="str">
        <f>IF(OR($I150="",'09_CF_원금'!$B$108=0),"",$I150/'09_CF_원금'!$B$108)</f>
        <v/>
      </c>
      <c r="K150" s="8" t="str">
        <f t="shared" si="7"/>
        <v/>
      </c>
      <c r="L150" s="8" t="str">
        <f t="shared" si="8"/>
        <v/>
      </c>
      <c r="M150" s="7">
        <f t="shared" si="9"/>
        <v>320741487</v>
      </c>
      <c r="N150" s="7" t="str">
        <f t="shared" si="10"/>
        <v/>
      </c>
      <c r="O150" s="7" t="str">
        <f t="shared" si="11"/>
        <v/>
      </c>
      <c r="P150" s="10"/>
      <c r="Q150" s="11"/>
      <c r="R150" s="11"/>
      <c r="S150" s="12">
        <v>1.092038235E9</v>
      </c>
      <c r="T150" s="12">
        <v>5.20741487E8</v>
      </c>
      <c r="U150" s="12"/>
      <c r="V150" s="12"/>
      <c r="W150" s="18" t="str">
        <f t="shared" si="17"/>
        <v/>
      </c>
      <c r="X150" s="7" t="str">
        <f t="shared" si="18"/>
        <v/>
      </c>
      <c r="Y150" s="7" t="str">
        <f t="shared" si="19"/>
        <v/>
      </c>
      <c r="Z150" s="7">
        <f t="shared" si="12"/>
        <v>1092038235</v>
      </c>
      <c r="AA150" s="14">
        <f>SUMIFS('09_CF_원금'!$E$6:$E$92,'09_CF_원금'!$D$6:$D$92,"국장",'09_CF_원금'!$A$6:$A$92,"&lt;="&amp;$A150)-SUMIFS('09_CF_원금'!$E$6:$E$92,'09_CF_원금'!$C$6:$C$92,"국장",'09_CF_원금'!$A$6:$A$92,"&lt;="&amp;$A150)</f>
        <v>200000000</v>
      </c>
      <c r="AB150" s="14">
        <f>SUMIFS('09_CF_원금'!$E$6:$E$92,'09_CF_원금'!$D$6:$D$92,"미장",'09_CF_원금'!$A$6:$A$92,"&lt;="&amp;$A150)-SUMIFS('09_CF_원금'!$E$6:$E$92,'09_CF_원금'!$C$6:$C$92,"미장",'09_CF_원금'!$A$6:$A$92,"&lt;="&amp;$A150)</f>
        <v>100000000</v>
      </c>
      <c r="AC150" s="14">
        <f>SUMIFS('09_CF_원금'!$E$6:$E$92,'09_CF_원금'!$D$6:$D$92,"ISA",'09_CF_원금'!$A$6:$A$92,"&lt;="&amp;$A150)-SUMIFS('09_CF_원금'!$E$6:$E$92,'09_CF_원금'!$C$6:$C$92,"ISA",'09_CF_원금'!$A$6:$A$92,"&lt;="&amp;$A150)</f>
        <v>40000000</v>
      </c>
      <c r="AD150" s="14">
        <f>IF($A150="","",$AA150+$AB150+$AC150+SUMIFS('09_CF_원금'!$E$6:$E$92,'09_CF_원금'!$D$6:$D$92,"중국",'09_CF_원금'!$A$6:$A$92,"&lt;="&amp;$A150)-SUMIFS('09_CF_원금'!$E$6:$E$92,'09_CF_원금'!$C$6:$C$92,"중국",'09_CF_원금'!$A$6:$A$92,"&lt;="&amp;$A150))</f>
        <v>340000000</v>
      </c>
      <c r="AE150" s="14">
        <f t="shared" si="13"/>
        <v>879668843</v>
      </c>
      <c r="AF150" s="15"/>
      <c r="AG150" s="14"/>
      <c r="AH150" s="14"/>
      <c r="AI150" s="14"/>
      <c r="AJ150" s="14"/>
      <c r="AK150" s="16">
        <f t="shared" si="14"/>
        <v>202607</v>
      </c>
      <c r="AL150" s="17" t="str">
        <f t="shared" si="15"/>
        <v/>
      </c>
    </row>
    <row r="151" ht="15.75" customHeight="1">
      <c r="A151" s="6">
        <v>46212.0</v>
      </c>
      <c r="B151" s="7">
        <f t="shared" si="1"/>
        <v>559306750</v>
      </c>
      <c r="C151" s="7" t="str">
        <f t="shared" si="16"/>
        <v/>
      </c>
      <c r="D151" s="7">
        <f t="shared" si="2"/>
        <v>219306750</v>
      </c>
      <c r="E151" s="8">
        <f t="shared" si="3"/>
        <v>-0.3641848811</v>
      </c>
      <c r="F151" s="8" t="str">
        <f>IF(OR($Y151="",$Y151=0,$G151="",$G151=0),"",($S151-$G151*'03_포지션'!$B$13)/$Y151)</f>
        <v/>
      </c>
      <c r="G151" s="7">
        <f t="shared" si="4"/>
        <v>597384030</v>
      </c>
      <c r="H151" s="7" t="str">
        <f t="shared" si="5"/>
        <v/>
      </c>
      <c r="I151" s="7" t="str">
        <f t="shared" si="6"/>
        <v/>
      </c>
      <c r="J151" s="9" t="str">
        <f>IF(OR($I151="",'09_CF_원금'!$B$108=0),"",$I151/'09_CF_원금'!$B$108)</f>
        <v/>
      </c>
      <c r="K151" s="8" t="str">
        <f t="shared" si="7"/>
        <v/>
      </c>
      <c r="L151" s="8" t="str">
        <f t="shared" si="8"/>
        <v/>
      </c>
      <c r="M151" s="7">
        <f t="shared" si="9"/>
        <v>359306750</v>
      </c>
      <c r="N151" s="7" t="str">
        <f t="shared" si="10"/>
        <v/>
      </c>
      <c r="O151" s="7" t="str">
        <f t="shared" si="11"/>
        <v/>
      </c>
      <c r="P151" s="10"/>
      <c r="Q151" s="11"/>
      <c r="R151" s="11"/>
      <c r="S151" s="12">
        <v>1.15669078E9</v>
      </c>
      <c r="T151" s="12">
        <v>5.5930675E8</v>
      </c>
      <c r="U151" s="12"/>
      <c r="V151" s="12"/>
      <c r="W151" s="18" t="str">
        <f t="shared" si="17"/>
        <v/>
      </c>
      <c r="X151" s="7" t="str">
        <f t="shared" si="18"/>
        <v/>
      </c>
      <c r="Y151" s="7" t="str">
        <f t="shared" si="19"/>
        <v/>
      </c>
      <c r="Z151" s="7">
        <f t="shared" si="12"/>
        <v>1156690780</v>
      </c>
      <c r="AA151" s="14">
        <f>SUMIFS('09_CF_원금'!$E$6:$E$92,'09_CF_원금'!$D$6:$D$92,"국장",'09_CF_원금'!$A$6:$A$92,"&lt;="&amp;$A151)-SUMIFS('09_CF_원금'!$E$6:$E$92,'09_CF_원금'!$C$6:$C$92,"국장",'09_CF_원금'!$A$6:$A$92,"&lt;="&amp;$A151)</f>
        <v>200000000</v>
      </c>
      <c r="AB151" s="14">
        <f>SUMIFS('09_CF_원금'!$E$6:$E$92,'09_CF_원금'!$D$6:$D$92,"미장",'09_CF_원금'!$A$6:$A$92,"&lt;="&amp;$A151)-SUMIFS('09_CF_원금'!$E$6:$E$92,'09_CF_원금'!$C$6:$C$92,"미장",'09_CF_원금'!$A$6:$A$92,"&lt;="&amp;$A151)</f>
        <v>100000000</v>
      </c>
      <c r="AC151" s="14">
        <f>SUMIFS('09_CF_원금'!$E$6:$E$92,'09_CF_원금'!$D$6:$D$92,"ISA",'09_CF_원금'!$A$6:$A$92,"&lt;="&amp;$A151)-SUMIFS('09_CF_원금'!$E$6:$E$92,'09_CF_원금'!$C$6:$C$92,"ISA",'09_CF_원금'!$A$6:$A$92,"&lt;="&amp;$A151)</f>
        <v>40000000</v>
      </c>
      <c r="AD151" s="14">
        <f>IF($A151="","",$AA151+$AB151+$AC151+SUMIFS('09_CF_원금'!$E$6:$E$92,'09_CF_원금'!$D$6:$D$92,"중국",'09_CF_원금'!$A$6:$A$92,"&lt;="&amp;$A151)-SUMIFS('09_CF_원금'!$E$6:$E$92,'09_CF_원금'!$C$6:$C$92,"중국",'09_CF_원금'!$A$6:$A$92,"&lt;="&amp;$A151))</f>
        <v>340000000</v>
      </c>
      <c r="AE151" s="14">
        <f t="shared" si="13"/>
        <v>879668843</v>
      </c>
      <c r="AF151" s="15"/>
      <c r="AG151" s="14"/>
      <c r="AH151" s="14"/>
      <c r="AI151" s="14"/>
      <c r="AJ151" s="14"/>
      <c r="AK151" s="16">
        <f t="shared" si="14"/>
        <v>202607</v>
      </c>
      <c r="AL151" s="17" t="str">
        <f t="shared" si="15"/>
        <v/>
      </c>
    </row>
    <row r="152" ht="15.75" customHeight="1">
      <c r="A152" s="6">
        <v>46213.0</v>
      </c>
      <c r="B152" s="7">
        <f t="shared" si="1"/>
        <v>581255304</v>
      </c>
      <c r="C152" s="7" t="str">
        <f t="shared" si="16"/>
        <v/>
      </c>
      <c r="D152" s="7">
        <f t="shared" si="2"/>
        <v>241255304</v>
      </c>
      <c r="E152" s="8">
        <f t="shared" si="3"/>
        <v>-0.3392339531</v>
      </c>
      <c r="F152" s="8" t="str">
        <f>IF(OR($Y152="",$Y152=0,$G152="",$G152=0),"",($S152-$G152*'03_포지션'!$B$13)/$Y152)</f>
        <v/>
      </c>
      <c r="G152" s="7">
        <f t="shared" si="4"/>
        <v>608284696</v>
      </c>
      <c r="H152" s="7" t="str">
        <f t="shared" si="5"/>
        <v/>
      </c>
      <c r="I152" s="7" t="str">
        <f t="shared" si="6"/>
        <v/>
      </c>
      <c r="J152" s="9" t="str">
        <f>IF(OR($I152="",'09_CF_원금'!$B$108=0),"",$I152/'09_CF_원금'!$B$108)</f>
        <v/>
      </c>
      <c r="K152" s="8" t="str">
        <f t="shared" si="7"/>
        <v/>
      </c>
      <c r="L152" s="8" t="str">
        <f t="shared" si="8"/>
        <v/>
      </c>
      <c r="M152" s="7">
        <f t="shared" si="9"/>
        <v>381255304</v>
      </c>
      <c r="N152" s="7" t="str">
        <f t="shared" si="10"/>
        <v/>
      </c>
      <c r="O152" s="7" t="str">
        <f t="shared" si="11"/>
        <v/>
      </c>
      <c r="P152" s="10"/>
      <c r="Q152" s="11"/>
      <c r="R152" s="11"/>
      <c r="S152" s="12">
        <v>1.18954E9</v>
      </c>
      <c r="T152" s="12">
        <v>5.81255304E8</v>
      </c>
      <c r="U152" s="12"/>
      <c r="V152" s="12"/>
      <c r="W152" s="18" t="str">
        <f t="shared" si="17"/>
        <v/>
      </c>
      <c r="X152" s="7" t="str">
        <f t="shared" si="18"/>
        <v/>
      </c>
      <c r="Y152" s="7" t="str">
        <f t="shared" si="19"/>
        <v/>
      </c>
      <c r="Z152" s="7">
        <f t="shared" si="12"/>
        <v>1189540000</v>
      </c>
      <c r="AA152" s="14">
        <f>SUMIFS('09_CF_원금'!$E$6:$E$92,'09_CF_원금'!$D$6:$D$92,"국장",'09_CF_원금'!$A$6:$A$92,"&lt;="&amp;$A152)-SUMIFS('09_CF_원금'!$E$6:$E$92,'09_CF_원금'!$C$6:$C$92,"국장",'09_CF_원금'!$A$6:$A$92,"&lt;="&amp;$A152)</f>
        <v>200000000</v>
      </c>
      <c r="AB152" s="14">
        <f>SUMIFS('09_CF_원금'!$E$6:$E$92,'09_CF_원금'!$D$6:$D$92,"미장",'09_CF_원금'!$A$6:$A$92,"&lt;="&amp;$A152)-SUMIFS('09_CF_원금'!$E$6:$E$92,'09_CF_원금'!$C$6:$C$92,"미장",'09_CF_원금'!$A$6:$A$92,"&lt;="&amp;$A152)</f>
        <v>100000000</v>
      </c>
      <c r="AC152" s="14">
        <f>SUMIFS('09_CF_원금'!$E$6:$E$92,'09_CF_원금'!$D$6:$D$92,"ISA",'09_CF_원금'!$A$6:$A$92,"&lt;="&amp;$A152)-SUMIFS('09_CF_원금'!$E$6:$E$92,'09_CF_원금'!$C$6:$C$92,"ISA",'09_CF_원금'!$A$6:$A$92,"&lt;="&amp;$A152)</f>
        <v>40000000</v>
      </c>
      <c r="AD152" s="14">
        <f>IF($A152="","",$AA152+$AB152+$AC152+SUMIFS('09_CF_원금'!$E$6:$E$92,'09_CF_원금'!$D$6:$D$92,"중국",'09_CF_원금'!$A$6:$A$92,"&lt;="&amp;$A152)-SUMIFS('09_CF_원금'!$E$6:$E$92,'09_CF_원금'!$C$6:$C$92,"중국",'09_CF_원금'!$A$6:$A$92,"&lt;="&amp;$A152))</f>
        <v>340000000</v>
      </c>
      <c r="AE152" s="14">
        <f t="shared" si="13"/>
        <v>879668843</v>
      </c>
      <c r="AF152" s="15"/>
      <c r="AG152" s="14"/>
      <c r="AH152" s="14"/>
      <c r="AI152" s="14"/>
      <c r="AJ152" s="14"/>
      <c r="AK152" s="16">
        <f t="shared" si="14"/>
        <v>202607</v>
      </c>
      <c r="AL152" s="17" t="str">
        <f t="shared" si="15"/>
        <v/>
      </c>
    </row>
    <row r="153" ht="15.75" customHeight="1">
      <c r="A153" s="6">
        <v>46216.0</v>
      </c>
      <c r="B153" s="7">
        <f t="shared" si="1"/>
        <v>359604206</v>
      </c>
      <c r="C153" s="7" t="str">
        <f t="shared" si="16"/>
        <v/>
      </c>
      <c r="D153" s="7">
        <f t="shared" si="2"/>
        <v>19604206</v>
      </c>
      <c r="E153" s="8">
        <f t="shared" si="3"/>
        <v>-0.5912050212</v>
      </c>
      <c r="F153" s="8" t="str">
        <f>IF(OR($Y153="",$Y153=0,$G153="",$G153=0),"",($S153-$G153*'03_포지션'!$B$13)/$Y153)</f>
        <v/>
      </c>
      <c r="G153" s="7">
        <f t="shared" si="4"/>
        <v>735314294</v>
      </c>
      <c r="H153" s="7" t="str">
        <f t="shared" si="5"/>
        <v/>
      </c>
      <c r="I153" s="7" t="str">
        <f t="shared" si="6"/>
        <v/>
      </c>
      <c r="J153" s="9" t="str">
        <f>IF(OR($I153="",'09_CF_원금'!$B$108=0),"",$I153/'09_CF_원금'!$B$108)</f>
        <v/>
      </c>
      <c r="K153" s="8" t="str">
        <f t="shared" si="7"/>
        <v/>
      </c>
      <c r="L153" s="8" t="str">
        <f t="shared" si="8"/>
        <v/>
      </c>
      <c r="M153" s="7">
        <f t="shared" si="9"/>
        <v>159604206</v>
      </c>
      <c r="N153" s="7" t="str">
        <f t="shared" si="10"/>
        <v/>
      </c>
      <c r="O153" s="7" t="str">
        <f t="shared" si="11"/>
        <v/>
      </c>
      <c r="P153" s="10"/>
      <c r="Q153" s="11"/>
      <c r="R153" s="11"/>
      <c r="S153" s="12">
        <v>1.0949185E9</v>
      </c>
      <c r="T153" s="12">
        <v>3.59604206E8</v>
      </c>
      <c r="U153" s="12"/>
      <c r="V153" s="12"/>
      <c r="W153" s="18" t="str">
        <f t="shared" si="17"/>
        <v/>
      </c>
      <c r="X153" s="7" t="str">
        <f t="shared" si="18"/>
        <v/>
      </c>
      <c r="Y153" s="7" t="str">
        <f t="shared" si="19"/>
        <v/>
      </c>
      <c r="Z153" s="7">
        <f t="shared" si="12"/>
        <v>1094918500</v>
      </c>
      <c r="AA153" s="14">
        <f>SUMIFS('09_CF_원금'!$E$6:$E$92,'09_CF_원금'!$D$6:$D$92,"국장",'09_CF_원금'!$A$6:$A$92,"&lt;="&amp;$A153)-SUMIFS('09_CF_원금'!$E$6:$E$92,'09_CF_원금'!$C$6:$C$92,"국장",'09_CF_원금'!$A$6:$A$92,"&lt;="&amp;$A153)</f>
        <v>200000000</v>
      </c>
      <c r="AB153" s="14">
        <f>SUMIFS('09_CF_원금'!$E$6:$E$92,'09_CF_원금'!$D$6:$D$92,"미장",'09_CF_원금'!$A$6:$A$92,"&lt;="&amp;$A153)-SUMIFS('09_CF_원금'!$E$6:$E$92,'09_CF_원금'!$C$6:$C$92,"미장",'09_CF_원금'!$A$6:$A$92,"&lt;="&amp;$A153)</f>
        <v>100000000</v>
      </c>
      <c r="AC153" s="14">
        <f>SUMIFS('09_CF_원금'!$E$6:$E$92,'09_CF_원금'!$D$6:$D$92,"ISA",'09_CF_원금'!$A$6:$A$92,"&lt;="&amp;$A153)-SUMIFS('09_CF_원금'!$E$6:$E$92,'09_CF_원금'!$C$6:$C$92,"ISA",'09_CF_원금'!$A$6:$A$92,"&lt;="&amp;$A153)</f>
        <v>40000000</v>
      </c>
      <c r="AD153" s="14">
        <f>IF($A153="","",$AA153+$AB153+$AC153+SUMIFS('09_CF_원금'!$E$6:$E$92,'09_CF_원금'!$D$6:$D$92,"중국",'09_CF_원금'!$A$6:$A$92,"&lt;="&amp;$A153)-SUMIFS('09_CF_원금'!$E$6:$E$92,'09_CF_원금'!$C$6:$C$92,"중국",'09_CF_원금'!$A$6:$A$92,"&lt;="&amp;$A153))</f>
        <v>340000000</v>
      </c>
      <c r="AE153" s="14">
        <f t="shared" si="13"/>
        <v>879668843</v>
      </c>
      <c r="AF153" s="15"/>
      <c r="AG153" s="14"/>
      <c r="AH153" s="14"/>
      <c r="AI153" s="14"/>
      <c r="AJ153" s="14"/>
      <c r="AK153" s="16">
        <f t="shared" si="14"/>
        <v>202607</v>
      </c>
      <c r="AL153" s="17" t="str">
        <f t="shared" si="15"/>
        <v/>
      </c>
    </row>
    <row r="154" ht="15.75" customHeight="1">
      <c r="A154" s="6">
        <v>46217.0</v>
      </c>
      <c r="B154" s="7">
        <f t="shared" si="1"/>
        <v>398445035</v>
      </c>
      <c r="C154" s="7" t="str">
        <f t="shared" si="16"/>
        <v/>
      </c>
      <c r="D154" s="7">
        <f t="shared" si="2"/>
        <v>58445035</v>
      </c>
      <c r="E154" s="8">
        <f t="shared" si="3"/>
        <v>-0.5470510998</v>
      </c>
      <c r="F154" s="8" t="str">
        <f>IF(OR($Y154="",$Y154=0,$G154="",$G154=0),"",($S154-$G154*'03_포지션'!$B$13)/$Y154)</f>
        <v/>
      </c>
      <c r="G154" s="7">
        <f t="shared" si="4"/>
        <v>736321755</v>
      </c>
      <c r="H154" s="7" t="str">
        <f t="shared" si="5"/>
        <v/>
      </c>
      <c r="I154" s="7" t="str">
        <f t="shared" si="6"/>
        <v/>
      </c>
      <c r="J154" s="9" t="str">
        <f>IF(OR($I154="",'09_CF_원금'!$B$108=0),"",$I154/'09_CF_원금'!$B$108)</f>
        <v/>
      </c>
      <c r="K154" s="8" t="str">
        <f t="shared" si="7"/>
        <v/>
      </c>
      <c r="L154" s="8" t="str">
        <f t="shared" si="8"/>
        <v/>
      </c>
      <c r="M154" s="7">
        <f t="shared" si="9"/>
        <v>198445035</v>
      </c>
      <c r="N154" s="7" t="str">
        <f t="shared" si="10"/>
        <v/>
      </c>
      <c r="O154" s="7" t="str">
        <f t="shared" si="11"/>
        <v/>
      </c>
      <c r="P154" s="10"/>
      <c r="Q154" s="11"/>
      <c r="R154" s="11"/>
      <c r="S154" s="12">
        <v>1.13476679E9</v>
      </c>
      <c r="T154" s="12">
        <v>3.98445035E8</v>
      </c>
      <c r="U154" s="12"/>
      <c r="V154" s="12"/>
      <c r="W154" s="18" t="str">
        <f t="shared" si="17"/>
        <v/>
      </c>
      <c r="X154" s="7" t="str">
        <f t="shared" si="18"/>
        <v/>
      </c>
      <c r="Y154" s="7" t="str">
        <f t="shared" si="19"/>
        <v/>
      </c>
      <c r="Z154" s="7">
        <f t="shared" si="12"/>
        <v>1134766790</v>
      </c>
      <c r="AA154" s="14">
        <f>SUMIFS('09_CF_원금'!$E$6:$E$92,'09_CF_원금'!$D$6:$D$92,"국장",'09_CF_원금'!$A$6:$A$92,"&lt;="&amp;$A154)-SUMIFS('09_CF_원금'!$E$6:$E$92,'09_CF_원금'!$C$6:$C$92,"국장",'09_CF_원금'!$A$6:$A$92,"&lt;="&amp;$A154)</f>
        <v>200000000</v>
      </c>
      <c r="AB154" s="14">
        <f>SUMIFS('09_CF_원금'!$E$6:$E$92,'09_CF_원금'!$D$6:$D$92,"미장",'09_CF_원금'!$A$6:$A$92,"&lt;="&amp;$A154)-SUMIFS('09_CF_원금'!$E$6:$E$92,'09_CF_원금'!$C$6:$C$92,"미장",'09_CF_원금'!$A$6:$A$92,"&lt;="&amp;$A154)</f>
        <v>100000000</v>
      </c>
      <c r="AC154" s="14">
        <f>SUMIFS('09_CF_원금'!$E$6:$E$92,'09_CF_원금'!$D$6:$D$92,"ISA",'09_CF_원금'!$A$6:$A$92,"&lt;="&amp;$A154)-SUMIFS('09_CF_원금'!$E$6:$E$92,'09_CF_원금'!$C$6:$C$92,"ISA",'09_CF_원금'!$A$6:$A$92,"&lt;="&amp;$A154)</f>
        <v>40000000</v>
      </c>
      <c r="AD154" s="14">
        <f>IF($A154="","",$AA154+$AB154+$AC154+SUMIFS('09_CF_원금'!$E$6:$E$92,'09_CF_원금'!$D$6:$D$92,"중국",'09_CF_원금'!$A$6:$A$92,"&lt;="&amp;$A154)-SUMIFS('09_CF_원금'!$E$6:$E$92,'09_CF_원금'!$C$6:$C$92,"중국",'09_CF_원금'!$A$6:$A$92,"&lt;="&amp;$A154))</f>
        <v>340000000</v>
      </c>
      <c r="AE154" s="14">
        <f t="shared" si="13"/>
        <v>879668843</v>
      </c>
      <c r="AF154" s="15"/>
      <c r="AG154" s="14"/>
      <c r="AH154" s="14"/>
      <c r="AI154" s="14"/>
      <c r="AJ154" s="14"/>
      <c r="AK154" s="16">
        <f t="shared" si="14"/>
        <v>202607</v>
      </c>
      <c r="AL154" s="17" t="str">
        <f t="shared" si="15"/>
        <v/>
      </c>
    </row>
    <row r="155" ht="15.75" customHeight="1">
      <c r="A155" s="6">
        <v>46218.0</v>
      </c>
      <c r="B155" s="7">
        <f t="shared" si="1"/>
        <v>518019845</v>
      </c>
      <c r="C155" s="7" t="str">
        <f t="shared" si="16"/>
        <v/>
      </c>
      <c r="D155" s="7">
        <f t="shared" si="2"/>
        <v>178019845</v>
      </c>
      <c r="E155" s="8">
        <f t="shared" si="3"/>
        <v>-0.4111194808</v>
      </c>
      <c r="F155" s="8" t="str">
        <f>IF(OR($Y155="",$Y155=0,$G155="",$G155=0),"",($S155-$G155*'03_포지션'!$B$13)/$Y155)</f>
        <v/>
      </c>
      <c r="G155" s="7">
        <f t="shared" si="4"/>
        <v>736321755</v>
      </c>
      <c r="H155" s="7" t="str">
        <f t="shared" si="5"/>
        <v/>
      </c>
      <c r="I155" s="7" t="str">
        <f t="shared" si="6"/>
        <v/>
      </c>
      <c r="J155" s="9" t="str">
        <f>IF(OR($I155="",'09_CF_원금'!$B$108=0),"",$I155/'09_CF_원금'!$B$108)</f>
        <v/>
      </c>
      <c r="K155" s="8" t="str">
        <f t="shared" si="7"/>
        <v/>
      </c>
      <c r="L155" s="8" t="str">
        <f t="shared" si="8"/>
        <v/>
      </c>
      <c r="M155" s="7">
        <f t="shared" si="9"/>
        <v>318019845</v>
      </c>
      <c r="N155" s="7" t="str">
        <f t="shared" si="10"/>
        <v/>
      </c>
      <c r="O155" s="7" t="str">
        <f t="shared" si="11"/>
        <v/>
      </c>
      <c r="P155" s="10"/>
      <c r="Q155" s="11"/>
      <c r="R155" s="11"/>
      <c r="S155" s="12">
        <v>1.2543416E9</v>
      </c>
      <c r="T155" s="12">
        <v>5.18019845E8</v>
      </c>
      <c r="U155" s="12"/>
      <c r="V155" s="12"/>
      <c r="W155" s="18" t="str">
        <f t="shared" si="17"/>
        <v/>
      </c>
      <c r="X155" s="7" t="str">
        <f t="shared" si="18"/>
        <v/>
      </c>
      <c r="Y155" s="7" t="str">
        <f t="shared" si="19"/>
        <v/>
      </c>
      <c r="Z155" s="7">
        <f t="shared" si="12"/>
        <v>1254341600</v>
      </c>
      <c r="AA155" s="14">
        <f>SUMIFS('09_CF_원금'!$E$6:$E$92,'09_CF_원금'!$D$6:$D$92,"국장",'09_CF_원금'!$A$6:$A$92,"&lt;="&amp;$A155)-SUMIFS('09_CF_원금'!$E$6:$E$92,'09_CF_원금'!$C$6:$C$92,"국장",'09_CF_원금'!$A$6:$A$92,"&lt;="&amp;$A155)</f>
        <v>200000000</v>
      </c>
      <c r="AB155" s="14">
        <f>SUMIFS('09_CF_원금'!$E$6:$E$92,'09_CF_원금'!$D$6:$D$92,"미장",'09_CF_원금'!$A$6:$A$92,"&lt;="&amp;$A155)-SUMIFS('09_CF_원금'!$E$6:$E$92,'09_CF_원금'!$C$6:$C$92,"미장",'09_CF_원금'!$A$6:$A$92,"&lt;="&amp;$A155)</f>
        <v>100000000</v>
      </c>
      <c r="AC155" s="14">
        <f>SUMIFS('09_CF_원금'!$E$6:$E$92,'09_CF_원금'!$D$6:$D$92,"ISA",'09_CF_원금'!$A$6:$A$92,"&lt;="&amp;$A155)-SUMIFS('09_CF_원금'!$E$6:$E$92,'09_CF_원금'!$C$6:$C$92,"ISA",'09_CF_원금'!$A$6:$A$92,"&lt;="&amp;$A155)</f>
        <v>40000000</v>
      </c>
      <c r="AD155" s="14">
        <f>IF($A155="","",$AA155+$AB155+$AC155+SUMIFS('09_CF_원금'!$E$6:$E$92,'09_CF_원금'!$D$6:$D$92,"중국",'09_CF_원금'!$A$6:$A$92,"&lt;="&amp;$A155)-SUMIFS('09_CF_원금'!$E$6:$E$92,'09_CF_원금'!$C$6:$C$92,"중국",'09_CF_원금'!$A$6:$A$92,"&lt;="&amp;$A155))</f>
        <v>340000000</v>
      </c>
      <c r="AE155" s="14">
        <f t="shared" si="13"/>
        <v>879668843</v>
      </c>
      <c r="AF155" s="15"/>
      <c r="AG155" s="14"/>
      <c r="AH155" s="14"/>
      <c r="AI155" s="14"/>
      <c r="AJ155" s="14"/>
      <c r="AK155" s="16">
        <f t="shared" si="14"/>
        <v>202607</v>
      </c>
      <c r="AL155" s="17" t="str">
        <f t="shared" si="15"/>
        <v/>
      </c>
    </row>
    <row r="156" ht="15.75" customHeight="1">
      <c r="A156" s="6">
        <v>46219.0</v>
      </c>
      <c r="B156" s="7">
        <f t="shared" si="1"/>
        <v>358091590</v>
      </c>
      <c r="C156" s="7" t="str">
        <f t="shared" si="16"/>
        <v/>
      </c>
      <c r="D156" s="7">
        <f t="shared" si="2"/>
        <v>18091590</v>
      </c>
      <c r="E156" s="8">
        <f t="shared" si="3"/>
        <v>-0.5929245501</v>
      </c>
      <c r="F156" s="8" t="str">
        <f>IF(OR($Y156="",$Y156=0,$G156="",$G156=0),"",($S156-$G156*'03_포지션'!$B$13)/$Y156)</f>
        <v/>
      </c>
      <c r="G156" s="7">
        <f t="shared" si="4"/>
        <v>736321755</v>
      </c>
      <c r="H156" s="7" t="str">
        <f t="shared" si="5"/>
        <v/>
      </c>
      <c r="I156" s="7" t="str">
        <f t="shared" si="6"/>
        <v/>
      </c>
      <c r="J156" s="9" t="str">
        <f>IF(OR($I156="",'09_CF_원금'!$B$108=0),"",$I156/'09_CF_원금'!$B$108)</f>
        <v/>
      </c>
      <c r="K156" s="8" t="str">
        <f t="shared" si="7"/>
        <v/>
      </c>
      <c r="L156" s="8" t="str">
        <f t="shared" si="8"/>
        <v/>
      </c>
      <c r="M156" s="7">
        <f t="shared" si="9"/>
        <v>158091590</v>
      </c>
      <c r="N156" s="7" t="str">
        <f t="shared" si="10"/>
        <v/>
      </c>
      <c r="O156" s="7" t="str">
        <f t="shared" si="11"/>
        <v/>
      </c>
      <c r="P156" s="10"/>
      <c r="Q156" s="11"/>
      <c r="R156" s="11"/>
      <c r="S156" s="12">
        <v>1.094413345E9</v>
      </c>
      <c r="T156" s="12">
        <v>3.5809159E8</v>
      </c>
      <c r="U156" s="12"/>
      <c r="V156" s="12"/>
      <c r="W156" s="18" t="str">
        <f t="shared" si="17"/>
        <v/>
      </c>
      <c r="X156" s="7" t="str">
        <f t="shared" si="18"/>
        <v/>
      </c>
      <c r="Y156" s="7" t="str">
        <f t="shared" si="19"/>
        <v/>
      </c>
      <c r="Z156" s="7">
        <f t="shared" si="12"/>
        <v>1094413345</v>
      </c>
      <c r="AA156" s="14">
        <f>SUMIFS('09_CF_원금'!$E$6:$E$92,'09_CF_원금'!$D$6:$D$92,"국장",'09_CF_원금'!$A$6:$A$92,"&lt;="&amp;$A156)-SUMIFS('09_CF_원금'!$E$6:$E$92,'09_CF_원금'!$C$6:$C$92,"국장",'09_CF_원금'!$A$6:$A$92,"&lt;="&amp;$A156)</f>
        <v>200000000</v>
      </c>
      <c r="AB156" s="14">
        <f>SUMIFS('09_CF_원금'!$E$6:$E$92,'09_CF_원금'!$D$6:$D$92,"미장",'09_CF_원금'!$A$6:$A$92,"&lt;="&amp;$A156)-SUMIFS('09_CF_원금'!$E$6:$E$92,'09_CF_원금'!$C$6:$C$92,"미장",'09_CF_원금'!$A$6:$A$92,"&lt;="&amp;$A156)</f>
        <v>100000000</v>
      </c>
      <c r="AC156" s="14">
        <f>SUMIFS('09_CF_원금'!$E$6:$E$92,'09_CF_원금'!$D$6:$D$92,"ISA",'09_CF_원금'!$A$6:$A$92,"&lt;="&amp;$A156)-SUMIFS('09_CF_원금'!$E$6:$E$92,'09_CF_원금'!$C$6:$C$92,"ISA",'09_CF_원금'!$A$6:$A$92,"&lt;="&amp;$A156)</f>
        <v>40000000</v>
      </c>
      <c r="AD156" s="14">
        <f>IF($A156="","",$AA156+$AB156+$AC156+SUMIFS('09_CF_원금'!$E$6:$E$92,'09_CF_원금'!$D$6:$D$92,"중국",'09_CF_원금'!$A$6:$A$92,"&lt;="&amp;$A156)-SUMIFS('09_CF_원금'!$E$6:$E$92,'09_CF_원금'!$C$6:$C$92,"중국",'09_CF_원금'!$A$6:$A$92,"&lt;="&amp;$A156))</f>
        <v>340000000</v>
      </c>
      <c r="AE156" s="14">
        <f t="shared" si="13"/>
        <v>879668843</v>
      </c>
      <c r="AF156" s="15"/>
      <c r="AG156" s="14"/>
      <c r="AH156" s="14"/>
      <c r="AI156" s="14"/>
      <c r="AJ156" s="14"/>
      <c r="AK156" s="16">
        <f t="shared" si="14"/>
        <v>202607</v>
      </c>
      <c r="AL156" s="17" t="str">
        <f t="shared" si="15"/>
        <v/>
      </c>
    </row>
    <row r="157" ht="15.75" customHeight="1">
      <c r="A157" s="6">
        <v>46220.0</v>
      </c>
      <c r="B157" s="7">
        <f t="shared" si="1"/>
        <v>358091590</v>
      </c>
      <c r="C157" s="7" t="str">
        <f t="shared" si="16"/>
        <v/>
      </c>
      <c r="D157" s="7">
        <f t="shared" si="2"/>
        <v>18091590</v>
      </c>
      <c r="E157" s="8">
        <f t="shared" si="3"/>
        <v>-0.5929245501</v>
      </c>
      <c r="F157" s="8" t="str">
        <f>IF(OR($Y157="",$Y157=0,$G157="",$G157=0),"",($S157-$G157*'03_포지션'!$B$13)/$Y157)</f>
        <v/>
      </c>
      <c r="G157" s="7">
        <f t="shared" si="4"/>
        <v>736321755</v>
      </c>
      <c r="H157" s="7" t="str">
        <f t="shared" si="5"/>
        <v/>
      </c>
      <c r="I157" s="7" t="str">
        <f t="shared" si="6"/>
        <v/>
      </c>
      <c r="J157" s="9" t="str">
        <f>IF(OR($I157="",'09_CF_원금'!$B$108=0),"",$I157/'09_CF_원금'!$B$108)</f>
        <v/>
      </c>
      <c r="K157" s="8" t="str">
        <f t="shared" si="7"/>
        <v/>
      </c>
      <c r="L157" s="8" t="str">
        <f t="shared" si="8"/>
        <v/>
      </c>
      <c r="M157" s="7">
        <f t="shared" si="9"/>
        <v>158091590</v>
      </c>
      <c r="N157" s="7" t="str">
        <f t="shared" si="10"/>
        <v/>
      </c>
      <c r="O157" s="7" t="str">
        <f t="shared" si="11"/>
        <v/>
      </c>
      <c r="P157" s="10"/>
      <c r="Q157" s="11"/>
      <c r="R157" s="11"/>
      <c r="S157" s="12">
        <v>1.094413345E9</v>
      </c>
      <c r="T157" s="12">
        <v>3.5809159E8</v>
      </c>
      <c r="U157" s="12"/>
      <c r="V157" s="12"/>
      <c r="W157" s="18" t="str">
        <f t="shared" si="17"/>
        <v/>
      </c>
      <c r="X157" s="7" t="str">
        <f t="shared" si="18"/>
        <v/>
      </c>
      <c r="Y157" s="7" t="str">
        <f t="shared" si="19"/>
        <v/>
      </c>
      <c r="Z157" s="7">
        <f t="shared" si="12"/>
        <v>1094413345</v>
      </c>
      <c r="AA157" s="14">
        <f>SUMIFS('09_CF_원금'!$E$6:$E$92,'09_CF_원금'!$D$6:$D$92,"국장",'09_CF_원금'!$A$6:$A$92,"&lt;="&amp;$A157)-SUMIFS('09_CF_원금'!$E$6:$E$92,'09_CF_원금'!$C$6:$C$92,"국장",'09_CF_원금'!$A$6:$A$92,"&lt;="&amp;$A157)</f>
        <v>200000000</v>
      </c>
      <c r="AB157" s="14">
        <f>SUMIFS('09_CF_원금'!$E$6:$E$92,'09_CF_원금'!$D$6:$D$92,"미장",'09_CF_원금'!$A$6:$A$92,"&lt;="&amp;$A157)-SUMIFS('09_CF_원금'!$E$6:$E$92,'09_CF_원금'!$C$6:$C$92,"미장",'09_CF_원금'!$A$6:$A$92,"&lt;="&amp;$A157)</f>
        <v>100000000</v>
      </c>
      <c r="AC157" s="14">
        <f>SUMIFS('09_CF_원금'!$E$6:$E$92,'09_CF_원금'!$D$6:$D$92,"ISA",'09_CF_원금'!$A$6:$A$92,"&lt;="&amp;$A157)-SUMIFS('09_CF_원금'!$E$6:$E$92,'09_CF_원금'!$C$6:$C$92,"ISA",'09_CF_원금'!$A$6:$A$92,"&lt;="&amp;$A157)</f>
        <v>40000000</v>
      </c>
      <c r="AD157" s="14">
        <f>IF($A157="","",$AA157+$AB157+$AC157+SUMIFS('09_CF_원금'!$E$6:$E$92,'09_CF_원금'!$D$6:$D$92,"중국",'09_CF_원금'!$A$6:$A$92,"&lt;="&amp;$A157)-SUMIFS('09_CF_원금'!$E$6:$E$92,'09_CF_원금'!$C$6:$C$92,"중국",'09_CF_원금'!$A$6:$A$92,"&lt;="&amp;$A157))</f>
        <v>340000000</v>
      </c>
      <c r="AE157" s="14">
        <f t="shared" si="13"/>
        <v>879668843</v>
      </c>
      <c r="AF157" s="15"/>
      <c r="AG157" s="14"/>
      <c r="AH157" s="14"/>
      <c r="AI157" s="14"/>
      <c r="AJ157" s="14"/>
      <c r="AK157" s="16">
        <f t="shared" si="14"/>
        <v>202607</v>
      </c>
      <c r="AL157" s="17" t="str">
        <f t="shared" si="15"/>
        <v/>
      </c>
    </row>
    <row r="158" ht="15.75" customHeight="1">
      <c r="A158" s="6">
        <v>46223.0</v>
      </c>
      <c r="B158" s="7">
        <f t="shared" si="1"/>
        <v>334173495</v>
      </c>
      <c r="C158" s="7" t="str">
        <f t="shared" si="16"/>
        <v/>
      </c>
      <c r="D158" s="7">
        <f t="shared" si="2"/>
        <v>-5826505</v>
      </c>
      <c r="E158" s="8">
        <f t="shared" si="3"/>
        <v>-0.6201144355</v>
      </c>
      <c r="F158" s="8" t="str">
        <f>IF(OR($Y158="",$Y158=0,$G158="",$G158=0),"",($S158-$G158*'03_포지션'!$B$13)/$Y158)</f>
        <v/>
      </c>
      <c r="G158" s="7">
        <f t="shared" si="4"/>
        <v>696321755</v>
      </c>
      <c r="H158" s="7" t="str">
        <f t="shared" si="5"/>
        <v/>
      </c>
      <c r="I158" s="7" t="str">
        <f t="shared" si="6"/>
        <v/>
      </c>
      <c r="J158" s="9" t="str">
        <f>IF(OR($I158="",'09_CF_원금'!$B$108=0),"",$I158/'09_CF_원금'!$B$108)</f>
        <v/>
      </c>
      <c r="K158" s="8" t="str">
        <f t="shared" si="7"/>
        <v/>
      </c>
      <c r="L158" s="8" t="str">
        <f t="shared" si="8"/>
        <v/>
      </c>
      <c r="M158" s="7">
        <f t="shared" si="9"/>
        <v>94173495</v>
      </c>
      <c r="N158" s="7" t="str">
        <f t="shared" si="10"/>
        <v/>
      </c>
      <c r="O158" s="7" t="str">
        <f t="shared" si="11"/>
        <v/>
      </c>
      <c r="P158" s="10"/>
      <c r="Q158" s="11"/>
      <c r="R158" s="11"/>
      <c r="S158" s="12">
        <v>1.03049525E9</v>
      </c>
      <c r="T158" s="12">
        <v>3.34173495E8</v>
      </c>
      <c r="U158" s="12"/>
      <c r="V158" s="12"/>
      <c r="W158" s="18" t="str">
        <f t="shared" si="17"/>
        <v/>
      </c>
      <c r="X158" s="7" t="str">
        <f t="shared" si="18"/>
        <v/>
      </c>
      <c r="Y158" s="7" t="str">
        <f t="shared" si="19"/>
        <v/>
      </c>
      <c r="Z158" s="7">
        <f t="shared" si="12"/>
        <v>1030495250</v>
      </c>
      <c r="AA158" s="14">
        <f>SUMIFS('09_CF_원금'!$E$6:$E$92,'09_CF_원금'!$D$6:$D$92,"국장",'09_CF_원금'!$A$6:$A$92,"&lt;="&amp;$A158)-SUMIFS('09_CF_원금'!$E$6:$E$92,'09_CF_원금'!$C$6:$C$92,"국장",'09_CF_원금'!$A$6:$A$92,"&lt;="&amp;$A158)</f>
        <v>240000000</v>
      </c>
      <c r="AB158" s="14">
        <f>SUMIFS('09_CF_원금'!$E$6:$E$92,'09_CF_원금'!$D$6:$D$92,"미장",'09_CF_원금'!$A$6:$A$92,"&lt;="&amp;$A158)-SUMIFS('09_CF_원금'!$E$6:$E$92,'09_CF_원금'!$C$6:$C$92,"미장",'09_CF_원금'!$A$6:$A$92,"&lt;="&amp;$A158)</f>
        <v>60000000</v>
      </c>
      <c r="AC158" s="14">
        <f>SUMIFS('09_CF_원금'!$E$6:$E$92,'09_CF_원금'!$D$6:$D$92,"ISA",'09_CF_원금'!$A$6:$A$92,"&lt;="&amp;$A158)-SUMIFS('09_CF_원금'!$E$6:$E$92,'09_CF_원금'!$C$6:$C$92,"ISA",'09_CF_원금'!$A$6:$A$92,"&lt;="&amp;$A158)</f>
        <v>40000000</v>
      </c>
      <c r="AD158" s="14">
        <f>IF($A158="","",$AA158+$AB158+$AC158+SUMIFS('09_CF_원금'!$E$6:$E$92,'09_CF_원금'!$D$6:$D$92,"중국",'09_CF_원금'!$A$6:$A$92,"&lt;="&amp;$A158)-SUMIFS('09_CF_원금'!$E$6:$E$92,'09_CF_원금'!$C$6:$C$92,"중국",'09_CF_원금'!$A$6:$A$92,"&lt;="&amp;$A158))</f>
        <v>340000000</v>
      </c>
      <c r="AE158" s="14">
        <f t="shared" si="13"/>
        <v>879668843</v>
      </c>
      <c r="AF158" s="15"/>
      <c r="AG158" s="14"/>
      <c r="AH158" s="14"/>
      <c r="AI158" s="14"/>
      <c r="AJ158" s="14"/>
      <c r="AK158" s="16">
        <f t="shared" si="14"/>
        <v>202607</v>
      </c>
      <c r="AL158" s="17" t="str">
        <f t="shared" si="15"/>
        <v/>
      </c>
    </row>
    <row r="159" ht="15.75" customHeight="1">
      <c r="A159" s="6">
        <v>46224.0</v>
      </c>
      <c r="B159" s="7">
        <f t="shared" si="1"/>
        <v>399297676</v>
      </c>
      <c r="C159" s="7" t="str">
        <f t="shared" si="16"/>
        <v/>
      </c>
      <c r="D159" s="7">
        <f t="shared" si="2"/>
        <v>59297676</v>
      </c>
      <c r="E159" s="8">
        <f t="shared" si="3"/>
        <v>-0.5460818248</v>
      </c>
      <c r="F159" s="8" t="str">
        <f>IF(OR($Y159="",$Y159=0,$G159="",$G159=0),"",($S159-$G159*'03_포지션'!$B$13)/$Y159)</f>
        <v/>
      </c>
      <c r="G159" s="7">
        <f t="shared" si="4"/>
        <v>668014824</v>
      </c>
      <c r="H159" s="7" t="str">
        <f t="shared" si="5"/>
        <v/>
      </c>
      <c r="I159" s="7" t="str">
        <f t="shared" si="6"/>
        <v/>
      </c>
      <c r="J159" s="9" t="str">
        <f>IF(OR($I159="",'09_CF_원금'!$B$108=0),"",$I159/'09_CF_원금'!$B$108)</f>
        <v/>
      </c>
      <c r="K159" s="8" t="str">
        <f t="shared" si="7"/>
        <v/>
      </c>
      <c r="L159" s="8" t="str">
        <f t="shared" si="8"/>
        <v/>
      </c>
      <c r="M159" s="7">
        <f t="shared" si="9"/>
        <v>159297676</v>
      </c>
      <c r="N159" s="7" t="str">
        <f t="shared" si="10"/>
        <v/>
      </c>
      <c r="O159" s="7" t="str">
        <f t="shared" si="11"/>
        <v/>
      </c>
      <c r="P159" s="10"/>
      <c r="Q159" s="11"/>
      <c r="R159" s="11"/>
      <c r="S159" s="12">
        <v>1.0673125E9</v>
      </c>
      <c r="T159" s="12">
        <v>3.99297676E8</v>
      </c>
      <c r="U159" s="12"/>
      <c r="V159" s="12"/>
      <c r="W159" s="18" t="str">
        <f t="shared" si="17"/>
        <v/>
      </c>
      <c r="X159" s="7" t="str">
        <f t="shared" si="18"/>
        <v/>
      </c>
      <c r="Y159" s="7" t="str">
        <f t="shared" si="19"/>
        <v/>
      </c>
      <c r="Z159" s="7">
        <f t="shared" si="12"/>
        <v>1067312500</v>
      </c>
      <c r="AA159" s="14">
        <f>SUMIFS('09_CF_원금'!$E$6:$E$92,'09_CF_원금'!$D$6:$D$92,"국장",'09_CF_원금'!$A$6:$A$92,"&lt;="&amp;$A159)-SUMIFS('09_CF_원금'!$E$6:$E$92,'09_CF_원금'!$C$6:$C$92,"국장",'09_CF_원금'!$A$6:$A$92,"&lt;="&amp;$A159)</f>
        <v>240000000</v>
      </c>
      <c r="AB159" s="14">
        <f>SUMIFS('09_CF_원금'!$E$6:$E$92,'09_CF_원금'!$D$6:$D$92,"미장",'09_CF_원금'!$A$6:$A$92,"&lt;="&amp;$A159)-SUMIFS('09_CF_원금'!$E$6:$E$92,'09_CF_원금'!$C$6:$C$92,"미장",'09_CF_원금'!$A$6:$A$92,"&lt;="&amp;$A159)</f>
        <v>60000000</v>
      </c>
      <c r="AC159" s="14">
        <f>SUMIFS('09_CF_원금'!$E$6:$E$92,'09_CF_원금'!$D$6:$D$92,"ISA",'09_CF_원금'!$A$6:$A$92,"&lt;="&amp;$A159)-SUMIFS('09_CF_원금'!$E$6:$E$92,'09_CF_원금'!$C$6:$C$92,"ISA",'09_CF_원금'!$A$6:$A$92,"&lt;="&amp;$A159)</f>
        <v>40000000</v>
      </c>
      <c r="AD159" s="14">
        <f>IF($A159="","",$AA159+$AB159+$AC159+SUMIFS('09_CF_원금'!$E$6:$E$92,'09_CF_원금'!$D$6:$D$92,"중국",'09_CF_원금'!$A$6:$A$92,"&lt;="&amp;$A159)-SUMIFS('09_CF_원금'!$E$6:$E$92,'09_CF_원금'!$C$6:$C$92,"중국",'09_CF_원금'!$A$6:$A$92,"&lt;="&amp;$A159))</f>
        <v>340000000</v>
      </c>
      <c r="AE159" s="14">
        <f t="shared" si="13"/>
        <v>879668843</v>
      </c>
      <c r="AF159" s="15"/>
      <c r="AG159" s="14"/>
      <c r="AH159" s="14"/>
      <c r="AI159" s="14"/>
      <c r="AJ159" s="14"/>
      <c r="AK159" s="16">
        <f t="shared" si="14"/>
        <v>202607</v>
      </c>
      <c r="AL159" s="17" t="str">
        <f t="shared" si="15"/>
        <v/>
      </c>
    </row>
    <row r="160" ht="15.75" customHeight="1">
      <c r="A160" s="6">
        <v>46225.0</v>
      </c>
      <c r="B160" s="7">
        <f t="shared" si="1"/>
        <v>415145334</v>
      </c>
      <c r="C160" s="7" t="str">
        <f t="shared" si="16"/>
        <v/>
      </c>
      <c r="D160" s="7">
        <f t="shared" si="2"/>
        <v>75145334</v>
      </c>
      <c r="E160" s="8">
        <f t="shared" si="3"/>
        <v>-0.528066343</v>
      </c>
      <c r="F160" s="8" t="str">
        <f>IF(OR($Y160="",$Y160=0,$G160="",$G160=0),"",($S160-$G160*'03_포지션'!$B$13)/$Y160)</f>
        <v/>
      </c>
      <c r="G160" s="7">
        <f t="shared" si="4"/>
        <v>659004666</v>
      </c>
      <c r="H160" s="7" t="str">
        <f t="shared" si="5"/>
        <v/>
      </c>
      <c r="I160" s="7" t="str">
        <f t="shared" si="6"/>
        <v/>
      </c>
      <c r="J160" s="9" t="str">
        <f>IF(OR($I160="",'09_CF_원금'!$B$108=0),"",$I160/'09_CF_원금'!$B$108)</f>
        <v/>
      </c>
      <c r="K160" s="8" t="str">
        <f t="shared" si="7"/>
        <v/>
      </c>
      <c r="L160" s="8" t="str">
        <f t="shared" si="8"/>
        <v/>
      </c>
      <c r="M160" s="7">
        <f t="shared" si="9"/>
        <v>175145334</v>
      </c>
      <c r="N160" s="7" t="str">
        <f t="shared" si="10"/>
        <v/>
      </c>
      <c r="O160" s="7" t="str">
        <f t="shared" si="11"/>
        <v/>
      </c>
      <c r="P160" s="10"/>
      <c r="Q160" s="11"/>
      <c r="R160" s="11"/>
      <c r="S160" s="12">
        <v>1.07415E9</v>
      </c>
      <c r="T160" s="12">
        <v>4.15145334E8</v>
      </c>
      <c r="U160" s="12"/>
      <c r="V160" s="12"/>
      <c r="W160" s="18" t="str">
        <f t="shared" si="17"/>
        <v/>
      </c>
      <c r="X160" s="7" t="str">
        <f t="shared" si="18"/>
        <v/>
      </c>
      <c r="Y160" s="7" t="str">
        <f t="shared" si="19"/>
        <v/>
      </c>
      <c r="Z160" s="7">
        <f t="shared" si="12"/>
        <v>1074150000</v>
      </c>
      <c r="AA160" s="14">
        <f>SUMIFS('09_CF_원금'!$E$6:$E$92,'09_CF_원금'!$D$6:$D$92,"국장",'09_CF_원금'!$A$6:$A$92,"&lt;="&amp;$A160)-SUMIFS('09_CF_원금'!$E$6:$E$92,'09_CF_원금'!$C$6:$C$92,"국장",'09_CF_원금'!$A$6:$A$92,"&lt;="&amp;$A160)</f>
        <v>240000000</v>
      </c>
      <c r="AB160" s="14">
        <f>SUMIFS('09_CF_원금'!$E$6:$E$92,'09_CF_원금'!$D$6:$D$92,"미장",'09_CF_원금'!$A$6:$A$92,"&lt;="&amp;$A160)-SUMIFS('09_CF_원금'!$E$6:$E$92,'09_CF_원금'!$C$6:$C$92,"미장",'09_CF_원금'!$A$6:$A$92,"&lt;="&amp;$A160)</f>
        <v>60000000</v>
      </c>
      <c r="AC160" s="14">
        <f>SUMIFS('09_CF_원금'!$E$6:$E$92,'09_CF_원금'!$D$6:$D$92,"ISA",'09_CF_원금'!$A$6:$A$92,"&lt;="&amp;$A160)-SUMIFS('09_CF_원금'!$E$6:$E$92,'09_CF_원금'!$C$6:$C$92,"ISA",'09_CF_원금'!$A$6:$A$92,"&lt;="&amp;$A160)</f>
        <v>40000000</v>
      </c>
      <c r="AD160" s="14">
        <f>IF($A160="","",$AA160+$AB160+$AC160+SUMIFS('09_CF_원금'!$E$6:$E$92,'09_CF_원금'!$D$6:$D$92,"중국",'09_CF_원금'!$A$6:$A$92,"&lt;="&amp;$A160)-SUMIFS('09_CF_원금'!$E$6:$E$92,'09_CF_원금'!$C$6:$C$92,"중국",'09_CF_원금'!$A$6:$A$92,"&lt;="&amp;$A160))</f>
        <v>340000000</v>
      </c>
      <c r="AE160" s="14">
        <f t="shared" si="13"/>
        <v>879668843</v>
      </c>
      <c r="AF160" s="15"/>
      <c r="AG160" s="14"/>
      <c r="AH160" s="14"/>
      <c r="AI160" s="14"/>
      <c r="AJ160" s="14"/>
      <c r="AK160" s="16">
        <f t="shared" si="14"/>
        <v>202607</v>
      </c>
      <c r="AL160" s="17" t="str">
        <f t="shared" si="15"/>
        <v/>
      </c>
    </row>
    <row r="161" ht="15.75" customHeight="1">
      <c r="A161" s="6">
        <v>46226.0</v>
      </c>
      <c r="B161" s="7">
        <f t="shared" si="1"/>
        <v>484048843</v>
      </c>
      <c r="C161" s="7" t="str">
        <f t="shared" si="16"/>
        <v/>
      </c>
      <c r="D161" s="7">
        <f t="shared" si="2"/>
        <v>144048843</v>
      </c>
      <c r="E161" s="8">
        <f t="shared" si="3"/>
        <v>-0.4497374247</v>
      </c>
      <c r="F161" s="8" t="str">
        <f>IF(OR($Y161="",$Y161=0,$G161="",$G161=0),"",($S161-$G161*'03_포지션'!$B$13)/$Y161)</f>
        <v/>
      </c>
      <c r="G161" s="7">
        <f t="shared" si="4"/>
        <v>679606157</v>
      </c>
      <c r="H161" s="7" t="str">
        <f t="shared" si="5"/>
        <v/>
      </c>
      <c r="I161" s="7" t="str">
        <f t="shared" si="6"/>
        <v/>
      </c>
      <c r="J161" s="9" t="str">
        <f>IF(OR($I161="",'09_CF_원금'!$B$108=0),"",$I161/'09_CF_원금'!$B$108)</f>
        <v/>
      </c>
      <c r="K161" s="8" t="str">
        <f t="shared" si="7"/>
        <v/>
      </c>
      <c r="L161" s="8" t="str">
        <f t="shared" si="8"/>
        <v/>
      </c>
      <c r="M161" s="7">
        <f t="shared" si="9"/>
        <v>244048843</v>
      </c>
      <c r="N161" s="7" t="str">
        <f t="shared" si="10"/>
        <v/>
      </c>
      <c r="O161" s="7" t="str">
        <f t="shared" si="11"/>
        <v/>
      </c>
      <c r="P161" s="10"/>
      <c r="Q161" s="11"/>
      <c r="R161" s="11"/>
      <c r="S161" s="12">
        <v>1.163655E9</v>
      </c>
      <c r="T161" s="12">
        <v>4.84048843E8</v>
      </c>
      <c r="U161" s="12"/>
      <c r="V161" s="12"/>
      <c r="W161" s="18" t="str">
        <f t="shared" si="17"/>
        <v/>
      </c>
      <c r="X161" s="7" t="str">
        <f t="shared" si="18"/>
        <v/>
      </c>
      <c r="Y161" s="7" t="str">
        <f t="shared" si="19"/>
        <v/>
      </c>
      <c r="Z161" s="7">
        <f t="shared" si="12"/>
        <v>1163655000</v>
      </c>
      <c r="AA161" s="14">
        <f>SUMIFS('09_CF_원금'!$E$6:$E$92,'09_CF_원금'!$D$6:$D$92,"국장",'09_CF_원금'!$A$6:$A$92,"&lt;="&amp;$A161)-SUMIFS('09_CF_원금'!$E$6:$E$92,'09_CF_원금'!$C$6:$C$92,"국장",'09_CF_원금'!$A$6:$A$92,"&lt;="&amp;$A161)</f>
        <v>240000000</v>
      </c>
      <c r="AB161" s="14">
        <f>SUMIFS('09_CF_원금'!$E$6:$E$92,'09_CF_원금'!$D$6:$D$92,"미장",'09_CF_원금'!$A$6:$A$92,"&lt;="&amp;$A161)-SUMIFS('09_CF_원금'!$E$6:$E$92,'09_CF_원금'!$C$6:$C$92,"미장",'09_CF_원금'!$A$6:$A$92,"&lt;="&amp;$A161)</f>
        <v>60000000</v>
      </c>
      <c r="AC161" s="14">
        <f>SUMIFS('09_CF_원금'!$E$6:$E$92,'09_CF_원금'!$D$6:$D$92,"ISA",'09_CF_원금'!$A$6:$A$92,"&lt;="&amp;$A161)-SUMIFS('09_CF_원금'!$E$6:$E$92,'09_CF_원금'!$C$6:$C$92,"ISA",'09_CF_원금'!$A$6:$A$92,"&lt;="&amp;$A161)</f>
        <v>40000000</v>
      </c>
      <c r="AD161" s="14">
        <f>IF($A161="","",$AA161+$AB161+$AC161+SUMIFS('09_CF_원금'!$E$6:$E$92,'09_CF_원금'!$D$6:$D$92,"중국",'09_CF_원금'!$A$6:$A$92,"&lt;="&amp;$A161)-SUMIFS('09_CF_원금'!$E$6:$E$92,'09_CF_원금'!$C$6:$C$92,"중국",'09_CF_원금'!$A$6:$A$92,"&lt;="&amp;$A161))</f>
        <v>340000000</v>
      </c>
      <c r="AE161" s="14">
        <f t="shared" si="13"/>
        <v>879668843</v>
      </c>
      <c r="AF161" s="15"/>
      <c r="AG161" s="14"/>
      <c r="AH161" s="14"/>
      <c r="AI161" s="14"/>
      <c r="AJ161" s="14"/>
      <c r="AK161" s="16">
        <f t="shared" si="14"/>
        <v>202607</v>
      </c>
      <c r="AL161" s="17" t="str">
        <f t="shared" si="15"/>
        <v/>
      </c>
    </row>
    <row r="162" ht="15.75" customHeight="1">
      <c r="A162" s="6">
        <v>46227.0</v>
      </c>
      <c r="B162" s="7">
        <f t="shared" si="1"/>
        <v>357441626</v>
      </c>
      <c r="C162" s="7" t="str">
        <f t="shared" si="16"/>
        <v/>
      </c>
      <c r="D162" s="7">
        <f t="shared" si="2"/>
        <v>17441626</v>
      </c>
      <c r="E162" s="8">
        <f t="shared" si="3"/>
        <v>-0.5936634236</v>
      </c>
      <c r="F162" s="8" t="str">
        <f>IF(OR($Y162="",$Y162=0,$G162="",$G162=0),"",($S162-$G162*'03_포지션'!$B$13)/$Y162)</f>
        <v/>
      </c>
      <c r="G162" s="7">
        <f t="shared" si="4"/>
        <v>716553974</v>
      </c>
      <c r="H162" s="7" t="str">
        <f t="shared" si="5"/>
        <v/>
      </c>
      <c r="I162" s="7" t="str">
        <f t="shared" si="6"/>
        <v/>
      </c>
      <c r="J162" s="9" t="str">
        <f>IF(OR($I162="",'09_CF_원금'!$B$108=0),"",$I162/'09_CF_원금'!$B$108)</f>
        <v/>
      </c>
      <c r="K162" s="8" t="str">
        <f t="shared" si="7"/>
        <v/>
      </c>
      <c r="L162" s="8" t="str">
        <f t="shared" si="8"/>
        <v/>
      </c>
      <c r="M162" s="7">
        <f t="shared" si="9"/>
        <v>117441626</v>
      </c>
      <c r="N162" s="7">
        <f t="shared" si="10"/>
        <v>164373395</v>
      </c>
      <c r="O162" s="7">
        <f t="shared" si="11"/>
        <v>19940752</v>
      </c>
      <c r="P162" s="10"/>
      <c r="Q162" s="11"/>
      <c r="R162" s="11" t="s">
        <v>640</v>
      </c>
      <c r="S162" s="12">
        <v>1.0739956E9</v>
      </c>
      <c r="T162" s="12">
        <v>3.57441626E8</v>
      </c>
      <c r="U162" s="12"/>
      <c r="V162" s="12"/>
      <c r="W162" s="18" t="str">
        <f t="shared" si="17"/>
        <v/>
      </c>
      <c r="X162" s="7" t="str">
        <f t="shared" si="18"/>
        <v/>
      </c>
      <c r="Y162" s="7" t="str">
        <f t="shared" si="19"/>
        <v/>
      </c>
      <c r="Z162" s="7">
        <f t="shared" si="12"/>
        <v>1073995600</v>
      </c>
      <c r="AA162" s="14">
        <f>SUMIFS('09_CF_원금'!$E$6:$E$92,'09_CF_원금'!$D$6:$D$92,"국장",'09_CF_원금'!$A$6:$A$92,"&lt;="&amp;$A162)-SUMIFS('09_CF_원금'!$E$6:$E$92,'09_CF_원금'!$C$6:$C$92,"국장",'09_CF_원금'!$A$6:$A$92,"&lt;="&amp;$A162)</f>
        <v>240000000</v>
      </c>
      <c r="AB162" s="14">
        <f>SUMIFS('09_CF_원금'!$E$6:$E$92,'09_CF_원금'!$D$6:$D$92,"미장",'09_CF_원금'!$A$6:$A$92,"&lt;="&amp;$A162)-SUMIFS('09_CF_원금'!$E$6:$E$92,'09_CF_원금'!$C$6:$C$92,"미장",'09_CF_원금'!$A$6:$A$92,"&lt;="&amp;$A162)</f>
        <v>60000000</v>
      </c>
      <c r="AC162" s="14">
        <f>SUMIFS('09_CF_원금'!$E$6:$E$92,'09_CF_원금'!$D$6:$D$92,"ISA",'09_CF_원금'!$A$6:$A$92,"&lt;="&amp;$A162)-SUMIFS('09_CF_원금'!$E$6:$E$92,'09_CF_원금'!$C$6:$C$92,"ISA",'09_CF_원금'!$A$6:$A$92,"&lt;="&amp;$A162)</f>
        <v>40000000</v>
      </c>
      <c r="AD162" s="14">
        <f>IF($A162="","",$AA162+$AB162+$AC162+SUMIFS('09_CF_원금'!$E$6:$E$92,'09_CF_원금'!$D$6:$D$92,"중국",'09_CF_원금'!$A$6:$A$92,"&lt;="&amp;$A162)-SUMIFS('09_CF_원금'!$E$6:$E$92,'09_CF_원금'!$C$6:$C$92,"중국",'09_CF_원금'!$A$6:$A$92,"&lt;="&amp;$A162))</f>
        <v>340000000</v>
      </c>
      <c r="AE162" s="14">
        <f t="shared" si="13"/>
        <v>879668843</v>
      </c>
      <c r="AF162" s="15">
        <v>28701.25</v>
      </c>
      <c r="AG162" s="14">
        <v>4.26365469E8</v>
      </c>
      <c r="AH162" s="14">
        <v>2.42051322E8</v>
      </c>
      <c r="AI162" s="14">
        <v>1.64373395E8</v>
      </c>
      <c r="AJ162" s="14">
        <v>1.9940752E7</v>
      </c>
      <c r="AK162" s="16">
        <f t="shared" si="14"/>
        <v>202607</v>
      </c>
      <c r="AL162" s="17" t="str">
        <f t="shared" si="15"/>
        <v/>
      </c>
    </row>
    <row r="163" ht="15.75" customHeight="1">
      <c r="A163" s="6">
        <v>46230.0</v>
      </c>
      <c r="B163" s="7">
        <f t="shared" si="1"/>
        <v>384135386</v>
      </c>
      <c r="C163" s="7" t="str">
        <f t="shared" si="16"/>
        <v/>
      </c>
      <c r="D163" s="7">
        <f t="shared" si="2"/>
        <v>44135386</v>
      </c>
      <c r="E163" s="8">
        <f t="shared" si="3"/>
        <v>-0.5633181861</v>
      </c>
      <c r="F163" s="8" t="str">
        <f>IF(OR($Y163="",$Y163=0,$G163="",$G163=0),"",($S163-$G163*'03_포지션'!$B$13)/$Y163)</f>
        <v/>
      </c>
      <c r="G163" s="7">
        <f t="shared" si="4"/>
        <v>716553974</v>
      </c>
      <c r="H163" s="7" t="str">
        <f t="shared" si="5"/>
        <v/>
      </c>
      <c r="I163" s="7" t="str">
        <f t="shared" si="6"/>
        <v/>
      </c>
      <c r="J163" s="9" t="str">
        <f>IF(OR($I163="",'09_CF_원금'!$B$108=0),"",$I163/'09_CF_원금'!$B$108)</f>
        <v/>
      </c>
      <c r="K163" s="8" t="str">
        <f t="shared" si="7"/>
        <v/>
      </c>
      <c r="L163" s="8" t="str">
        <f t="shared" si="8"/>
        <v/>
      </c>
      <c r="M163" s="7">
        <f t="shared" si="9"/>
        <v>144135386</v>
      </c>
      <c r="N163" s="7" t="str">
        <f t="shared" si="10"/>
        <v/>
      </c>
      <c r="O163" s="7" t="str">
        <f t="shared" si="11"/>
        <v/>
      </c>
      <c r="P163" s="10"/>
      <c r="Q163" s="11"/>
      <c r="R163" s="11"/>
      <c r="S163" s="12">
        <v>1.10068936E9</v>
      </c>
      <c r="T163" s="12">
        <v>3.84135386E8</v>
      </c>
      <c r="U163" s="12"/>
      <c r="V163" s="12"/>
      <c r="W163" s="18" t="str">
        <f t="shared" si="17"/>
        <v/>
      </c>
      <c r="X163" s="7" t="str">
        <f t="shared" si="18"/>
        <v/>
      </c>
      <c r="Y163" s="7" t="str">
        <f t="shared" si="19"/>
        <v/>
      </c>
      <c r="Z163" s="7">
        <f t="shared" si="12"/>
        <v>1100689360</v>
      </c>
      <c r="AA163" s="14">
        <f>SUMIFS('09_CF_원금'!$E$6:$E$92,'09_CF_원금'!$D$6:$D$92,"국장",'09_CF_원금'!$A$6:$A$92,"&lt;="&amp;$A163)-SUMIFS('09_CF_원금'!$E$6:$E$92,'09_CF_원금'!$C$6:$C$92,"국장",'09_CF_원금'!$A$6:$A$92,"&lt;="&amp;$A163)</f>
        <v>240000000</v>
      </c>
      <c r="AB163" s="14">
        <f>SUMIFS('09_CF_원금'!$E$6:$E$92,'09_CF_원금'!$D$6:$D$92,"미장",'09_CF_원금'!$A$6:$A$92,"&lt;="&amp;$A163)-SUMIFS('09_CF_원금'!$E$6:$E$92,'09_CF_원금'!$C$6:$C$92,"미장",'09_CF_원금'!$A$6:$A$92,"&lt;="&amp;$A163)</f>
        <v>60000000</v>
      </c>
      <c r="AC163" s="14">
        <f>SUMIFS('09_CF_원금'!$E$6:$E$92,'09_CF_원금'!$D$6:$D$92,"ISA",'09_CF_원금'!$A$6:$A$92,"&lt;="&amp;$A163)-SUMIFS('09_CF_원금'!$E$6:$E$92,'09_CF_원금'!$C$6:$C$92,"ISA",'09_CF_원금'!$A$6:$A$92,"&lt;="&amp;$A163)</f>
        <v>40000000</v>
      </c>
      <c r="AD163" s="14">
        <f>IF($A163="","",$AA163+$AB163+$AC163+SUMIFS('09_CF_원금'!$E$6:$E$92,'09_CF_원금'!$D$6:$D$92,"중국",'09_CF_원금'!$A$6:$A$92,"&lt;="&amp;$A163)-SUMIFS('09_CF_원금'!$E$6:$E$92,'09_CF_원금'!$C$6:$C$92,"중국",'09_CF_원금'!$A$6:$A$92,"&lt;="&amp;$A163))</f>
        <v>340000000</v>
      </c>
      <c r="AE163" s="14">
        <f t="shared" si="13"/>
        <v>879668843</v>
      </c>
      <c r="AF163" s="15"/>
      <c r="AG163" s="14"/>
      <c r="AH163" s="14"/>
      <c r="AI163" s="14"/>
      <c r="AJ163" s="14"/>
      <c r="AK163" s="16">
        <f t="shared" si="14"/>
        <v>202607</v>
      </c>
      <c r="AL163" s="17" t="str">
        <f t="shared" si="15"/>
        <v/>
      </c>
    </row>
    <row r="164" ht="15.75" customHeight="1">
      <c r="A164" s="6">
        <v>46231.0</v>
      </c>
      <c r="B164" s="7">
        <f t="shared" si="1"/>
        <v>217853502</v>
      </c>
      <c r="C164" s="7" t="str">
        <f t="shared" si="16"/>
        <v/>
      </c>
      <c r="D164" s="7">
        <f t="shared" si="2"/>
        <v>-122146498</v>
      </c>
      <c r="E164" s="8">
        <f t="shared" si="3"/>
        <v>-0.7523460064</v>
      </c>
      <c r="F164" s="8" t="str">
        <f>IF(OR($Y164="",$Y164=0,$G164="",$G164=0),"",($S164-$G164*'03_포지션'!$B$13)/$Y164)</f>
        <v/>
      </c>
      <c r="G164" s="7">
        <f t="shared" si="4"/>
        <v>344946498</v>
      </c>
      <c r="H164" s="7" t="str">
        <f t="shared" si="5"/>
        <v/>
      </c>
      <c r="I164" s="7" t="str">
        <f t="shared" si="6"/>
        <v/>
      </c>
      <c r="J164" s="9" t="str">
        <f>IF(OR($I164="",'09_CF_원금'!$B$108=0),"",$I164/'09_CF_원금'!$B$108)</f>
        <v/>
      </c>
      <c r="K164" s="8" t="str">
        <f t="shared" si="7"/>
        <v/>
      </c>
      <c r="L164" s="8" t="str">
        <f t="shared" si="8"/>
        <v/>
      </c>
      <c r="M164" s="7">
        <f t="shared" si="9"/>
        <v>-62146498</v>
      </c>
      <c r="N164" s="7" t="str">
        <f t="shared" si="10"/>
        <v/>
      </c>
      <c r="O164" s="7" t="str">
        <f t="shared" si="11"/>
        <v/>
      </c>
      <c r="P164" s="10"/>
      <c r="Q164" s="11"/>
      <c r="R164" s="11"/>
      <c r="S164" s="12">
        <v>5.628E8</v>
      </c>
      <c r="T164" s="12">
        <v>2.17853502E8</v>
      </c>
      <c r="U164" s="12"/>
      <c r="V164" s="12"/>
      <c r="W164" s="18" t="str">
        <f t="shared" si="17"/>
        <v/>
      </c>
      <c r="X164" s="7" t="str">
        <f t="shared" si="18"/>
        <v/>
      </c>
      <c r="Y164" s="7" t="str">
        <f t="shared" si="19"/>
        <v/>
      </c>
      <c r="Z164" s="7">
        <f t="shared" si="12"/>
        <v>562800000</v>
      </c>
      <c r="AA164" s="14">
        <f>SUMIFS('09_CF_원금'!$E$6:$E$92,'09_CF_원금'!$D$6:$D$92,"국장",'09_CF_원금'!$A$6:$A$92,"&lt;="&amp;$A164)-SUMIFS('09_CF_원금'!$E$6:$E$92,'09_CF_원금'!$C$6:$C$92,"국장",'09_CF_원금'!$A$6:$A$92,"&lt;="&amp;$A164)</f>
        <v>280000000</v>
      </c>
      <c r="AB164" s="14">
        <f>SUMIFS('09_CF_원금'!$E$6:$E$92,'09_CF_원금'!$D$6:$D$92,"미장",'09_CF_원금'!$A$6:$A$92,"&lt;="&amp;$A164)-SUMIFS('09_CF_원금'!$E$6:$E$92,'09_CF_원금'!$C$6:$C$92,"미장",'09_CF_원금'!$A$6:$A$92,"&lt;="&amp;$A164)</f>
        <v>20000000</v>
      </c>
      <c r="AC164" s="14">
        <f>SUMIFS('09_CF_원금'!$E$6:$E$92,'09_CF_원금'!$D$6:$D$92,"ISA",'09_CF_원금'!$A$6:$A$92,"&lt;="&amp;$A164)-SUMIFS('09_CF_원금'!$E$6:$E$92,'09_CF_원금'!$C$6:$C$92,"ISA",'09_CF_원금'!$A$6:$A$92,"&lt;="&amp;$A164)</f>
        <v>40000000</v>
      </c>
      <c r="AD164" s="14">
        <f>IF($A164="","",$AA164+$AB164+$AC164+SUMIFS('09_CF_원금'!$E$6:$E$92,'09_CF_원금'!$D$6:$D$92,"중국",'09_CF_원금'!$A$6:$A$92,"&lt;="&amp;$A164)-SUMIFS('09_CF_원금'!$E$6:$E$92,'09_CF_원금'!$C$6:$C$92,"중국",'09_CF_원금'!$A$6:$A$92,"&lt;="&amp;$A164))</f>
        <v>340000000</v>
      </c>
      <c r="AE164" s="14">
        <f t="shared" si="13"/>
        <v>879668843</v>
      </c>
      <c r="AF164" s="15"/>
      <c r="AG164" s="14"/>
      <c r="AH164" s="14"/>
      <c r="AI164" s="14"/>
      <c r="AJ164" s="14"/>
      <c r="AK164" s="16">
        <f t="shared" si="14"/>
        <v>202607</v>
      </c>
      <c r="AL164" s="17" t="str">
        <f t="shared" si="15"/>
        <v/>
      </c>
    </row>
    <row r="165" ht="15.75" customHeight="1">
      <c r="A165" s="6">
        <v>46232.0</v>
      </c>
      <c r="B165" s="7">
        <f t="shared" si="1"/>
        <v>216135728</v>
      </c>
      <c r="C165" s="7" t="str">
        <f t="shared" si="16"/>
        <v/>
      </c>
      <c r="D165" s="7">
        <f t="shared" si="2"/>
        <v>-123864272</v>
      </c>
      <c r="E165" s="8">
        <f t="shared" si="3"/>
        <v>-0.7542987572</v>
      </c>
      <c r="F165" s="8" t="str">
        <f>IF(OR($Y165="",$Y165=0,$G165="",$G165=0),"",($S165-$G165*'03_포지션'!$B$13)/$Y165)</f>
        <v/>
      </c>
      <c r="G165" s="7">
        <f t="shared" si="4"/>
        <v>369144272</v>
      </c>
      <c r="H165" s="7" t="str">
        <f t="shared" si="5"/>
        <v/>
      </c>
      <c r="I165" s="7" t="str">
        <f t="shared" si="6"/>
        <v/>
      </c>
      <c r="J165" s="9" t="str">
        <f>IF(OR($I165="",'09_CF_원금'!$B$108=0),"",$I165/'09_CF_원금'!$B$108)</f>
        <v/>
      </c>
      <c r="K165" s="8" t="str">
        <f t="shared" si="7"/>
        <v/>
      </c>
      <c r="L165" s="8" t="str">
        <f t="shared" si="8"/>
        <v/>
      </c>
      <c r="M165" s="7">
        <f t="shared" si="9"/>
        <v>-128864272</v>
      </c>
      <c r="N165" s="7" t="str">
        <f t="shared" si="10"/>
        <v/>
      </c>
      <c r="O165" s="7" t="str">
        <f t="shared" si="11"/>
        <v/>
      </c>
      <c r="P165" s="10"/>
      <c r="Q165" s="11"/>
      <c r="R165" s="11"/>
      <c r="S165" s="12">
        <v>5.8528E8</v>
      </c>
      <c r="T165" s="12">
        <v>2.16135728E8</v>
      </c>
      <c r="U165" s="12"/>
      <c r="V165" s="12"/>
      <c r="W165" s="18" t="str">
        <f t="shared" si="17"/>
        <v/>
      </c>
      <c r="X165" s="7" t="str">
        <f t="shared" si="18"/>
        <v/>
      </c>
      <c r="Y165" s="7" t="str">
        <f t="shared" si="19"/>
        <v/>
      </c>
      <c r="Z165" s="7">
        <f t="shared" si="12"/>
        <v>585280000</v>
      </c>
      <c r="AA165" s="14">
        <f>SUMIFS('09_CF_원금'!$E$6:$E$92,'09_CF_원금'!$D$6:$D$92,"국장",'09_CF_원금'!$A$6:$A$92,"&lt;="&amp;$A165)-SUMIFS('09_CF_원금'!$E$6:$E$92,'09_CF_원금'!$C$6:$C$92,"국장",'09_CF_원금'!$A$6:$A$92,"&lt;="&amp;$A165)</f>
        <v>345000000</v>
      </c>
      <c r="AB165" s="14">
        <f>SUMIFS('09_CF_원금'!$E$6:$E$92,'09_CF_원금'!$D$6:$D$92,"미장",'09_CF_원금'!$A$6:$A$92,"&lt;="&amp;$A165)-SUMIFS('09_CF_원금'!$E$6:$E$92,'09_CF_원금'!$C$6:$C$92,"미장",'09_CF_원금'!$A$6:$A$92,"&lt;="&amp;$A165)</f>
        <v>-45000000</v>
      </c>
      <c r="AC165" s="14">
        <f>SUMIFS('09_CF_원금'!$E$6:$E$92,'09_CF_원금'!$D$6:$D$92,"ISA",'09_CF_원금'!$A$6:$A$92,"&lt;="&amp;$A165)-SUMIFS('09_CF_원금'!$E$6:$E$92,'09_CF_원금'!$C$6:$C$92,"ISA",'09_CF_원금'!$A$6:$A$92,"&lt;="&amp;$A165)</f>
        <v>40000000</v>
      </c>
      <c r="AD165" s="14">
        <f>IF($A165="","",$AA165+$AB165+$AC165+SUMIFS('09_CF_원금'!$E$6:$E$92,'09_CF_원금'!$D$6:$D$92,"중국",'09_CF_원금'!$A$6:$A$92,"&lt;="&amp;$A165)-SUMIFS('09_CF_원금'!$E$6:$E$92,'09_CF_원금'!$C$6:$C$92,"중국",'09_CF_원금'!$A$6:$A$92,"&lt;="&amp;$A165))</f>
        <v>340000000</v>
      </c>
      <c r="AE165" s="14">
        <f t="shared" si="13"/>
        <v>879668843</v>
      </c>
      <c r="AF165" s="15"/>
      <c r="AG165" s="14"/>
      <c r="AH165" s="14"/>
      <c r="AI165" s="14"/>
      <c r="AJ165" s="14"/>
      <c r="AK165" s="16">
        <f t="shared" si="14"/>
        <v>202607</v>
      </c>
      <c r="AL165" s="17" t="str">
        <f t="shared" si="15"/>
        <v/>
      </c>
    </row>
    <row r="166" ht="15.75" customHeight="1">
      <c r="A166" s="6">
        <v>46233.0</v>
      </c>
      <c r="B166" s="7">
        <f t="shared" si="1"/>
        <v>280590881</v>
      </c>
      <c r="C166" s="7" t="str">
        <f t="shared" si="16"/>
        <v/>
      </c>
      <c r="D166" s="7">
        <f t="shared" si="2"/>
        <v>-59409119</v>
      </c>
      <c r="E166" s="8">
        <f t="shared" si="3"/>
        <v>-0.6810266918</v>
      </c>
      <c r="F166" s="8" t="str">
        <f>IF(OR($Y166="",$Y166=0,$G166="",$G166=0),"",($S166-$G166*'03_포지션'!$B$13)/$Y166)</f>
        <v/>
      </c>
      <c r="G166" s="172">
        <v>3.7096401E8</v>
      </c>
      <c r="H166" s="7">
        <f t="shared" si="5"/>
        <v>262516000</v>
      </c>
      <c r="I166" s="7">
        <f t="shared" si="6"/>
        <v>633480010</v>
      </c>
      <c r="J166" s="9">
        <f>IF(OR($I166="",'09_CF_원금'!$B$108=0),"",$I166/'09_CF_원금'!$B$108)</f>
        <v>7.918500125</v>
      </c>
      <c r="K166" s="8">
        <f t="shared" si="7"/>
        <v>0.728521463</v>
      </c>
      <c r="L166" s="8">
        <f t="shared" si="8"/>
        <v>0.04871492073</v>
      </c>
      <c r="M166" s="7" t="str">
        <f t="shared" si="9"/>
        <v/>
      </c>
      <c r="N166" s="7">
        <f t="shared" si="10"/>
        <v>101579497</v>
      </c>
      <c r="O166" s="7">
        <f t="shared" si="11"/>
        <v>-10882562</v>
      </c>
      <c r="P166" s="10" t="s">
        <v>663</v>
      </c>
      <c r="Q166" s="11" t="s">
        <v>664</v>
      </c>
      <c r="R166" s="11" t="s">
        <v>665</v>
      </c>
      <c r="S166" s="12">
        <v>5.65857956E8</v>
      </c>
      <c r="T166" s="12"/>
      <c r="U166" s="12">
        <v>5.6579497E7</v>
      </c>
      <c r="V166" s="12">
        <v>2.9117438E7</v>
      </c>
      <c r="W166" s="13">
        <v>4.4528891E7</v>
      </c>
      <c r="X166" s="13">
        <v>8.69542E8</v>
      </c>
      <c r="Y166" s="7" t="str">
        <f t="shared" si="19"/>
        <v/>
      </c>
      <c r="Z166" s="7">
        <f t="shared" si="12"/>
        <v>651554891</v>
      </c>
      <c r="AA166" s="14">
        <f>SUMIFS('09_CF_원금'!$E$6:$E$92,'09_CF_원금'!$D$6:$D$92,"국장",'09_CF_원금'!$A$6:$A$92,"&lt;="&amp;$A166)-SUMIFS('09_CF_원금'!$E$6:$E$92,'09_CF_원금'!$C$6:$C$92,"국장",'09_CF_원금'!$A$6:$A$92,"&lt;="&amp;$A166)</f>
        <v>345000000</v>
      </c>
      <c r="AB166" s="14">
        <f>SUMIFS('09_CF_원금'!$E$6:$E$92,'09_CF_원금'!$D$6:$D$92,"미장",'09_CF_원금'!$A$6:$A$92,"&lt;="&amp;$A166)-SUMIFS('09_CF_원금'!$E$6:$E$92,'09_CF_원금'!$C$6:$C$92,"미장",'09_CF_원금'!$A$6:$A$92,"&lt;="&amp;$A166)</f>
        <v>-45000000</v>
      </c>
      <c r="AC166" s="14">
        <f>SUMIFS('09_CF_원금'!$E$6:$E$92,'09_CF_원금'!$D$6:$D$92,"ISA",'09_CF_원금'!$A$6:$A$92,"&lt;="&amp;$A166)-SUMIFS('09_CF_원금'!$E$6:$E$92,'09_CF_원금'!$C$6:$C$92,"ISA",'09_CF_원금'!$A$6:$A$92,"&lt;="&amp;$A166)</f>
        <v>40000000</v>
      </c>
      <c r="AD166" s="14">
        <f>IF($A166="","",$AA166+$AB166+$AC166+SUMIFS('09_CF_원금'!$E$6:$E$92,'09_CF_원금'!$D$6:$D$92,"중국",'09_CF_원금'!$A$6:$A$92,"&lt;="&amp;$A166)-SUMIFS('09_CF_원금'!$E$6:$E$92,'09_CF_원금'!$C$6:$C$92,"중국",'09_CF_원금'!$A$6:$A$92,"&lt;="&amp;$A166))</f>
        <v>340000000</v>
      </c>
      <c r="AE166" s="14">
        <f t="shared" si="13"/>
        <v>879668843</v>
      </c>
      <c r="AF166" s="15">
        <v>28701.25</v>
      </c>
      <c r="AG166" s="14"/>
      <c r="AH166" s="14"/>
      <c r="AI166" s="14"/>
      <c r="AJ166" s="14"/>
      <c r="AK166" s="16">
        <f t="shared" si="14"/>
        <v>202607</v>
      </c>
      <c r="AL166" s="17">
        <f t="shared" si="15"/>
        <v>-2</v>
      </c>
    </row>
    <row r="167" ht="15.75" customHeight="1">
      <c r="A167" s="6">
        <v>46234.0</v>
      </c>
      <c r="B167" s="7">
        <f t="shared" si="1"/>
        <v>513900030</v>
      </c>
      <c r="C167" s="7" t="str">
        <f t="shared" si="16"/>
        <v/>
      </c>
      <c r="D167" s="7">
        <f t="shared" si="2"/>
        <v>173900030</v>
      </c>
      <c r="E167" s="8">
        <f t="shared" si="3"/>
        <v>-0.4158028512</v>
      </c>
      <c r="F167" s="8" t="str">
        <f>IF(OR($Y167="",$Y167=0,$G167="",$G167=0),"",($S167-$G167*'03_포지션'!$B$13)/$Y167)</f>
        <v/>
      </c>
      <c r="G167" s="172">
        <v>4.24609085E8</v>
      </c>
      <c r="H167" s="7">
        <f t="shared" si="5"/>
        <v>378483000</v>
      </c>
      <c r="I167" s="7">
        <f t="shared" si="6"/>
        <v>803092085</v>
      </c>
      <c r="J167" s="9">
        <f>IF(OR($I167="",'09_CF_원금'!$B$108=0),"",$I167/'09_CF_원금'!$B$108)</f>
        <v>10.03865106</v>
      </c>
      <c r="K167" s="8">
        <f t="shared" si="7"/>
        <v>0.6123768171</v>
      </c>
      <c r="L167" s="8">
        <f t="shared" si="8"/>
        <v>0.004219930352</v>
      </c>
      <c r="M167" s="7" t="str">
        <f t="shared" si="9"/>
        <v/>
      </c>
      <c r="N167" s="7">
        <f t="shared" si="10"/>
        <v>104980010</v>
      </c>
      <c r="O167" s="7">
        <f t="shared" si="11"/>
        <v>1355748</v>
      </c>
      <c r="P167" s="10" t="s">
        <v>666</v>
      </c>
      <c r="Q167" s="11"/>
      <c r="R167" s="11"/>
      <c r="S167" s="12">
        <v>8.37173357E8</v>
      </c>
      <c r="T167" s="12"/>
      <c r="U167" s="12">
        <v>5.998001E7</v>
      </c>
      <c r="V167" s="12">
        <v>4.1355748E7</v>
      </c>
      <c r="W167" s="13">
        <v>5557615.0</v>
      </c>
      <c r="X167" s="13">
        <v>1.3114345E9</v>
      </c>
      <c r="Y167" s="7" t="str">
        <f t="shared" si="19"/>
        <v/>
      </c>
      <c r="Z167" s="7">
        <f t="shared" si="12"/>
        <v>938509115</v>
      </c>
      <c r="AA167" s="14">
        <f>SUMIFS('09_CF_원금'!$E$6:$E$92,'09_CF_원금'!$D$6:$D$92,"국장",'09_CF_원금'!$A$6:$A$92,"&lt;="&amp;$A167)-SUMIFS('09_CF_원금'!$E$6:$E$92,'09_CF_원금'!$C$6:$C$92,"국장",'09_CF_원금'!$A$6:$A$92,"&lt;="&amp;$A167)</f>
        <v>345000000</v>
      </c>
      <c r="AB167" s="14">
        <f>SUMIFS('09_CF_원금'!$E$6:$E$92,'09_CF_원금'!$D$6:$D$92,"미장",'09_CF_원금'!$A$6:$A$92,"&lt;="&amp;$A167)-SUMIFS('09_CF_원금'!$E$6:$E$92,'09_CF_원금'!$C$6:$C$92,"미장",'09_CF_원금'!$A$6:$A$92,"&lt;="&amp;$A167)</f>
        <v>-45000000</v>
      </c>
      <c r="AC167" s="14">
        <f>SUMIFS('09_CF_원금'!$E$6:$E$92,'09_CF_원금'!$D$6:$D$92,"ISA",'09_CF_원금'!$A$6:$A$92,"&lt;="&amp;$A167)-SUMIFS('09_CF_원금'!$E$6:$E$92,'09_CF_원금'!$C$6:$C$92,"ISA",'09_CF_원금'!$A$6:$A$92,"&lt;="&amp;$A167)</f>
        <v>40000000</v>
      </c>
      <c r="AD167" s="14">
        <f>IF($A167="","",$AA167+$AB167+$AC167+SUMIFS('09_CF_원금'!$E$6:$E$92,'09_CF_원금'!$D$6:$D$92,"중국",'09_CF_원금'!$A$6:$A$92,"&lt;="&amp;$A167)-SUMIFS('09_CF_원금'!$E$6:$E$92,'09_CF_원금'!$C$6:$C$92,"중국",'09_CF_원금'!$A$6:$A$92,"&lt;="&amp;$A167))</f>
        <v>340000000</v>
      </c>
      <c r="AE167" s="14">
        <f t="shared" si="13"/>
        <v>879668843</v>
      </c>
      <c r="AF167" s="15"/>
      <c r="AG167" s="14"/>
      <c r="AH167" s="14"/>
      <c r="AI167" s="14"/>
      <c r="AJ167" s="14"/>
      <c r="AK167" s="16">
        <f t="shared" si="14"/>
        <v>202607</v>
      </c>
      <c r="AL167" s="17">
        <f t="shared" si="15"/>
        <v>0</v>
      </c>
    </row>
    <row r="168" ht="15.75" customHeight="1">
      <c r="A168" s="6">
        <v>46237.0</v>
      </c>
      <c r="B168" s="7" t="str">
        <f t="shared" si="1"/>
        <v/>
      </c>
      <c r="C168" s="7" t="str">
        <f t="shared" si="16"/>
        <v/>
      </c>
      <c r="D168" s="7" t="str">
        <f t="shared" si="2"/>
        <v/>
      </c>
      <c r="E168" s="8" t="str">
        <f t="shared" si="3"/>
        <v/>
      </c>
      <c r="F168" s="8" t="str">
        <f>IF(OR($Y168="",$Y168=0,$G168="",$G168=0),"",($S168-$G168*'03_포지션'!$B$13)/$Y168)</f>
        <v/>
      </c>
      <c r="G168" s="7" t="str">
        <f>IF(OR($S168="",$T168=""),"",$S168-$T168)</f>
        <v/>
      </c>
      <c r="H168" s="7" t="str">
        <f t="shared" si="5"/>
        <v/>
      </c>
      <c r="I168" s="7" t="str">
        <f t="shared" si="6"/>
        <v/>
      </c>
      <c r="J168" s="9" t="str">
        <f>IF(OR($I168="",'09_CF_원금'!$B$108=0),"",$I168/'09_CF_원금'!$B$108)</f>
        <v/>
      </c>
      <c r="K168" s="8" t="str">
        <f t="shared" si="7"/>
        <v/>
      </c>
      <c r="L168" s="8">
        <f t="shared" si="8"/>
        <v>0.004219930352</v>
      </c>
      <c r="M168" s="7" t="str">
        <f t="shared" si="9"/>
        <v/>
      </c>
      <c r="N168" s="7" t="str">
        <f t="shared" si="10"/>
        <v/>
      </c>
      <c r="O168" s="7" t="str">
        <f t="shared" si="11"/>
        <v/>
      </c>
      <c r="P168" s="10"/>
      <c r="Q168" s="11"/>
      <c r="R168" s="11"/>
      <c r="S168" s="12"/>
      <c r="T168" s="12"/>
      <c r="U168" s="12"/>
      <c r="V168" s="12"/>
      <c r="W168" s="18">
        <f>IF($A168="","",IF($W167="","",$W167))</f>
        <v>5557615</v>
      </c>
      <c r="X168" s="7">
        <f>IF($A168="","",IFERROR(IF(OR($Z168="",$Z167="",$X167="",($Z167-IF($W167="",0,$W167))=0),IF($X167="","",$X167),($Z168-IF($W168="",0,$W168))+($X167-($Z167-IF($W167="",0,$W167)))*(1+2*(($Z168-IF($W168="",0,$W168))/($Z167-IF($W167="",0,$W167))-1))),IF($X167="","",$X167)))</f>
        <v>1311434500</v>
      </c>
      <c r="Y168" s="7" t="str">
        <f t="shared" si="19"/>
        <v/>
      </c>
      <c r="Z168" s="7" t="str">
        <f t="shared" si="12"/>
        <v/>
      </c>
      <c r="AA168" s="14">
        <f>SUMIFS('09_CF_원금'!$E$6:$E$92,'09_CF_원금'!$D$6:$D$92,"국장",'09_CF_원금'!$A$6:$A$92,"&lt;="&amp;$A168)-SUMIFS('09_CF_원금'!$E$6:$E$92,'09_CF_원금'!$C$6:$C$92,"국장",'09_CF_원금'!$A$6:$A$92,"&lt;="&amp;$A168)</f>
        <v>365000000</v>
      </c>
      <c r="AB168" s="14">
        <f>SUMIFS('09_CF_원금'!$E$6:$E$92,'09_CF_원금'!$D$6:$D$92,"미장",'09_CF_원금'!$A$6:$A$92,"&lt;="&amp;$A168)-SUMIFS('09_CF_원금'!$E$6:$E$92,'09_CF_원금'!$C$6:$C$92,"미장",'09_CF_원금'!$A$6:$A$92,"&lt;="&amp;$A168)</f>
        <v>-65000000</v>
      </c>
      <c r="AC168" s="14">
        <f>SUMIFS('09_CF_원금'!$E$6:$E$92,'09_CF_원금'!$D$6:$D$92,"ISA",'09_CF_원금'!$A$6:$A$92,"&lt;="&amp;$A168)-SUMIFS('09_CF_원금'!$E$6:$E$92,'09_CF_원금'!$C$6:$C$92,"ISA",'09_CF_원금'!$A$6:$A$92,"&lt;="&amp;$A168)</f>
        <v>40000000</v>
      </c>
      <c r="AD168" s="14">
        <f>IF($A168="","",$AA168+$AB168+$AC168+SUMIFS('09_CF_원금'!$E$6:$E$92,'09_CF_원금'!$D$6:$D$92,"중국",'09_CF_원금'!$A$6:$A$92,"&lt;="&amp;$A168)-SUMIFS('09_CF_원금'!$E$6:$E$92,'09_CF_원금'!$C$6:$C$92,"중국",'09_CF_원금'!$A$6:$A$92,"&lt;="&amp;$A168))</f>
        <v>340000000</v>
      </c>
      <c r="AE168" s="14" t="str">
        <f t="shared" si="13"/>
        <v/>
      </c>
      <c r="AF168" s="15"/>
      <c r="AG168" s="14"/>
      <c r="AH168" s="14"/>
      <c r="AI168" s="14"/>
      <c r="AJ168" s="14"/>
      <c r="AK168" s="16">
        <f t="shared" si="14"/>
        <v>202608</v>
      </c>
      <c r="AL168" s="17" t="str">
        <f t="shared" si="15"/>
        <v/>
      </c>
    </row>
    <row r="169" ht="15.75" customHeight="1">
      <c r="A169" s="6">
        <v>46238.0</v>
      </c>
      <c r="B169" s="7">
        <f t="shared" si="1"/>
        <v>485288719</v>
      </c>
      <c r="C169" s="7" t="str">
        <f t="shared" si="16"/>
        <v/>
      </c>
      <c r="D169" s="7">
        <f t="shared" si="2"/>
        <v>145288719</v>
      </c>
      <c r="E169" s="8">
        <f t="shared" si="3"/>
        <v>-0.4483279442</v>
      </c>
      <c r="F169" s="8" t="str">
        <f>IF(OR($Y169="",$Y169=0,$G169="",$G169=0),"",($S169-$G169*'03_포지션'!$B$13)/$Y169)</f>
        <v/>
      </c>
      <c r="G169" s="172">
        <v>4.78436585E8</v>
      </c>
      <c r="H169" s="7">
        <f t="shared" si="5"/>
        <v>286150000</v>
      </c>
      <c r="I169" s="7">
        <f t="shared" si="6"/>
        <v>764586585</v>
      </c>
      <c r="J169" s="9">
        <f>IF(OR($I169="",'09_CF_원금'!$B$108=0),"",$I169/'09_CF_원금'!$B$108)</f>
        <v>9.557332313</v>
      </c>
      <c r="K169" s="8">
        <f t="shared" si="7"/>
        <v>0.6129422264</v>
      </c>
      <c r="L169" s="8">
        <f t="shared" si="8"/>
        <v>0.001977240443</v>
      </c>
      <c r="M169" s="7" t="str">
        <f t="shared" si="9"/>
        <v/>
      </c>
      <c r="N169" s="7">
        <f t="shared" si="10"/>
        <v>115400000</v>
      </c>
      <c r="O169" s="7">
        <f t="shared" si="11"/>
        <v>-3028634</v>
      </c>
      <c r="P169" s="10"/>
      <c r="Q169" s="11"/>
      <c r="R169" s="11"/>
      <c r="S169" s="12">
        <v>8.76353938E8</v>
      </c>
      <c r="T169" s="12"/>
      <c r="U169" s="12">
        <v>5.04E7</v>
      </c>
      <c r="V169" s="12">
        <v>3.6971366E7</v>
      </c>
      <c r="W169" s="13">
        <v>2471304.0</v>
      </c>
      <c r="X169" s="13">
        <v>1.247404E9</v>
      </c>
      <c r="Y169" s="7" t="str">
        <f t="shared" si="19"/>
        <v/>
      </c>
      <c r="Z169" s="7">
        <f t="shared" si="12"/>
        <v>963725304</v>
      </c>
      <c r="AA169" s="14">
        <f>SUMIFS('09_CF_원금'!$E$6:$E$92,'09_CF_원금'!$D$6:$D$92,"국장",'09_CF_원금'!$A$6:$A$92,"&lt;="&amp;$A169)-SUMIFS('09_CF_원금'!$E$6:$E$92,'09_CF_원금'!$C$6:$C$92,"국장",'09_CF_원금'!$A$6:$A$92,"&lt;="&amp;$A169)</f>
        <v>365000000</v>
      </c>
      <c r="AB169" s="14">
        <f>SUMIFS('09_CF_원금'!$E$6:$E$92,'09_CF_원금'!$D$6:$D$92,"미장",'09_CF_원금'!$A$6:$A$92,"&lt;="&amp;$A169)-SUMIFS('09_CF_원금'!$E$6:$E$92,'09_CF_원금'!$C$6:$C$92,"미장",'09_CF_원금'!$A$6:$A$92,"&lt;="&amp;$A169)</f>
        <v>-65000000</v>
      </c>
      <c r="AC169" s="14">
        <f>SUMIFS('09_CF_원금'!$E$6:$E$92,'09_CF_원금'!$D$6:$D$92,"ISA",'09_CF_원금'!$A$6:$A$92,"&lt;="&amp;$A169)-SUMIFS('09_CF_원금'!$E$6:$E$92,'09_CF_원금'!$C$6:$C$92,"ISA",'09_CF_원금'!$A$6:$A$92,"&lt;="&amp;$A169)</f>
        <v>40000000</v>
      </c>
      <c r="AD169" s="14">
        <f>IF($A169="","",$AA169+$AB169+$AC169+SUMIFS('09_CF_원금'!$E$6:$E$92,'09_CF_원금'!$D$6:$D$92,"중국",'09_CF_원금'!$A$6:$A$92,"&lt;="&amp;$A169)-SUMIFS('09_CF_원금'!$E$6:$E$92,'09_CF_원금'!$C$6:$C$92,"중국",'09_CF_원금'!$A$6:$A$92,"&lt;="&amp;$A169))</f>
        <v>340000000</v>
      </c>
      <c r="AE169" s="14">
        <f t="shared" si="13"/>
        <v>879668843</v>
      </c>
      <c r="AF169" s="15"/>
      <c r="AG169" s="14"/>
      <c r="AH169" s="14"/>
      <c r="AI169" s="14"/>
      <c r="AJ169" s="14"/>
      <c r="AK169" s="16">
        <f t="shared" si="14"/>
        <v>202608</v>
      </c>
      <c r="AL169" s="17" t="str">
        <f t="shared" si="15"/>
        <v/>
      </c>
    </row>
    <row r="170" ht="15.75" customHeight="1">
      <c r="A170" s="6">
        <v>46239.0</v>
      </c>
      <c r="B170" s="7" t="str">
        <f t="shared" si="1"/>
        <v/>
      </c>
      <c r="C170" s="7" t="str">
        <f t="shared" si="16"/>
        <v/>
      </c>
      <c r="D170" s="7" t="str">
        <f t="shared" si="2"/>
        <v/>
      </c>
      <c r="E170" s="8" t="str">
        <f t="shared" si="3"/>
        <v/>
      </c>
      <c r="F170" s="8" t="str">
        <f>IF(OR($Y170="",$Y170=0,$G170="",$G170=0),"",($S170-$G170*'03_포지션'!$B$13)/$Y170)</f>
        <v/>
      </c>
      <c r="G170" s="7" t="str">
        <f t="shared" ref="G170:G172" si="20">IF(OR($S170="",$T170=""),"",$S170-$T170)</f>
        <v/>
      </c>
      <c r="H170" s="7" t="str">
        <f t="shared" si="5"/>
        <v/>
      </c>
      <c r="I170" s="7" t="str">
        <f t="shared" si="6"/>
        <v/>
      </c>
      <c r="J170" s="9" t="str">
        <f>IF(OR($I170="",'09_CF_원금'!$B$108=0),"",$I170/'09_CF_원금'!$B$108)</f>
        <v/>
      </c>
      <c r="K170" s="8" t="str">
        <f t="shared" si="7"/>
        <v/>
      </c>
      <c r="L170" s="8">
        <f t="shared" si="8"/>
        <v>0.001977240443</v>
      </c>
      <c r="M170" s="7" t="str">
        <f t="shared" si="9"/>
        <v/>
      </c>
      <c r="N170" s="7" t="str">
        <f t="shared" si="10"/>
        <v/>
      </c>
      <c r="O170" s="7" t="str">
        <f t="shared" si="11"/>
        <v/>
      </c>
      <c r="P170" s="10"/>
      <c r="Q170" s="11"/>
      <c r="R170" s="11"/>
      <c r="S170" s="12"/>
      <c r="T170" s="12"/>
      <c r="U170" s="12"/>
      <c r="V170" s="12"/>
      <c r="W170" s="18">
        <f t="shared" ref="W170:W172" si="21">IF($A170="","",IF($W169="","",$W169))</f>
        <v>2471304</v>
      </c>
      <c r="X170" s="7">
        <f t="shared" ref="X170:X172" si="22">IF($A170="","",IFERROR(IF(OR($Z170="",$Z169="",$X169="",($Z169-IF($W169="",0,$W169))=0),IF($X169="","",$X169),($Z170-IF($W170="",0,$W170))+($X169-($Z169-IF($W169="",0,$W169)))*(1+2*(($Z170-IF($W170="",0,$W170))/($Z169-IF($W169="",0,$W169))-1))),IF($X169="","",$X169)))</f>
        <v>1247404000</v>
      </c>
      <c r="Y170" s="7" t="str">
        <f t="shared" si="19"/>
        <v/>
      </c>
      <c r="Z170" s="7" t="str">
        <f t="shared" si="12"/>
        <v/>
      </c>
      <c r="AA170" s="14">
        <f>SUMIFS('09_CF_원금'!$E$6:$E$92,'09_CF_원금'!$D$6:$D$92,"국장",'09_CF_원금'!$A$6:$A$92,"&lt;="&amp;$A170)-SUMIFS('09_CF_원금'!$E$6:$E$92,'09_CF_원금'!$C$6:$C$92,"국장",'09_CF_원금'!$A$6:$A$92,"&lt;="&amp;$A170)</f>
        <v>365000000</v>
      </c>
      <c r="AB170" s="14">
        <f>SUMIFS('09_CF_원금'!$E$6:$E$92,'09_CF_원금'!$D$6:$D$92,"미장",'09_CF_원금'!$A$6:$A$92,"&lt;="&amp;$A170)-SUMIFS('09_CF_원금'!$E$6:$E$92,'09_CF_원금'!$C$6:$C$92,"미장",'09_CF_원금'!$A$6:$A$92,"&lt;="&amp;$A170)</f>
        <v>-65000000</v>
      </c>
      <c r="AC170" s="14">
        <f>SUMIFS('09_CF_원금'!$E$6:$E$92,'09_CF_원금'!$D$6:$D$92,"ISA",'09_CF_원금'!$A$6:$A$92,"&lt;="&amp;$A170)-SUMIFS('09_CF_원금'!$E$6:$E$92,'09_CF_원금'!$C$6:$C$92,"ISA",'09_CF_원금'!$A$6:$A$92,"&lt;="&amp;$A170)</f>
        <v>40000000</v>
      </c>
      <c r="AD170" s="14">
        <f>IF($A170="","",$AA170+$AB170+$AC170+SUMIFS('09_CF_원금'!$E$6:$E$92,'09_CF_원금'!$D$6:$D$92,"중국",'09_CF_원금'!$A$6:$A$92,"&lt;="&amp;$A170)-SUMIFS('09_CF_원금'!$E$6:$E$92,'09_CF_원금'!$C$6:$C$92,"중국",'09_CF_원금'!$A$6:$A$92,"&lt;="&amp;$A170))</f>
        <v>340000000</v>
      </c>
      <c r="AE170" s="14" t="str">
        <f t="shared" si="13"/>
        <v/>
      </c>
      <c r="AF170" s="15"/>
      <c r="AG170" s="14"/>
      <c r="AH170" s="14"/>
      <c r="AI170" s="14"/>
      <c r="AJ170" s="14"/>
      <c r="AK170" s="16">
        <f t="shared" si="14"/>
        <v>202608</v>
      </c>
      <c r="AL170" s="17" t="str">
        <f t="shared" si="15"/>
        <v/>
      </c>
    </row>
    <row r="171" ht="15.75" customHeight="1">
      <c r="A171" s="6">
        <v>46240.0</v>
      </c>
      <c r="B171" s="7" t="str">
        <f t="shared" si="1"/>
        <v/>
      </c>
      <c r="C171" s="7" t="str">
        <f t="shared" si="16"/>
        <v/>
      </c>
      <c r="D171" s="7" t="str">
        <f t="shared" si="2"/>
        <v/>
      </c>
      <c r="E171" s="8" t="str">
        <f t="shared" si="3"/>
        <v/>
      </c>
      <c r="F171" s="8" t="str">
        <f>IF(OR($Y171="",$Y171=0,$G171="",$G171=0),"",($S171-$G171*'03_포지션'!$B$13)/$Y171)</f>
        <v/>
      </c>
      <c r="G171" s="7" t="str">
        <f t="shared" si="20"/>
        <v/>
      </c>
      <c r="H171" s="7" t="str">
        <f t="shared" si="5"/>
        <v/>
      </c>
      <c r="I171" s="7" t="str">
        <f t="shared" si="6"/>
        <v/>
      </c>
      <c r="J171" s="9" t="str">
        <f>IF(OR($I171="",'09_CF_원금'!$B$108=0),"",$I171/'09_CF_원금'!$B$108)</f>
        <v/>
      </c>
      <c r="K171" s="8" t="str">
        <f t="shared" si="7"/>
        <v/>
      </c>
      <c r="L171" s="8">
        <f t="shared" si="8"/>
        <v>0.001977240443</v>
      </c>
      <c r="M171" s="7" t="str">
        <f t="shared" si="9"/>
        <v/>
      </c>
      <c r="N171" s="7" t="str">
        <f t="shared" si="10"/>
        <v/>
      </c>
      <c r="O171" s="7" t="str">
        <f t="shared" si="11"/>
        <v/>
      </c>
      <c r="P171" s="10"/>
      <c r="Q171" s="11"/>
      <c r="R171" s="11"/>
      <c r="S171" s="12"/>
      <c r="T171" s="12"/>
      <c r="U171" s="12"/>
      <c r="V171" s="12"/>
      <c r="W171" s="18">
        <f t="shared" si="21"/>
        <v>2471304</v>
      </c>
      <c r="X171" s="7">
        <f t="shared" si="22"/>
        <v>1247404000</v>
      </c>
      <c r="Y171" s="7" t="str">
        <f t="shared" si="19"/>
        <v/>
      </c>
      <c r="Z171" s="7" t="str">
        <f t="shared" si="12"/>
        <v/>
      </c>
      <c r="AA171" s="14">
        <f>SUMIFS('09_CF_원금'!$E$6:$E$92,'09_CF_원금'!$D$6:$D$92,"국장",'09_CF_원금'!$A$6:$A$92,"&lt;="&amp;$A171)-SUMIFS('09_CF_원금'!$E$6:$E$92,'09_CF_원금'!$C$6:$C$92,"국장",'09_CF_원금'!$A$6:$A$92,"&lt;="&amp;$A171)</f>
        <v>365000000</v>
      </c>
      <c r="AB171" s="14">
        <f>SUMIFS('09_CF_원금'!$E$6:$E$92,'09_CF_원금'!$D$6:$D$92,"미장",'09_CF_원금'!$A$6:$A$92,"&lt;="&amp;$A171)-SUMIFS('09_CF_원금'!$E$6:$E$92,'09_CF_원금'!$C$6:$C$92,"미장",'09_CF_원금'!$A$6:$A$92,"&lt;="&amp;$A171)</f>
        <v>-65000000</v>
      </c>
      <c r="AC171" s="14">
        <f>SUMIFS('09_CF_원금'!$E$6:$E$92,'09_CF_원금'!$D$6:$D$92,"ISA",'09_CF_원금'!$A$6:$A$92,"&lt;="&amp;$A171)-SUMIFS('09_CF_원금'!$E$6:$E$92,'09_CF_원금'!$C$6:$C$92,"ISA",'09_CF_원금'!$A$6:$A$92,"&lt;="&amp;$A171)</f>
        <v>40000000</v>
      </c>
      <c r="AD171" s="14">
        <f>IF($A171="","",$AA171+$AB171+$AC171+SUMIFS('09_CF_원금'!$E$6:$E$92,'09_CF_원금'!$D$6:$D$92,"중국",'09_CF_원금'!$A$6:$A$92,"&lt;="&amp;$A171)-SUMIFS('09_CF_원금'!$E$6:$E$92,'09_CF_원금'!$C$6:$C$92,"중국",'09_CF_원금'!$A$6:$A$92,"&lt;="&amp;$A171))</f>
        <v>340000000</v>
      </c>
      <c r="AE171" s="14" t="str">
        <f t="shared" si="13"/>
        <v/>
      </c>
      <c r="AF171" s="15"/>
      <c r="AG171" s="14"/>
      <c r="AH171" s="14"/>
      <c r="AI171" s="14"/>
      <c r="AJ171" s="14"/>
      <c r="AK171" s="16">
        <f t="shared" si="14"/>
        <v>202608</v>
      </c>
      <c r="AL171" s="17" t="str">
        <f t="shared" si="15"/>
        <v/>
      </c>
    </row>
    <row r="172" ht="15.75" customHeight="1">
      <c r="A172" s="6">
        <v>46241.0</v>
      </c>
      <c r="B172" s="7" t="str">
        <f t="shared" si="1"/>
        <v/>
      </c>
      <c r="C172" s="7" t="str">
        <f t="shared" si="16"/>
        <v/>
      </c>
      <c r="D172" s="7" t="str">
        <f t="shared" si="2"/>
        <v/>
      </c>
      <c r="E172" s="8" t="str">
        <f t="shared" si="3"/>
        <v/>
      </c>
      <c r="F172" s="8" t="str">
        <f>IF(OR($Y172="",$Y172=0,$G172="",$G172=0),"",($S172-$G172*'03_포지션'!$B$13)/$Y172)</f>
        <v/>
      </c>
      <c r="G172" s="7" t="str">
        <f t="shared" si="20"/>
        <v/>
      </c>
      <c r="H172" s="7" t="str">
        <f t="shared" si="5"/>
        <v/>
      </c>
      <c r="I172" s="7" t="str">
        <f t="shared" si="6"/>
        <v/>
      </c>
      <c r="J172" s="9" t="str">
        <f>IF(OR($I172="",'09_CF_원금'!$B$108=0),"",$I172/'09_CF_원금'!$B$108)</f>
        <v/>
      </c>
      <c r="K172" s="8" t="str">
        <f t="shared" si="7"/>
        <v/>
      </c>
      <c r="L172" s="8">
        <f t="shared" si="8"/>
        <v>0.001977240443</v>
      </c>
      <c r="M172" s="7" t="str">
        <f t="shared" si="9"/>
        <v/>
      </c>
      <c r="N172" s="7" t="str">
        <f t="shared" si="10"/>
        <v/>
      </c>
      <c r="O172" s="7" t="str">
        <f t="shared" si="11"/>
        <v/>
      </c>
      <c r="P172" s="10"/>
      <c r="Q172" s="11"/>
      <c r="R172" s="11"/>
      <c r="S172" s="12"/>
      <c r="T172" s="12"/>
      <c r="U172" s="12"/>
      <c r="V172" s="12"/>
      <c r="W172" s="18">
        <f t="shared" si="21"/>
        <v>2471304</v>
      </c>
      <c r="X172" s="7">
        <f t="shared" si="22"/>
        <v>1247404000</v>
      </c>
      <c r="Y172" s="7" t="str">
        <f t="shared" si="19"/>
        <v/>
      </c>
      <c r="Z172" s="7" t="str">
        <f t="shared" si="12"/>
        <v/>
      </c>
      <c r="AA172" s="14">
        <f>SUMIFS('09_CF_원금'!$E$6:$E$92,'09_CF_원금'!$D$6:$D$92,"국장",'09_CF_원금'!$A$6:$A$92,"&lt;="&amp;$A172)-SUMIFS('09_CF_원금'!$E$6:$E$92,'09_CF_원금'!$C$6:$C$92,"국장",'09_CF_원금'!$A$6:$A$92,"&lt;="&amp;$A172)</f>
        <v>365000000</v>
      </c>
      <c r="AB172" s="14">
        <f>SUMIFS('09_CF_원금'!$E$6:$E$92,'09_CF_원금'!$D$6:$D$92,"미장",'09_CF_원금'!$A$6:$A$92,"&lt;="&amp;$A172)-SUMIFS('09_CF_원금'!$E$6:$E$92,'09_CF_원금'!$C$6:$C$92,"미장",'09_CF_원금'!$A$6:$A$92,"&lt;="&amp;$A172)</f>
        <v>-65000000</v>
      </c>
      <c r="AC172" s="14">
        <f>SUMIFS('09_CF_원금'!$E$6:$E$92,'09_CF_원금'!$D$6:$D$92,"ISA",'09_CF_원금'!$A$6:$A$92,"&lt;="&amp;$A172)-SUMIFS('09_CF_원금'!$E$6:$E$92,'09_CF_원금'!$C$6:$C$92,"ISA",'09_CF_원금'!$A$6:$A$92,"&lt;="&amp;$A172)</f>
        <v>40000000</v>
      </c>
      <c r="AD172" s="14">
        <f>IF($A172="","",$AA172+$AB172+$AC172+SUMIFS('09_CF_원금'!$E$6:$E$92,'09_CF_원금'!$D$6:$D$92,"중국",'09_CF_원금'!$A$6:$A$92,"&lt;="&amp;$A172)-SUMIFS('09_CF_원금'!$E$6:$E$92,'09_CF_원금'!$C$6:$C$92,"중국",'09_CF_원금'!$A$6:$A$92,"&lt;="&amp;$A172))</f>
        <v>340000000</v>
      </c>
      <c r="AE172" s="14" t="str">
        <f t="shared" si="13"/>
        <v/>
      </c>
      <c r="AF172" s="15"/>
      <c r="AG172" s="14"/>
      <c r="AH172" s="14"/>
      <c r="AI172" s="14"/>
      <c r="AJ172" s="14"/>
      <c r="AK172" s="16">
        <f t="shared" si="14"/>
        <v>202608</v>
      </c>
      <c r="AL172" s="17" t="str">
        <f t="shared" si="15"/>
        <v/>
      </c>
    </row>
    <row r="173" ht="15.75" customHeight="1">
      <c r="A173" s="6">
        <v>46244.0</v>
      </c>
      <c r="B173" s="7">
        <f t="shared" si="1"/>
        <v>361082576</v>
      </c>
      <c r="C173" s="7" t="str">
        <f t="shared" si="16"/>
        <v/>
      </c>
      <c r="D173" s="7">
        <f t="shared" si="2"/>
        <v>21082576</v>
      </c>
      <c r="E173" s="8">
        <f t="shared" si="3"/>
        <v>-0.5895244229</v>
      </c>
      <c r="F173" s="8">
        <f>IF(OR($Y173="",$Y173=0,$G173="",$G173=0),"",($S173-$G173*'03_포지션'!$B$13)/$Y173)</f>
        <v>0.09261317469</v>
      </c>
      <c r="G173" s="172">
        <v>4.78436585E8</v>
      </c>
      <c r="H173" s="7">
        <f t="shared" si="5"/>
        <v>242100000</v>
      </c>
      <c r="I173" s="7">
        <f t="shared" si="6"/>
        <v>720536585</v>
      </c>
      <c r="J173" s="9">
        <f>IF(OR($I173="",'09_CF_원금'!$B$108=0),"",$I173/'09_CF_원금'!$B$108)</f>
        <v>9.006707313</v>
      </c>
      <c r="K173" s="8">
        <f t="shared" si="7"/>
        <v>0.6676903265</v>
      </c>
      <c r="L173" s="8">
        <f t="shared" si="8"/>
        <v>0.002284818991</v>
      </c>
      <c r="M173" s="7">
        <f t="shared" si="9"/>
        <v>-83062647</v>
      </c>
      <c r="N173" s="7">
        <f t="shared" si="10"/>
        <v>112167857</v>
      </c>
      <c r="O173" s="7">
        <f t="shared" si="11"/>
        <v>-8022634</v>
      </c>
      <c r="P173" s="173" t="s">
        <v>658</v>
      </c>
      <c r="Q173" s="11"/>
      <c r="R173" s="11"/>
      <c r="S173" s="12">
        <v>7.60373938E8</v>
      </c>
      <c r="T173" s="12">
        <v>2.81937353E8</v>
      </c>
      <c r="U173" s="12">
        <v>4.7167857E7</v>
      </c>
      <c r="V173" s="12">
        <v>3.1977366E7</v>
      </c>
      <c r="W173" s="13">
        <v>2471304.0</v>
      </c>
      <c r="X173" s="13">
        <v>1.079147857E9</v>
      </c>
      <c r="Y173" s="13">
        <v>9.7786E8</v>
      </c>
      <c r="Z173" s="7">
        <f t="shared" si="12"/>
        <v>839519161</v>
      </c>
      <c r="AA173" s="14">
        <f>SUMIFS('09_CF_원금'!$E$6:$E$92,'09_CF_원금'!$D$6:$D$92,"국장",'09_CF_원금'!$A$6:$A$92,"&lt;="&amp;$A173)-SUMIFS('09_CF_원금'!$E$6:$E$92,'09_CF_원금'!$C$6:$C$92,"국장",'09_CF_원금'!$A$6:$A$92,"&lt;="&amp;$A173)</f>
        <v>365000000</v>
      </c>
      <c r="AB173" s="14">
        <f>SUMIFS('09_CF_원금'!$E$6:$E$92,'09_CF_원금'!$D$6:$D$92,"미장",'09_CF_원금'!$A$6:$A$92,"&lt;="&amp;$A173)-SUMIFS('09_CF_원금'!$E$6:$E$92,'09_CF_원금'!$C$6:$C$92,"미장",'09_CF_원금'!$A$6:$A$92,"&lt;="&amp;$A173)</f>
        <v>-65000000</v>
      </c>
      <c r="AC173" s="14">
        <f>SUMIFS('09_CF_원금'!$E$6:$E$92,'09_CF_원금'!$D$6:$D$92,"ISA",'09_CF_원금'!$A$6:$A$92,"&lt;="&amp;$A173)-SUMIFS('09_CF_원금'!$E$6:$E$92,'09_CF_원금'!$C$6:$C$92,"ISA",'09_CF_원금'!$A$6:$A$92,"&lt;="&amp;$A173)</f>
        <v>40000000</v>
      </c>
      <c r="AD173" s="14">
        <f>IF($A173="","",$AA173+$AB173+$AC173+SUMIFS('09_CF_원금'!$E$6:$E$92,'09_CF_원금'!$D$6:$D$92,"중국",'09_CF_원금'!$A$6:$A$92,"&lt;="&amp;$A173)-SUMIFS('09_CF_원금'!$E$6:$E$92,'09_CF_원금'!$C$6:$C$92,"중국",'09_CF_원금'!$A$6:$A$92,"&lt;="&amp;$A173))</f>
        <v>340000000</v>
      </c>
      <c r="AE173" s="14">
        <f t="shared" si="13"/>
        <v>879668843</v>
      </c>
      <c r="AF173" s="15"/>
      <c r="AG173" s="14"/>
      <c r="AH173" s="14"/>
      <c r="AI173" s="14"/>
      <c r="AJ173" s="14"/>
      <c r="AK173" s="16">
        <f t="shared" si="14"/>
        <v>202608</v>
      </c>
      <c r="AL173" s="17">
        <f t="shared" si="15"/>
        <v>-1</v>
      </c>
    </row>
    <row r="174" ht="15.75" customHeight="1">
      <c r="A174" s="6">
        <v>46245.0</v>
      </c>
      <c r="B174" s="7">
        <f t="shared" si="1"/>
        <v>350156138</v>
      </c>
      <c r="C174" s="7" t="str">
        <f t="shared" si="16"/>
        <v/>
      </c>
      <c r="D174" s="7">
        <f t="shared" si="2"/>
        <v>10156138</v>
      </c>
      <c r="E174" s="8">
        <f t="shared" si="3"/>
        <v>-0.6019455039</v>
      </c>
      <c r="F174" s="8">
        <f>IF(OR($Y174="",$Y174=0,$G174="",$G174=0),"",($S174-$G174*'03_포지션'!$B$13)/$Y174)</f>
        <v>0.07696981756</v>
      </c>
      <c r="G174" s="7">
        <f t="shared" ref="G174:G188" si="23">IF(OR($S174="",$T174=""),"",$S174-$T174)</f>
        <v>489363023</v>
      </c>
      <c r="H174" s="7">
        <f t="shared" si="5"/>
        <v>242100000</v>
      </c>
      <c r="I174" s="7">
        <f t="shared" si="6"/>
        <v>731463023</v>
      </c>
      <c r="J174" s="9">
        <f>IF(OR($I174="",'09_CF_원금'!$B$108=0),"",$I174/'09_CF_원금'!$B$108)</f>
        <v>9.143287788</v>
      </c>
      <c r="K174" s="8">
        <f t="shared" si="7"/>
        <v>0.6778153876</v>
      </c>
      <c r="L174" s="8">
        <f t="shared" si="8"/>
        <v>0.002284818991</v>
      </c>
      <c r="M174" s="7">
        <f t="shared" si="9"/>
        <v>-93989085</v>
      </c>
      <c r="N174" s="7">
        <f t="shared" si="10"/>
        <v>112167857</v>
      </c>
      <c r="O174" s="7">
        <f t="shared" si="11"/>
        <v>-8022634</v>
      </c>
      <c r="P174" s="10"/>
      <c r="Q174" s="11"/>
      <c r="R174" s="11"/>
      <c r="S174" s="12">
        <v>7.60373938E8</v>
      </c>
      <c r="T174" s="174">
        <v>2.71010915E8</v>
      </c>
      <c r="U174" s="12">
        <v>4.7167857E7</v>
      </c>
      <c r="V174" s="12">
        <v>3.1977366E7</v>
      </c>
      <c r="W174" s="18">
        <v>2471304.0</v>
      </c>
      <c r="X174" s="7">
        <v>1.079147857E9</v>
      </c>
      <c r="Y174" s="7">
        <v>9.7786E8</v>
      </c>
      <c r="Z174" s="7">
        <f t="shared" si="12"/>
        <v>839519161</v>
      </c>
      <c r="AA174" s="14">
        <f>SUMIFS('09_CF_원금'!$E$6:$E$92,'09_CF_원금'!$D$6:$D$92,"국장",'09_CF_원금'!$A$6:$A$92,"&lt;="&amp;$A174)-SUMIFS('09_CF_원금'!$E$6:$E$92,'09_CF_원금'!$C$6:$C$92,"국장",'09_CF_원금'!$A$6:$A$92,"&lt;="&amp;$A174)</f>
        <v>365000000</v>
      </c>
      <c r="AB174" s="14">
        <f>SUMIFS('09_CF_원금'!$E$6:$E$92,'09_CF_원금'!$D$6:$D$92,"미장",'09_CF_원금'!$A$6:$A$92,"&lt;="&amp;$A174)-SUMIFS('09_CF_원금'!$E$6:$E$92,'09_CF_원금'!$C$6:$C$92,"미장",'09_CF_원금'!$A$6:$A$92,"&lt;="&amp;$A174)</f>
        <v>-65000000</v>
      </c>
      <c r="AC174" s="14">
        <f>SUMIFS('09_CF_원금'!$E$6:$E$92,'09_CF_원금'!$D$6:$D$92,"ISA",'09_CF_원금'!$A$6:$A$92,"&lt;="&amp;$A174)-SUMIFS('09_CF_원금'!$E$6:$E$92,'09_CF_원금'!$C$6:$C$92,"ISA",'09_CF_원금'!$A$6:$A$92,"&lt;="&amp;$A174)</f>
        <v>40000000</v>
      </c>
      <c r="AD174" s="14">
        <f>IF($A174="","",$AA174+$AB174+$AC174+SUMIFS('09_CF_원금'!$E$6:$E$92,'09_CF_원금'!$D$6:$D$92,"중국",'09_CF_원금'!$A$6:$A$92,"&lt;="&amp;$A174)-SUMIFS('09_CF_원금'!$E$6:$E$92,'09_CF_원금'!$C$6:$C$92,"중국",'09_CF_원금'!$A$6:$A$92,"&lt;="&amp;$A174))</f>
        <v>340000000</v>
      </c>
      <c r="AE174" s="14">
        <f t="shared" si="13"/>
        <v>879668843</v>
      </c>
      <c r="AF174" s="15"/>
      <c r="AG174" s="14"/>
      <c r="AH174" s="14"/>
      <c r="AI174" s="14"/>
      <c r="AJ174" s="14"/>
      <c r="AK174" s="16">
        <f t="shared" si="14"/>
        <v>202608</v>
      </c>
      <c r="AL174" s="17" t="str">
        <f t="shared" si="15"/>
        <v/>
      </c>
    </row>
    <row r="175" ht="15.75" customHeight="1">
      <c r="A175" s="6">
        <v>46246.0</v>
      </c>
      <c r="B175" s="7" t="str">
        <f t="shared" si="1"/>
        <v/>
      </c>
      <c r="C175" s="7" t="str">
        <f t="shared" si="16"/>
        <v/>
      </c>
      <c r="D175" s="7" t="str">
        <f t="shared" si="2"/>
        <v/>
      </c>
      <c r="E175" s="8" t="str">
        <f t="shared" si="3"/>
        <v/>
      </c>
      <c r="F175" s="8" t="str">
        <f>IF(OR($Y175="",$Y175=0,$G175="",$G175=0),"",($S175-$G175*'03_포지션'!$B$13)/$Y175)</f>
        <v/>
      </c>
      <c r="G175" s="7" t="str">
        <f t="shared" si="23"/>
        <v/>
      </c>
      <c r="H175" s="7" t="str">
        <f t="shared" si="5"/>
        <v/>
      </c>
      <c r="I175" s="7" t="str">
        <f t="shared" si="6"/>
        <v/>
      </c>
      <c r="J175" s="9" t="str">
        <f>IF(OR($I175="",'09_CF_원금'!$B$108=0),"",$I175/'09_CF_원금'!$B$108)</f>
        <v/>
      </c>
      <c r="K175" s="8" t="str">
        <f t="shared" si="7"/>
        <v/>
      </c>
      <c r="L175" s="8">
        <f t="shared" si="8"/>
        <v>0.002284818991</v>
      </c>
      <c r="M175" s="7" t="str">
        <f t="shared" si="9"/>
        <v/>
      </c>
      <c r="N175" s="7" t="str">
        <f t="shared" si="10"/>
        <v/>
      </c>
      <c r="O175" s="7" t="str">
        <f t="shared" si="11"/>
        <v/>
      </c>
      <c r="P175" s="10"/>
      <c r="Q175" s="11"/>
      <c r="R175" s="11"/>
      <c r="S175" s="12"/>
      <c r="T175" s="12"/>
      <c r="U175" s="12"/>
      <c r="V175" s="12"/>
      <c r="W175" s="18">
        <f t="shared" ref="W175:W188" si="24">IF($A175="","",IF($W174="","",$W174))</f>
        <v>2471304</v>
      </c>
      <c r="X175" s="7">
        <f t="shared" ref="X175:X188" si="25">IF($A175="","",IFERROR(IF(OR($Z175="",$Z174="",$X174="",($Z174-IF($W174="",0,$W174))=0),IF($X174="","",$X174),($Z175-IF($W175="",0,$W175))+($X174-($Z174-IF($W174="",0,$W174)))*(1+2*(($Z175-IF($W175="",0,$W175))/($Z174-IF($W174="",0,$W174))-1))),IF($X174="","",$X174)))</f>
        <v>1079147857</v>
      </c>
      <c r="Y175" s="7">
        <f t="shared" ref="Y175:Y188" si="26">IF($A175="","",IFERROR(IF(OR($S175="",$S174="",$Y174="",$S174=0),IF($Y174="","",$Y174),$S175+($Y174-$S174)*(1+2*($S175/$S174-1))),IF($Y174="","",$Y174)))</f>
        <v>977860000</v>
      </c>
      <c r="Z175" s="7" t="str">
        <f t="shared" si="12"/>
        <v/>
      </c>
      <c r="AA175" s="14">
        <f>SUMIFS('09_CF_원금'!$E$6:$E$92,'09_CF_원금'!$D$6:$D$92,"국장",'09_CF_원금'!$A$6:$A$92,"&lt;="&amp;$A175)-SUMIFS('09_CF_원금'!$E$6:$E$92,'09_CF_원금'!$C$6:$C$92,"국장",'09_CF_원금'!$A$6:$A$92,"&lt;="&amp;$A175)</f>
        <v>365000000</v>
      </c>
      <c r="AB175" s="14">
        <f>SUMIFS('09_CF_원금'!$E$6:$E$92,'09_CF_원금'!$D$6:$D$92,"미장",'09_CF_원금'!$A$6:$A$92,"&lt;="&amp;$A175)-SUMIFS('09_CF_원금'!$E$6:$E$92,'09_CF_원금'!$C$6:$C$92,"미장",'09_CF_원금'!$A$6:$A$92,"&lt;="&amp;$A175)</f>
        <v>-65000000</v>
      </c>
      <c r="AC175" s="14">
        <f>SUMIFS('09_CF_원금'!$E$6:$E$92,'09_CF_원금'!$D$6:$D$92,"ISA",'09_CF_원금'!$A$6:$A$92,"&lt;="&amp;$A175)-SUMIFS('09_CF_원금'!$E$6:$E$92,'09_CF_원금'!$C$6:$C$92,"ISA",'09_CF_원금'!$A$6:$A$92,"&lt;="&amp;$A175)</f>
        <v>40000000</v>
      </c>
      <c r="AD175" s="14">
        <f>IF($A175="","",$AA175+$AB175+$AC175+SUMIFS('09_CF_원금'!$E$6:$E$92,'09_CF_원금'!$D$6:$D$92,"중국",'09_CF_원금'!$A$6:$A$92,"&lt;="&amp;$A175)-SUMIFS('09_CF_원금'!$E$6:$E$92,'09_CF_원금'!$C$6:$C$92,"중국",'09_CF_원금'!$A$6:$A$92,"&lt;="&amp;$A175))</f>
        <v>340000000</v>
      </c>
      <c r="AE175" s="14" t="str">
        <f t="shared" si="13"/>
        <v/>
      </c>
      <c r="AF175" s="15"/>
      <c r="AG175" s="14"/>
      <c r="AH175" s="14"/>
      <c r="AI175" s="14"/>
      <c r="AJ175" s="14"/>
      <c r="AK175" s="16">
        <f t="shared" si="14"/>
        <v>202608</v>
      </c>
      <c r="AL175" s="17" t="str">
        <f t="shared" si="15"/>
        <v/>
      </c>
    </row>
    <row r="176" ht="15.75" customHeight="1">
      <c r="A176" s="6">
        <v>46247.0</v>
      </c>
      <c r="B176" s="7" t="str">
        <f t="shared" si="1"/>
        <v/>
      </c>
      <c r="C176" s="7" t="str">
        <f t="shared" si="16"/>
        <v/>
      </c>
      <c r="D176" s="7" t="str">
        <f t="shared" si="2"/>
        <v/>
      </c>
      <c r="E176" s="8" t="str">
        <f t="shared" si="3"/>
        <v/>
      </c>
      <c r="F176" s="8" t="str">
        <f>IF(OR($Y176="",$Y176=0,$G176="",$G176=0),"",($S176-$G176*'03_포지션'!$B$13)/$Y176)</f>
        <v/>
      </c>
      <c r="G176" s="7" t="str">
        <f t="shared" si="23"/>
        <v/>
      </c>
      <c r="H176" s="7" t="str">
        <f t="shared" si="5"/>
        <v/>
      </c>
      <c r="I176" s="7" t="str">
        <f t="shared" si="6"/>
        <v/>
      </c>
      <c r="J176" s="9" t="str">
        <f>IF(OR($I176="",'09_CF_원금'!$B$108=0),"",$I176/'09_CF_원금'!$B$108)</f>
        <v/>
      </c>
      <c r="K176" s="8" t="str">
        <f t="shared" si="7"/>
        <v/>
      </c>
      <c r="L176" s="8">
        <f t="shared" si="8"/>
        <v>0.002284818991</v>
      </c>
      <c r="M176" s="7" t="str">
        <f t="shared" si="9"/>
        <v/>
      </c>
      <c r="N176" s="7" t="str">
        <f t="shared" si="10"/>
        <v/>
      </c>
      <c r="O176" s="7" t="str">
        <f t="shared" si="11"/>
        <v/>
      </c>
      <c r="P176" s="10"/>
      <c r="Q176" s="11"/>
      <c r="R176" s="11"/>
      <c r="S176" s="12"/>
      <c r="T176" s="12"/>
      <c r="U176" s="12"/>
      <c r="V176" s="12"/>
      <c r="W176" s="18">
        <f t="shared" si="24"/>
        <v>2471304</v>
      </c>
      <c r="X176" s="7">
        <f t="shared" si="25"/>
        <v>1079147857</v>
      </c>
      <c r="Y176" s="7">
        <f t="shared" si="26"/>
        <v>977860000</v>
      </c>
      <c r="Z176" s="7" t="str">
        <f t="shared" si="12"/>
        <v/>
      </c>
      <c r="AA176" s="14">
        <f>SUMIFS('09_CF_원금'!$E$6:$E$92,'09_CF_원금'!$D$6:$D$92,"국장",'09_CF_원금'!$A$6:$A$92,"&lt;="&amp;$A176)-SUMIFS('09_CF_원금'!$E$6:$E$92,'09_CF_원금'!$C$6:$C$92,"국장",'09_CF_원금'!$A$6:$A$92,"&lt;="&amp;$A176)</f>
        <v>365000000</v>
      </c>
      <c r="AB176" s="14">
        <f>SUMIFS('09_CF_원금'!$E$6:$E$92,'09_CF_원금'!$D$6:$D$92,"미장",'09_CF_원금'!$A$6:$A$92,"&lt;="&amp;$A176)-SUMIFS('09_CF_원금'!$E$6:$E$92,'09_CF_원금'!$C$6:$C$92,"미장",'09_CF_원금'!$A$6:$A$92,"&lt;="&amp;$A176)</f>
        <v>-65000000</v>
      </c>
      <c r="AC176" s="14">
        <f>SUMIFS('09_CF_원금'!$E$6:$E$92,'09_CF_원금'!$D$6:$D$92,"ISA",'09_CF_원금'!$A$6:$A$92,"&lt;="&amp;$A176)-SUMIFS('09_CF_원금'!$E$6:$E$92,'09_CF_원금'!$C$6:$C$92,"ISA",'09_CF_원금'!$A$6:$A$92,"&lt;="&amp;$A176)</f>
        <v>40000000</v>
      </c>
      <c r="AD176" s="14">
        <f>IF($A176="","",$AA176+$AB176+$AC176+SUMIFS('09_CF_원금'!$E$6:$E$92,'09_CF_원금'!$D$6:$D$92,"중국",'09_CF_원금'!$A$6:$A$92,"&lt;="&amp;$A176)-SUMIFS('09_CF_원금'!$E$6:$E$92,'09_CF_원금'!$C$6:$C$92,"중국",'09_CF_원금'!$A$6:$A$92,"&lt;="&amp;$A176))</f>
        <v>340000000</v>
      </c>
      <c r="AE176" s="14" t="str">
        <f t="shared" si="13"/>
        <v/>
      </c>
      <c r="AF176" s="15"/>
      <c r="AG176" s="14"/>
      <c r="AH176" s="14"/>
      <c r="AI176" s="14"/>
      <c r="AJ176" s="14"/>
      <c r="AK176" s="16">
        <f t="shared" si="14"/>
        <v>202608</v>
      </c>
      <c r="AL176" s="17" t="str">
        <f t="shared" si="15"/>
        <v/>
      </c>
    </row>
    <row r="177" ht="15.75" customHeight="1">
      <c r="A177" s="6">
        <v>46248.0</v>
      </c>
      <c r="B177" s="7" t="str">
        <f t="shared" si="1"/>
        <v/>
      </c>
      <c r="C177" s="7" t="str">
        <f t="shared" si="16"/>
        <v/>
      </c>
      <c r="D177" s="7" t="str">
        <f t="shared" si="2"/>
        <v/>
      </c>
      <c r="E177" s="8" t="str">
        <f t="shared" si="3"/>
        <v/>
      </c>
      <c r="F177" s="8" t="str">
        <f>IF(OR($Y177="",$Y177=0,$G177="",$G177=0),"",($S177-$G177*'03_포지션'!$B$13)/$Y177)</f>
        <v/>
      </c>
      <c r="G177" s="7" t="str">
        <f t="shared" si="23"/>
        <v/>
      </c>
      <c r="H177" s="7" t="str">
        <f t="shared" si="5"/>
        <v/>
      </c>
      <c r="I177" s="7" t="str">
        <f t="shared" si="6"/>
        <v/>
      </c>
      <c r="J177" s="9" t="str">
        <f>IF(OR($I177="",'09_CF_원금'!$B$108=0),"",$I177/'09_CF_원금'!$B$108)</f>
        <v/>
      </c>
      <c r="K177" s="8" t="str">
        <f t="shared" si="7"/>
        <v/>
      </c>
      <c r="L177" s="8">
        <f t="shared" si="8"/>
        <v>0.002284818991</v>
      </c>
      <c r="M177" s="7" t="str">
        <f t="shared" si="9"/>
        <v/>
      </c>
      <c r="N177" s="7" t="str">
        <f t="shared" si="10"/>
        <v/>
      </c>
      <c r="O177" s="7" t="str">
        <f t="shared" si="11"/>
        <v/>
      </c>
      <c r="P177" s="10"/>
      <c r="Q177" s="11"/>
      <c r="R177" s="11"/>
      <c r="S177" s="12"/>
      <c r="T177" s="12"/>
      <c r="U177" s="12"/>
      <c r="V177" s="12"/>
      <c r="W177" s="18">
        <f t="shared" si="24"/>
        <v>2471304</v>
      </c>
      <c r="X177" s="7">
        <f t="shared" si="25"/>
        <v>1079147857</v>
      </c>
      <c r="Y177" s="7">
        <f t="shared" si="26"/>
        <v>977860000</v>
      </c>
      <c r="Z177" s="7" t="str">
        <f t="shared" si="12"/>
        <v/>
      </c>
      <c r="AA177" s="14">
        <f>SUMIFS('09_CF_원금'!$E$6:$E$92,'09_CF_원금'!$D$6:$D$92,"국장",'09_CF_원금'!$A$6:$A$92,"&lt;="&amp;$A177)-SUMIFS('09_CF_원금'!$E$6:$E$92,'09_CF_원금'!$C$6:$C$92,"국장",'09_CF_원금'!$A$6:$A$92,"&lt;="&amp;$A177)</f>
        <v>365000000</v>
      </c>
      <c r="AB177" s="14">
        <f>SUMIFS('09_CF_원금'!$E$6:$E$92,'09_CF_원금'!$D$6:$D$92,"미장",'09_CF_원금'!$A$6:$A$92,"&lt;="&amp;$A177)-SUMIFS('09_CF_원금'!$E$6:$E$92,'09_CF_원금'!$C$6:$C$92,"미장",'09_CF_원금'!$A$6:$A$92,"&lt;="&amp;$A177)</f>
        <v>-65000000</v>
      </c>
      <c r="AC177" s="14">
        <f>SUMIFS('09_CF_원금'!$E$6:$E$92,'09_CF_원금'!$D$6:$D$92,"ISA",'09_CF_원금'!$A$6:$A$92,"&lt;="&amp;$A177)-SUMIFS('09_CF_원금'!$E$6:$E$92,'09_CF_원금'!$C$6:$C$92,"ISA",'09_CF_원금'!$A$6:$A$92,"&lt;="&amp;$A177)</f>
        <v>40000000</v>
      </c>
      <c r="AD177" s="14">
        <f>IF($A177="","",$AA177+$AB177+$AC177+SUMIFS('09_CF_원금'!$E$6:$E$92,'09_CF_원금'!$D$6:$D$92,"중국",'09_CF_원금'!$A$6:$A$92,"&lt;="&amp;$A177)-SUMIFS('09_CF_원금'!$E$6:$E$92,'09_CF_원금'!$C$6:$C$92,"중국",'09_CF_원금'!$A$6:$A$92,"&lt;="&amp;$A177))</f>
        <v>340000000</v>
      </c>
      <c r="AE177" s="14" t="str">
        <f t="shared" si="13"/>
        <v/>
      </c>
      <c r="AF177" s="15"/>
      <c r="AG177" s="14"/>
      <c r="AH177" s="14"/>
      <c r="AI177" s="14"/>
      <c r="AJ177" s="14"/>
      <c r="AK177" s="16">
        <f t="shared" si="14"/>
        <v>202608</v>
      </c>
      <c r="AL177" s="17" t="str">
        <f t="shared" si="15"/>
        <v/>
      </c>
    </row>
    <row r="178" ht="15.75" customHeight="1">
      <c r="A178" s="6">
        <v>46251.0</v>
      </c>
      <c r="B178" s="7" t="str">
        <f t="shared" si="1"/>
        <v/>
      </c>
      <c r="C178" s="7" t="str">
        <f t="shared" si="16"/>
        <v/>
      </c>
      <c r="D178" s="7" t="str">
        <f t="shared" si="2"/>
        <v/>
      </c>
      <c r="E178" s="8" t="str">
        <f t="shared" si="3"/>
        <v/>
      </c>
      <c r="F178" s="8" t="str">
        <f>IF(OR($Y178="",$Y178=0,$G178="",$G178=0),"",($S178-$G178*'03_포지션'!$B$13)/$Y178)</f>
        <v/>
      </c>
      <c r="G178" s="7" t="str">
        <f t="shared" si="23"/>
        <v/>
      </c>
      <c r="H178" s="7" t="str">
        <f t="shared" si="5"/>
        <v/>
      </c>
      <c r="I178" s="7" t="str">
        <f t="shared" si="6"/>
        <v/>
      </c>
      <c r="J178" s="9" t="str">
        <f>IF(OR($I178="",'09_CF_원금'!$B$108=0),"",$I178/'09_CF_원금'!$B$108)</f>
        <v/>
      </c>
      <c r="K178" s="8" t="str">
        <f t="shared" si="7"/>
        <v/>
      </c>
      <c r="L178" s="8">
        <f t="shared" si="8"/>
        <v>0.002284818991</v>
      </c>
      <c r="M178" s="7" t="str">
        <f t="shared" si="9"/>
        <v/>
      </c>
      <c r="N178" s="7" t="str">
        <f t="shared" si="10"/>
        <v/>
      </c>
      <c r="O178" s="7" t="str">
        <f t="shared" si="11"/>
        <v/>
      </c>
      <c r="P178" s="10"/>
      <c r="Q178" s="11"/>
      <c r="R178" s="11"/>
      <c r="S178" s="12"/>
      <c r="T178" s="12"/>
      <c r="U178" s="12"/>
      <c r="V178" s="12"/>
      <c r="W178" s="18">
        <f t="shared" si="24"/>
        <v>2471304</v>
      </c>
      <c r="X178" s="7">
        <f t="shared" si="25"/>
        <v>1079147857</v>
      </c>
      <c r="Y178" s="7">
        <f t="shared" si="26"/>
        <v>977860000</v>
      </c>
      <c r="Z178" s="7" t="str">
        <f t="shared" si="12"/>
        <v/>
      </c>
      <c r="AA178" s="14">
        <f>SUMIFS('09_CF_원금'!$E$6:$E$92,'09_CF_원금'!$D$6:$D$92,"국장",'09_CF_원금'!$A$6:$A$92,"&lt;="&amp;$A178)-SUMIFS('09_CF_원금'!$E$6:$E$92,'09_CF_원금'!$C$6:$C$92,"국장",'09_CF_원금'!$A$6:$A$92,"&lt;="&amp;$A178)</f>
        <v>365000000</v>
      </c>
      <c r="AB178" s="14">
        <f>SUMIFS('09_CF_원금'!$E$6:$E$92,'09_CF_원금'!$D$6:$D$92,"미장",'09_CF_원금'!$A$6:$A$92,"&lt;="&amp;$A178)-SUMIFS('09_CF_원금'!$E$6:$E$92,'09_CF_원금'!$C$6:$C$92,"미장",'09_CF_원금'!$A$6:$A$92,"&lt;="&amp;$A178)</f>
        <v>-65000000</v>
      </c>
      <c r="AC178" s="14">
        <f>SUMIFS('09_CF_원금'!$E$6:$E$92,'09_CF_원금'!$D$6:$D$92,"ISA",'09_CF_원금'!$A$6:$A$92,"&lt;="&amp;$A178)-SUMIFS('09_CF_원금'!$E$6:$E$92,'09_CF_원금'!$C$6:$C$92,"ISA",'09_CF_원금'!$A$6:$A$92,"&lt;="&amp;$A178)</f>
        <v>40000000</v>
      </c>
      <c r="AD178" s="14">
        <f>IF($A178="","",$AA178+$AB178+$AC178+SUMIFS('09_CF_원금'!$E$6:$E$92,'09_CF_원금'!$D$6:$D$92,"중국",'09_CF_원금'!$A$6:$A$92,"&lt;="&amp;$A178)-SUMIFS('09_CF_원금'!$E$6:$E$92,'09_CF_원금'!$C$6:$C$92,"중국",'09_CF_원금'!$A$6:$A$92,"&lt;="&amp;$A178))</f>
        <v>340000000</v>
      </c>
      <c r="AE178" s="14" t="str">
        <f t="shared" si="13"/>
        <v/>
      </c>
      <c r="AF178" s="15"/>
      <c r="AG178" s="14"/>
      <c r="AH178" s="14"/>
      <c r="AI178" s="14"/>
      <c r="AJ178" s="14"/>
      <c r="AK178" s="16">
        <f t="shared" si="14"/>
        <v>202608</v>
      </c>
      <c r="AL178" s="17" t="str">
        <f t="shared" si="15"/>
        <v/>
      </c>
    </row>
    <row r="179" ht="15.75" customHeight="1">
      <c r="A179" s="6">
        <v>46252.0</v>
      </c>
      <c r="B179" s="7" t="str">
        <f t="shared" si="1"/>
        <v/>
      </c>
      <c r="C179" s="7" t="str">
        <f t="shared" si="16"/>
        <v/>
      </c>
      <c r="D179" s="7" t="str">
        <f t="shared" si="2"/>
        <v/>
      </c>
      <c r="E179" s="8" t="str">
        <f t="shared" si="3"/>
        <v/>
      </c>
      <c r="F179" s="8" t="str">
        <f>IF(OR($Y179="",$Y179=0,$G179="",$G179=0),"",($S179-$G179*'03_포지션'!$B$13)/$Y179)</f>
        <v/>
      </c>
      <c r="G179" s="7" t="str">
        <f t="shared" si="23"/>
        <v/>
      </c>
      <c r="H179" s="7" t="str">
        <f t="shared" si="5"/>
        <v/>
      </c>
      <c r="I179" s="7" t="str">
        <f t="shared" si="6"/>
        <v/>
      </c>
      <c r="J179" s="9" t="str">
        <f>IF(OR($I179="",'09_CF_원금'!$B$108=0),"",$I179/'09_CF_원금'!$B$108)</f>
        <v/>
      </c>
      <c r="K179" s="8" t="str">
        <f t="shared" si="7"/>
        <v/>
      </c>
      <c r="L179" s="8">
        <f t="shared" si="8"/>
        <v>0.002284818991</v>
      </c>
      <c r="M179" s="7" t="str">
        <f t="shared" si="9"/>
        <v/>
      </c>
      <c r="N179" s="7" t="str">
        <f t="shared" si="10"/>
        <v/>
      </c>
      <c r="O179" s="7" t="str">
        <f t="shared" si="11"/>
        <v/>
      </c>
      <c r="P179" s="10"/>
      <c r="Q179" s="11"/>
      <c r="R179" s="11"/>
      <c r="S179" s="12"/>
      <c r="T179" s="12"/>
      <c r="U179" s="12"/>
      <c r="V179" s="12"/>
      <c r="W179" s="18">
        <f t="shared" si="24"/>
        <v>2471304</v>
      </c>
      <c r="X179" s="7">
        <f t="shared" si="25"/>
        <v>1079147857</v>
      </c>
      <c r="Y179" s="7">
        <f t="shared" si="26"/>
        <v>977860000</v>
      </c>
      <c r="Z179" s="7" t="str">
        <f t="shared" si="12"/>
        <v/>
      </c>
      <c r="AA179" s="14">
        <f>SUMIFS('09_CF_원금'!$E$6:$E$92,'09_CF_원금'!$D$6:$D$92,"국장",'09_CF_원금'!$A$6:$A$92,"&lt;="&amp;$A179)-SUMIFS('09_CF_원금'!$E$6:$E$92,'09_CF_원금'!$C$6:$C$92,"국장",'09_CF_원금'!$A$6:$A$92,"&lt;="&amp;$A179)</f>
        <v>365000000</v>
      </c>
      <c r="AB179" s="14">
        <f>SUMIFS('09_CF_원금'!$E$6:$E$92,'09_CF_원금'!$D$6:$D$92,"미장",'09_CF_원금'!$A$6:$A$92,"&lt;="&amp;$A179)-SUMIFS('09_CF_원금'!$E$6:$E$92,'09_CF_원금'!$C$6:$C$92,"미장",'09_CF_원금'!$A$6:$A$92,"&lt;="&amp;$A179)</f>
        <v>-65000000</v>
      </c>
      <c r="AC179" s="14">
        <f>SUMIFS('09_CF_원금'!$E$6:$E$92,'09_CF_원금'!$D$6:$D$92,"ISA",'09_CF_원금'!$A$6:$A$92,"&lt;="&amp;$A179)-SUMIFS('09_CF_원금'!$E$6:$E$92,'09_CF_원금'!$C$6:$C$92,"ISA",'09_CF_원금'!$A$6:$A$92,"&lt;="&amp;$A179)</f>
        <v>40000000</v>
      </c>
      <c r="AD179" s="14">
        <f>IF($A179="","",$AA179+$AB179+$AC179+SUMIFS('09_CF_원금'!$E$6:$E$92,'09_CF_원금'!$D$6:$D$92,"중국",'09_CF_원금'!$A$6:$A$92,"&lt;="&amp;$A179)-SUMIFS('09_CF_원금'!$E$6:$E$92,'09_CF_원금'!$C$6:$C$92,"중국",'09_CF_원금'!$A$6:$A$92,"&lt;="&amp;$A179))</f>
        <v>340000000</v>
      </c>
      <c r="AE179" s="14" t="str">
        <f t="shared" si="13"/>
        <v/>
      </c>
      <c r="AF179" s="15"/>
      <c r="AG179" s="14"/>
      <c r="AH179" s="14"/>
      <c r="AI179" s="14"/>
      <c r="AJ179" s="14"/>
      <c r="AK179" s="16">
        <f t="shared" si="14"/>
        <v>202608</v>
      </c>
      <c r="AL179" s="17" t="str">
        <f t="shared" si="15"/>
        <v/>
      </c>
    </row>
    <row r="180" ht="15.75" customHeight="1">
      <c r="A180" s="6">
        <v>46253.0</v>
      </c>
      <c r="B180" s="7" t="str">
        <f t="shared" si="1"/>
        <v/>
      </c>
      <c r="C180" s="7" t="str">
        <f t="shared" si="16"/>
        <v/>
      </c>
      <c r="D180" s="7" t="str">
        <f t="shared" si="2"/>
        <v/>
      </c>
      <c r="E180" s="8" t="str">
        <f t="shared" si="3"/>
        <v/>
      </c>
      <c r="F180" s="8" t="str">
        <f>IF(OR($Y180="",$Y180=0,$G180="",$G180=0),"",($S180-$G180*'03_포지션'!$B$13)/$Y180)</f>
        <v/>
      </c>
      <c r="G180" s="7" t="str">
        <f t="shared" si="23"/>
        <v/>
      </c>
      <c r="H180" s="7" t="str">
        <f t="shared" si="5"/>
        <v/>
      </c>
      <c r="I180" s="7" t="str">
        <f t="shared" si="6"/>
        <v/>
      </c>
      <c r="J180" s="9" t="str">
        <f>IF(OR($I180="",'09_CF_원금'!$B$108=0),"",$I180/'09_CF_원금'!$B$108)</f>
        <v/>
      </c>
      <c r="K180" s="8" t="str">
        <f t="shared" si="7"/>
        <v/>
      </c>
      <c r="L180" s="8">
        <f t="shared" si="8"/>
        <v>0.002284818991</v>
      </c>
      <c r="M180" s="7" t="str">
        <f t="shared" si="9"/>
        <v/>
      </c>
      <c r="N180" s="7" t="str">
        <f t="shared" si="10"/>
        <v/>
      </c>
      <c r="O180" s="7" t="str">
        <f t="shared" si="11"/>
        <v/>
      </c>
      <c r="P180" s="10"/>
      <c r="Q180" s="11"/>
      <c r="R180" s="11"/>
      <c r="S180" s="12"/>
      <c r="T180" s="12"/>
      <c r="U180" s="12"/>
      <c r="V180" s="12"/>
      <c r="W180" s="18">
        <f t="shared" si="24"/>
        <v>2471304</v>
      </c>
      <c r="X180" s="7">
        <f t="shared" si="25"/>
        <v>1079147857</v>
      </c>
      <c r="Y180" s="7">
        <f t="shared" si="26"/>
        <v>977860000</v>
      </c>
      <c r="Z180" s="7" t="str">
        <f t="shared" si="12"/>
        <v/>
      </c>
      <c r="AA180" s="14">
        <f>SUMIFS('09_CF_원금'!$E$6:$E$92,'09_CF_원금'!$D$6:$D$92,"국장",'09_CF_원금'!$A$6:$A$92,"&lt;="&amp;$A180)-SUMIFS('09_CF_원금'!$E$6:$E$92,'09_CF_원금'!$C$6:$C$92,"국장",'09_CF_원금'!$A$6:$A$92,"&lt;="&amp;$A180)</f>
        <v>365000000</v>
      </c>
      <c r="AB180" s="14">
        <f>SUMIFS('09_CF_원금'!$E$6:$E$92,'09_CF_원금'!$D$6:$D$92,"미장",'09_CF_원금'!$A$6:$A$92,"&lt;="&amp;$A180)-SUMIFS('09_CF_원금'!$E$6:$E$92,'09_CF_원금'!$C$6:$C$92,"미장",'09_CF_원금'!$A$6:$A$92,"&lt;="&amp;$A180)</f>
        <v>-65000000</v>
      </c>
      <c r="AC180" s="14">
        <f>SUMIFS('09_CF_원금'!$E$6:$E$92,'09_CF_원금'!$D$6:$D$92,"ISA",'09_CF_원금'!$A$6:$A$92,"&lt;="&amp;$A180)-SUMIFS('09_CF_원금'!$E$6:$E$92,'09_CF_원금'!$C$6:$C$92,"ISA",'09_CF_원금'!$A$6:$A$92,"&lt;="&amp;$A180)</f>
        <v>40000000</v>
      </c>
      <c r="AD180" s="14">
        <f>IF($A180="","",$AA180+$AB180+$AC180+SUMIFS('09_CF_원금'!$E$6:$E$92,'09_CF_원금'!$D$6:$D$92,"중국",'09_CF_원금'!$A$6:$A$92,"&lt;="&amp;$A180)-SUMIFS('09_CF_원금'!$E$6:$E$92,'09_CF_원금'!$C$6:$C$92,"중국",'09_CF_원금'!$A$6:$A$92,"&lt;="&amp;$A180))</f>
        <v>340000000</v>
      </c>
      <c r="AE180" s="14" t="str">
        <f t="shared" si="13"/>
        <v/>
      </c>
      <c r="AF180" s="15"/>
      <c r="AG180" s="14"/>
      <c r="AH180" s="14"/>
      <c r="AI180" s="14"/>
      <c r="AJ180" s="14"/>
      <c r="AK180" s="16">
        <f t="shared" si="14"/>
        <v>202608</v>
      </c>
      <c r="AL180" s="17" t="str">
        <f t="shared" si="15"/>
        <v/>
      </c>
    </row>
    <row r="181" ht="15.75" customHeight="1">
      <c r="A181" s="6">
        <v>46254.0</v>
      </c>
      <c r="B181" s="7" t="str">
        <f t="shared" si="1"/>
        <v/>
      </c>
      <c r="C181" s="7" t="str">
        <f t="shared" si="16"/>
        <v/>
      </c>
      <c r="D181" s="7" t="str">
        <f t="shared" si="2"/>
        <v/>
      </c>
      <c r="E181" s="8" t="str">
        <f t="shared" si="3"/>
        <v/>
      </c>
      <c r="F181" s="8" t="str">
        <f>IF(OR($Y181="",$Y181=0,$G181="",$G181=0),"",($S181-$G181*'03_포지션'!$B$13)/$Y181)</f>
        <v/>
      </c>
      <c r="G181" s="7" t="str">
        <f t="shared" si="23"/>
        <v/>
      </c>
      <c r="H181" s="7" t="str">
        <f t="shared" si="5"/>
        <v/>
      </c>
      <c r="I181" s="7" t="str">
        <f t="shared" si="6"/>
        <v/>
      </c>
      <c r="J181" s="9" t="str">
        <f>IF(OR($I181="",'09_CF_원금'!$B$108=0),"",$I181/'09_CF_원금'!$B$108)</f>
        <v/>
      </c>
      <c r="K181" s="8" t="str">
        <f t="shared" si="7"/>
        <v/>
      </c>
      <c r="L181" s="8">
        <f t="shared" si="8"/>
        <v>0.002284818991</v>
      </c>
      <c r="M181" s="7" t="str">
        <f t="shared" si="9"/>
        <v/>
      </c>
      <c r="N181" s="7" t="str">
        <f t="shared" si="10"/>
        <v/>
      </c>
      <c r="O181" s="7" t="str">
        <f t="shared" si="11"/>
        <v/>
      </c>
      <c r="P181" s="10"/>
      <c r="Q181" s="11"/>
      <c r="R181" s="11"/>
      <c r="S181" s="12"/>
      <c r="T181" s="12"/>
      <c r="U181" s="12"/>
      <c r="V181" s="12"/>
      <c r="W181" s="18">
        <f t="shared" si="24"/>
        <v>2471304</v>
      </c>
      <c r="X181" s="7">
        <f t="shared" si="25"/>
        <v>1079147857</v>
      </c>
      <c r="Y181" s="7">
        <f t="shared" si="26"/>
        <v>977860000</v>
      </c>
      <c r="Z181" s="7" t="str">
        <f t="shared" si="12"/>
        <v/>
      </c>
      <c r="AA181" s="14">
        <f>SUMIFS('09_CF_원금'!$E$6:$E$92,'09_CF_원금'!$D$6:$D$92,"국장",'09_CF_원금'!$A$6:$A$92,"&lt;="&amp;$A181)-SUMIFS('09_CF_원금'!$E$6:$E$92,'09_CF_원금'!$C$6:$C$92,"국장",'09_CF_원금'!$A$6:$A$92,"&lt;="&amp;$A181)</f>
        <v>365000000</v>
      </c>
      <c r="AB181" s="14">
        <f>SUMIFS('09_CF_원금'!$E$6:$E$92,'09_CF_원금'!$D$6:$D$92,"미장",'09_CF_원금'!$A$6:$A$92,"&lt;="&amp;$A181)-SUMIFS('09_CF_원금'!$E$6:$E$92,'09_CF_원금'!$C$6:$C$92,"미장",'09_CF_원금'!$A$6:$A$92,"&lt;="&amp;$A181)</f>
        <v>-65000000</v>
      </c>
      <c r="AC181" s="14">
        <f>SUMIFS('09_CF_원금'!$E$6:$E$92,'09_CF_원금'!$D$6:$D$92,"ISA",'09_CF_원금'!$A$6:$A$92,"&lt;="&amp;$A181)-SUMIFS('09_CF_원금'!$E$6:$E$92,'09_CF_원금'!$C$6:$C$92,"ISA",'09_CF_원금'!$A$6:$A$92,"&lt;="&amp;$A181)</f>
        <v>40000000</v>
      </c>
      <c r="AD181" s="14">
        <f>IF($A181="","",$AA181+$AB181+$AC181+SUMIFS('09_CF_원금'!$E$6:$E$92,'09_CF_원금'!$D$6:$D$92,"중국",'09_CF_원금'!$A$6:$A$92,"&lt;="&amp;$A181)-SUMIFS('09_CF_원금'!$E$6:$E$92,'09_CF_원금'!$C$6:$C$92,"중국",'09_CF_원금'!$A$6:$A$92,"&lt;="&amp;$A181))</f>
        <v>340000000</v>
      </c>
      <c r="AE181" s="14" t="str">
        <f t="shared" si="13"/>
        <v/>
      </c>
      <c r="AF181" s="15"/>
      <c r="AG181" s="14"/>
      <c r="AH181" s="14"/>
      <c r="AI181" s="14"/>
      <c r="AJ181" s="14"/>
      <c r="AK181" s="16">
        <f t="shared" si="14"/>
        <v>202608</v>
      </c>
      <c r="AL181" s="17" t="str">
        <f t="shared" si="15"/>
        <v/>
      </c>
    </row>
    <row r="182" ht="15.75" customHeight="1">
      <c r="A182" s="6">
        <v>46255.0</v>
      </c>
      <c r="B182" s="7" t="str">
        <f t="shared" si="1"/>
        <v/>
      </c>
      <c r="C182" s="7" t="str">
        <f t="shared" si="16"/>
        <v/>
      </c>
      <c r="D182" s="7" t="str">
        <f t="shared" si="2"/>
        <v/>
      </c>
      <c r="E182" s="8" t="str">
        <f t="shared" si="3"/>
        <v/>
      </c>
      <c r="F182" s="8" t="str">
        <f>IF(OR($Y182="",$Y182=0,$G182="",$G182=0),"",($S182-$G182*'03_포지션'!$B$13)/$Y182)</f>
        <v/>
      </c>
      <c r="G182" s="7" t="str">
        <f t="shared" si="23"/>
        <v/>
      </c>
      <c r="H182" s="7" t="str">
        <f t="shared" si="5"/>
        <v/>
      </c>
      <c r="I182" s="7" t="str">
        <f t="shared" si="6"/>
        <v/>
      </c>
      <c r="J182" s="9" t="str">
        <f>IF(OR($I182="",'09_CF_원금'!$B$108=0),"",$I182/'09_CF_원금'!$B$108)</f>
        <v/>
      </c>
      <c r="K182" s="8" t="str">
        <f t="shared" si="7"/>
        <v/>
      </c>
      <c r="L182" s="8">
        <f t="shared" si="8"/>
        <v>0.002284818991</v>
      </c>
      <c r="M182" s="7" t="str">
        <f t="shared" si="9"/>
        <v/>
      </c>
      <c r="N182" s="7" t="str">
        <f t="shared" si="10"/>
        <v/>
      </c>
      <c r="O182" s="7" t="str">
        <f t="shared" si="11"/>
        <v/>
      </c>
      <c r="P182" s="10"/>
      <c r="Q182" s="11"/>
      <c r="R182" s="11"/>
      <c r="S182" s="12"/>
      <c r="T182" s="12"/>
      <c r="U182" s="12"/>
      <c r="V182" s="12"/>
      <c r="W182" s="18">
        <f t="shared" si="24"/>
        <v>2471304</v>
      </c>
      <c r="X182" s="7">
        <f t="shared" si="25"/>
        <v>1079147857</v>
      </c>
      <c r="Y182" s="7">
        <f t="shared" si="26"/>
        <v>977860000</v>
      </c>
      <c r="Z182" s="7" t="str">
        <f t="shared" si="12"/>
        <v/>
      </c>
      <c r="AA182" s="14">
        <f>SUMIFS('09_CF_원금'!$E$6:$E$92,'09_CF_원금'!$D$6:$D$92,"국장",'09_CF_원금'!$A$6:$A$92,"&lt;="&amp;$A182)-SUMIFS('09_CF_원금'!$E$6:$E$92,'09_CF_원금'!$C$6:$C$92,"국장",'09_CF_원금'!$A$6:$A$92,"&lt;="&amp;$A182)</f>
        <v>365000000</v>
      </c>
      <c r="AB182" s="14">
        <f>SUMIFS('09_CF_원금'!$E$6:$E$92,'09_CF_원금'!$D$6:$D$92,"미장",'09_CF_원금'!$A$6:$A$92,"&lt;="&amp;$A182)-SUMIFS('09_CF_원금'!$E$6:$E$92,'09_CF_원금'!$C$6:$C$92,"미장",'09_CF_원금'!$A$6:$A$92,"&lt;="&amp;$A182)</f>
        <v>-65000000</v>
      </c>
      <c r="AC182" s="14">
        <f>SUMIFS('09_CF_원금'!$E$6:$E$92,'09_CF_원금'!$D$6:$D$92,"ISA",'09_CF_원금'!$A$6:$A$92,"&lt;="&amp;$A182)-SUMIFS('09_CF_원금'!$E$6:$E$92,'09_CF_원금'!$C$6:$C$92,"ISA",'09_CF_원금'!$A$6:$A$92,"&lt;="&amp;$A182)</f>
        <v>40000000</v>
      </c>
      <c r="AD182" s="14">
        <f>IF($A182="","",$AA182+$AB182+$AC182+SUMIFS('09_CF_원금'!$E$6:$E$92,'09_CF_원금'!$D$6:$D$92,"중국",'09_CF_원금'!$A$6:$A$92,"&lt;="&amp;$A182)-SUMIFS('09_CF_원금'!$E$6:$E$92,'09_CF_원금'!$C$6:$C$92,"중국",'09_CF_원금'!$A$6:$A$92,"&lt;="&amp;$A182))</f>
        <v>340000000</v>
      </c>
      <c r="AE182" s="14" t="str">
        <f t="shared" si="13"/>
        <v/>
      </c>
      <c r="AF182" s="15"/>
      <c r="AG182" s="14"/>
      <c r="AH182" s="14"/>
      <c r="AI182" s="14"/>
      <c r="AJ182" s="14"/>
      <c r="AK182" s="16">
        <f t="shared" si="14"/>
        <v>202608</v>
      </c>
      <c r="AL182" s="17" t="str">
        <f t="shared" si="15"/>
        <v/>
      </c>
    </row>
    <row r="183" ht="15.75" customHeight="1">
      <c r="A183" s="6">
        <v>46258.0</v>
      </c>
      <c r="B183" s="7" t="str">
        <f t="shared" si="1"/>
        <v/>
      </c>
      <c r="C183" s="7" t="str">
        <f t="shared" si="16"/>
        <v/>
      </c>
      <c r="D183" s="7" t="str">
        <f t="shared" si="2"/>
        <v/>
      </c>
      <c r="E183" s="8" t="str">
        <f t="shared" si="3"/>
        <v/>
      </c>
      <c r="F183" s="8" t="str">
        <f>IF(OR($Y183="",$Y183=0,$G183="",$G183=0),"",($S183-$G183*'03_포지션'!$B$13)/$Y183)</f>
        <v/>
      </c>
      <c r="G183" s="7" t="str">
        <f t="shared" si="23"/>
        <v/>
      </c>
      <c r="H183" s="7" t="str">
        <f t="shared" si="5"/>
        <v/>
      </c>
      <c r="I183" s="7" t="str">
        <f t="shared" si="6"/>
        <v/>
      </c>
      <c r="J183" s="9" t="str">
        <f>IF(OR($I183="",'09_CF_원금'!$B$108=0),"",$I183/'09_CF_원금'!$B$108)</f>
        <v/>
      </c>
      <c r="K183" s="8" t="str">
        <f t="shared" si="7"/>
        <v/>
      </c>
      <c r="L183" s="8">
        <f t="shared" si="8"/>
        <v>0.002284818991</v>
      </c>
      <c r="M183" s="7" t="str">
        <f t="shared" si="9"/>
        <v/>
      </c>
      <c r="N183" s="7" t="str">
        <f t="shared" si="10"/>
        <v/>
      </c>
      <c r="O183" s="7" t="str">
        <f t="shared" si="11"/>
        <v/>
      </c>
      <c r="P183" s="10"/>
      <c r="Q183" s="11"/>
      <c r="R183" s="11"/>
      <c r="S183" s="12"/>
      <c r="T183" s="12"/>
      <c r="U183" s="12"/>
      <c r="V183" s="12"/>
      <c r="W183" s="18">
        <f t="shared" si="24"/>
        <v>2471304</v>
      </c>
      <c r="X183" s="7">
        <f t="shared" si="25"/>
        <v>1079147857</v>
      </c>
      <c r="Y183" s="7">
        <f t="shared" si="26"/>
        <v>977860000</v>
      </c>
      <c r="Z183" s="7" t="str">
        <f t="shared" si="12"/>
        <v/>
      </c>
      <c r="AA183" s="14">
        <f>SUMIFS('09_CF_원금'!$E$6:$E$92,'09_CF_원금'!$D$6:$D$92,"국장",'09_CF_원금'!$A$6:$A$92,"&lt;="&amp;$A183)-SUMIFS('09_CF_원금'!$E$6:$E$92,'09_CF_원금'!$C$6:$C$92,"국장",'09_CF_원금'!$A$6:$A$92,"&lt;="&amp;$A183)</f>
        <v>365000000</v>
      </c>
      <c r="AB183" s="14">
        <f>SUMIFS('09_CF_원금'!$E$6:$E$92,'09_CF_원금'!$D$6:$D$92,"미장",'09_CF_원금'!$A$6:$A$92,"&lt;="&amp;$A183)-SUMIFS('09_CF_원금'!$E$6:$E$92,'09_CF_원금'!$C$6:$C$92,"미장",'09_CF_원금'!$A$6:$A$92,"&lt;="&amp;$A183)</f>
        <v>-65000000</v>
      </c>
      <c r="AC183" s="14">
        <f>SUMIFS('09_CF_원금'!$E$6:$E$92,'09_CF_원금'!$D$6:$D$92,"ISA",'09_CF_원금'!$A$6:$A$92,"&lt;="&amp;$A183)-SUMIFS('09_CF_원금'!$E$6:$E$92,'09_CF_원금'!$C$6:$C$92,"ISA",'09_CF_원금'!$A$6:$A$92,"&lt;="&amp;$A183)</f>
        <v>40000000</v>
      </c>
      <c r="AD183" s="14">
        <f>IF($A183="","",$AA183+$AB183+$AC183+SUMIFS('09_CF_원금'!$E$6:$E$92,'09_CF_원금'!$D$6:$D$92,"중국",'09_CF_원금'!$A$6:$A$92,"&lt;="&amp;$A183)-SUMIFS('09_CF_원금'!$E$6:$E$92,'09_CF_원금'!$C$6:$C$92,"중국",'09_CF_원금'!$A$6:$A$92,"&lt;="&amp;$A183))</f>
        <v>340000000</v>
      </c>
      <c r="AE183" s="14" t="str">
        <f t="shared" si="13"/>
        <v/>
      </c>
      <c r="AF183" s="15"/>
      <c r="AG183" s="14"/>
      <c r="AH183" s="14"/>
      <c r="AI183" s="14"/>
      <c r="AJ183" s="14"/>
      <c r="AK183" s="16">
        <f t="shared" si="14"/>
        <v>202608</v>
      </c>
      <c r="AL183" s="17" t="str">
        <f t="shared" si="15"/>
        <v/>
      </c>
    </row>
    <row r="184" ht="15.75" customHeight="1">
      <c r="A184" s="6">
        <v>46259.0</v>
      </c>
      <c r="B184" s="7" t="str">
        <f t="shared" si="1"/>
        <v/>
      </c>
      <c r="C184" s="7" t="str">
        <f t="shared" si="16"/>
        <v/>
      </c>
      <c r="D184" s="7" t="str">
        <f t="shared" si="2"/>
        <v/>
      </c>
      <c r="E184" s="8" t="str">
        <f t="shared" si="3"/>
        <v/>
      </c>
      <c r="F184" s="8" t="str">
        <f>IF(OR($Y184="",$Y184=0,$G184="",$G184=0),"",($S184-$G184*'03_포지션'!$B$13)/$Y184)</f>
        <v/>
      </c>
      <c r="G184" s="7" t="str">
        <f t="shared" si="23"/>
        <v/>
      </c>
      <c r="H184" s="7" t="str">
        <f t="shared" si="5"/>
        <v/>
      </c>
      <c r="I184" s="7" t="str">
        <f t="shared" si="6"/>
        <v/>
      </c>
      <c r="J184" s="9" t="str">
        <f>IF(OR($I184="",'09_CF_원금'!$B$108=0),"",$I184/'09_CF_원금'!$B$108)</f>
        <v/>
      </c>
      <c r="K184" s="8" t="str">
        <f t="shared" si="7"/>
        <v/>
      </c>
      <c r="L184" s="8">
        <f t="shared" si="8"/>
        <v>0.002284818991</v>
      </c>
      <c r="M184" s="7" t="str">
        <f t="shared" si="9"/>
        <v/>
      </c>
      <c r="N184" s="7" t="str">
        <f t="shared" si="10"/>
        <v/>
      </c>
      <c r="O184" s="7" t="str">
        <f t="shared" si="11"/>
        <v/>
      </c>
      <c r="P184" s="10"/>
      <c r="Q184" s="11"/>
      <c r="R184" s="11"/>
      <c r="S184" s="12"/>
      <c r="T184" s="12"/>
      <c r="U184" s="12"/>
      <c r="V184" s="12"/>
      <c r="W184" s="18">
        <f t="shared" si="24"/>
        <v>2471304</v>
      </c>
      <c r="X184" s="7">
        <f t="shared" si="25"/>
        <v>1079147857</v>
      </c>
      <c r="Y184" s="7">
        <f t="shared" si="26"/>
        <v>977860000</v>
      </c>
      <c r="Z184" s="7" t="str">
        <f t="shared" si="12"/>
        <v/>
      </c>
      <c r="AA184" s="14">
        <f>SUMIFS('09_CF_원금'!$E$6:$E$92,'09_CF_원금'!$D$6:$D$92,"국장",'09_CF_원금'!$A$6:$A$92,"&lt;="&amp;$A184)-SUMIFS('09_CF_원금'!$E$6:$E$92,'09_CF_원금'!$C$6:$C$92,"국장",'09_CF_원금'!$A$6:$A$92,"&lt;="&amp;$A184)</f>
        <v>365000000</v>
      </c>
      <c r="AB184" s="14">
        <f>SUMIFS('09_CF_원금'!$E$6:$E$92,'09_CF_원금'!$D$6:$D$92,"미장",'09_CF_원금'!$A$6:$A$92,"&lt;="&amp;$A184)-SUMIFS('09_CF_원금'!$E$6:$E$92,'09_CF_원금'!$C$6:$C$92,"미장",'09_CF_원금'!$A$6:$A$92,"&lt;="&amp;$A184)</f>
        <v>-65000000</v>
      </c>
      <c r="AC184" s="14">
        <f>SUMIFS('09_CF_원금'!$E$6:$E$92,'09_CF_원금'!$D$6:$D$92,"ISA",'09_CF_원금'!$A$6:$A$92,"&lt;="&amp;$A184)-SUMIFS('09_CF_원금'!$E$6:$E$92,'09_CF_원금'!$C$6:$C$92,"ISA",'09_CF_원금'!$A$6:$A$92,"&lt;="&amp;$A184)</f>
        <v>40000000</v>
      </c>
      <c r="AD184" s="14">
        <f>IF($A184="","",$AA184+$AB184+$AC184+SUMIFS('09_CF_원금'!$E$6:$E$92,'09_CF_원금'!$D$6:$D$92,"중국",'09_CF_원금'!$A$6:$A$92,"&lt;="&amp;$A184)-SUMIFS('09_CF_원금'!$E$6:$E$92,'09_CF_원금'!$C$6:$C$92,"중국",'09_CF_원금'!$A$6:$A$92,"&lt;="&amp;$A184))</f>
        <v>340000000</v>
      </c>
      <c r="AE184" s="14" t="str">
        <f t="shared" si="13"/>
        <v/>
      </c>
      <c r="AF184" s="15"/>
      <c r="AG184" s="14"/>
      <c r="AH184" s="14"/>
      <c r="AI184" s="14"/>
      <c r="AJ184" s="14"/>
      <c r="AK184" s="16">
        <f t="shared" si="14"/>
        <v>202608</v>
      </c>
      <c r="AL184" s="17" t="str">
        <f t="shared" si="15"/>
        <v/>
      </c>
    </row>
    <row r="185" ht="15.75" customHeight="1">
      <c r="A185" s="6">
        <v>46260.0</v>
      </c>
      <c r="B185" s="7" t="str">
        <f t="shared" si="1"/>
        <v/>
      </c>
      <c r="C185" s="7" t="str">
        <f t="shared" si="16"/>
        <v/>
      </c>
      <c r="D185" s="7" t="str">
        <f t="shared" si="2"/>
        <v/>
      </c>
      <c r="E185" s="8" t="str">
        <f t="shared" si="3"/>
        <v/>
      </c>
      <c r="F185" s="8" t="str">
        <f>IF(OR($Y185="",$Y185=0,$G185="",$G185=0),"",($S185-$G185*'03_포지션'!$B$13)/$Y185)</f>
        <v/>
      </c>
      <c r="G185" s="7" t="str">
        <f t="shared" si="23"/>
        <v/>
      </c>
      <c r="H185" s="7" t="str">
        <f t="shared" si="5"/>
        <v/>
      </c>
      <c r="I185" s="7" t="str">
        <f t="shared" si="6"/>
        <v/>
      </c>
      <c r="J185" s="9" t="str">
        <f>IF(OR($I185="",'09_CF_원금'!$B$108=0),"",$I185/'09_CF_원금'!$B$108)</f>
        <v/>
      </c>
      <c r="K185" s="8" t="str">
        <f t="shared" si="7"/>
        <v/>
      </c>
      <c r="L185" s="8">
        <f t="shared" si="8"/>
        <v>0.002284818991</v>
      </c>
      <c r="M185" s="7" t="str">
        <f t="shared" si="9"/>
        <v/>
      </c>
      <c r="N185" s="7" t="str">
        <f t="shared" si="10"/>
        <v/>
      </c>
      <c r="O185" s="7" t="str">
        <f t="shared" si="11"/>
        <v/>
      </c>
      <c r="P185" s="10"/>
      <c r="Q185" s="11"/>
      <c r="R185" s="11"/>
      <c r="S185" s="12"/>
      <c r="T185" s="12"/>
      <c r="U185" s="12"/>
      <c r="V185" s="12"/>
      <c r="W185" s="18">
        <f t="shared" si="24"/>
        <v>2471304</v>
      </c>
      <c r="X185" s="7">
        <f t="shared" si="25"/>
        <v>1079147857</v>
      </c>
      <c r="Y185" s="7">
        <f t="shared" si="26"/>
        <v>977860000</v>
      </c>
      <c r="Z185" s="7" t="str">
        <f t="shared" si="12"/>
        <v/>
      </c>
      <c r="AA185" s="14">
        <f>SUMIFS('09_CF_원금'!$E$6:$E$92,'09_CF_원금'!$D$6:$D$92,"국장",'09_CF_원금'!$A$6:$A$92,"&lt;="&amp;$A185)-SUMIFS('09_CF_원금'!$E$6:$E$92,'09_CF_원금'!$C$6:$C$92,"국장",'09_CF_원금'!$A$6:$A$92,"&lt;="&amp;$A185)</f>
        <v>365000000</v>
      </c>
      <c r="AB185" s="14">
        <f>SUMIFS('09_CF_원금'!$E$6:$E$92,'09_CF_원금'!$D$6:$D$92,"미장",'09_CF_원금'!$A$6:$A$92,"&lt;="&amp;$A185)-SUMIFS('09_CF_원금'!$E$6:$E$92,'09_CF_원금'!$C$6:$C$92,"미장",'09_CF_원금'!$A$6:$A$92,"&lt;="&amp;$A185)</f>
        <v>-65000000</v>
      </c>
      <c r="AC185" s="14">
        <f>SUMIFS('09_CF_원금'!$E$6:$E$92,'09_CF_원금'!$D$6:$D$92,"ISA",'09_CF_원금'!$A$6:$A$92,"&lt;="&amp;$A185)-SUMIFS('09_CF_원금'!$E$6:$E$92,'09_CF_원금'!$C$6:$C$92,"ISA",'09_CF_원금'!$A$6:$A$92,"&lt;="&amp;$A185)</f>
        <v>40000000</v>
      </c>
      <c r="AD185" s="14">
        <f>IF($A185="","",$AA185+$AB185+$AC185+SUMIFS('09_CF_원금'!$E$6:$E$92,'09_CF_원금'!$D$6:$D$92,"중국",'09_CF_원금'!$A$6:$A$92,"&lt;="&amp;$A185)-SUMIFS('09_CF_원금'!$E$6:$E$92,'09_CF_원금'!$C$6:$C$92,"중국",'09_CF_원금'!$A$6:$A$92,"&lt;="&amp;$A185))</f>
        <v>340000000</v>
      </c>
      <c r="AE185" s="14" t="str">
        <f t="shared" si="13"/>
        <v/>
      </c>
      <c r="AF185" s="15"/>
      <c r="AG185" s="14"/>
      <c r="AH185" s="14"/>
      <c r="AI185" s="14"/>
      <c r="AJ185" s="14"/>
      <c r="AK185" s="16">
        <f t="shared" si="14"/>
        <v>202608</v>
      </c>
      <c r="AL185" s="17" t="str">
        <f t="shared" si="15"/>
        <v/>
      </c>
    </row>
    <row r="186" ht="15.75" customHeight="1">
      <c r="A186" s="6">
        <v>46261.0</v>
      </c>
      <c r="B186" s="7" t="str">
        <f t="shared" si="1"/>
        <v/>
      </c>
      <c r="C186" s="7" t="str">
        <f t="shared" si="16"/>
        <v/>
      </c>
      <c r="D186" s="7" t="str">
        <f t="shared" si="2"/>
        <v/>
      </c>
      <c r="E186" s="8" t="str">
        <f t="shared" si="3"/>
        <v/>
      </c>
      <c r="F186" s="8" t="str">
        <f>IF(OR($Y186="",$Y186=0,$G186="",$G186=0),"",($S186-$G186*'03_포지션'!$B$13)/$Y186)</f>
        <v/>
      </c>
      <c r="G186" s="7" t="str">
        <f t="shared" si="23"/>
        <v/>
      </c>
      <c r="H186" s="7" t="str">
        <f t="shared" si="5"/>
        <v/>
      </c>
      <c r="I186" s="7" t="str">
        <f t="shared" si="6"/>
        <v/>
      </c>
      <c r="J186" s="9" t="str">
        <f>IF(OR($I186="",'09_CF_원금'!$B$108=0),"",$I186/'09_CF_원금'!$B$108)</f>
        <v/>
      </c>
      <c r="K186" s="8" t="str">
        <f t="shared" si="7"/>
        <v/>
      </c>
      <c r="L186" s="8">
        <f t="shared" si="8"/>
        <v>0.002284818991</v>
      </c>
      <c r="M186" s="7" t="str">
        <f t="shared" si="9"/>
        <v/>
      </c>
      <c r="N186" s="7" t="str">
        <f t="shared" si="10"/>
        <v/>
      </c>
      <c r="O186" s="7" t="str">
        <f t="shared" si="11"/>
        <v/>
      </c>
      <c r="P186" s="10"/>
      <c r="Q186" s="11"/>
      <c r="R186" s="11"/>
      <c r="S186" s="12"/>
      <c r="T186" s="12"/>
      <c r="U186" s="12"/>
      <c r="V186" s="12"/>
      <c r="W186" s="18">
        <f t="shared" si="24"/>
        <v>2471304</v>
      </c>
      <c r="X186" s="7">
        <f t="shared" si="25"/>
        <v>1079147857</v>
      </c>
      <c r="Y186" s="7">
        <f t="shared" si="26"/>
        <v>977860000</v>
      </c>
      <c r="Z186" s="7" t="str">
        <f t="shared" si="12"/>
        <v/>
      </c>
      <c r="AA186" s="14">
        <f>SUMIFS('09_CF_원금'!$E$6:$E$92,'09_CF_원금'!$D$6:$D$92,"국장",'09_CF_원금'!$A$6:$A$92,"&lt;="&amp;$A186)-SUMIFS('09_CF_원금'!$E$6:$E$92,'09_CF_원금'!$C$6:$C$92,"국장",'09_CF_원금'!$A$6:$A$92,"&lt;="&amp;$A186)</f>
        <v>365000000</v>
      </c>
      <c r="AB186" s="14">
        <f>SUMIFS('09_CF_원금'!$E$6:$E$92,'09_CF_원금'!$D$6:$D$92,"미장",'09_CF_원금'!$A$6:$A$92,"&lt;="&amp;$A186)-SUMIFS('09_CF_원금'!$E$6:$E$92,'09_CF_원금'!$C$6:$C$92,"미장",'09_CF_원금'!$A$6:$A$92,"&lt;="&amp;$A186)</f>
        <v>-65000000</v>
      </c>
      <c r="AC186" s="14">
        <f>SUMIFS('09_CF_원금'!$E$6:$E$92,'09_CF_원금'!$D$6:$D$92,"ISA",'09_CF_원금'!$A$6:$A$92,"&lt;="&amp;$A186)-SUMIFS('09_CF_원금'!$E$6:$E$92,'09_CF_원금'!$C$6:$C$92,"ISA",'09_CF_원금'!$A$6:$A$92,"&lt;="&amp;$A186)</f>
        <v>40000000</v>
      </c>
      <c r="AD186" s="14">
        <f>IF($A186="","",$AA186+$AB186+$AC186+SUMIFS('09_CF_원금'!$E$6:$E$92,'09_CF_원금'!$D$6:$D$92,"중국",'09_CF_원금'!$A$6:$A$92,"&lt;="&amp;$A186)-SUMIFS('09_CF_원금'!$E$6:$E$92,'09_CF_원금'!$C$6:$C$92,"중국",'09_CF_원금'!$A$6:$A$92,"&lt;="&amp;$A186))</f>
        <v>340000000</v>
      </c>
      <c r="AE186" s="14" t="str">
        <f t="shared" si="13"/>
        <v/>
      </c>
      <c r="AF186" s="15"/>
      <c r="AG186" s="14"/>
      <c r="AH186" s="14"/>
      <c r="AI186" s="14"/>
      <c r="AJ186" s="14"/>
      <c r="AK186" s="16">
        <f t="shared" si="14"/>
        <v>202608</v>
      </c>
      <c r="AL186" s="17" t="str">
        <f t="shared" si="15"/>
        <v/>
      </c>
    </row>
    <row r="187" ht="15.75" customHeight="1">
      <c r="A187" s="6">
        <v>46262.0</v>
      </c>
      <c r="B187" s="7" t="str">
        <f t="shared" si="1"/>
        <v/>
      </c>
      <c r="C187" s="7" t="str">
        <f t="shared" si="16"/>
        <v/>
      </c>
      <c r="D187" s="7" t="str">
        <f t="shared" si="2"/>
        <v/>
      </c>
      <c r="E187" s="8" t="str">
        <f t="shared" si="3"/>
        <v/>
      </c>
      <c r="F187" s="8" t="str">
        <f>IF(OR($Y187="",$Y187=0,$G187="",$G187=0),"",($S187-$G187*'03_포지션'!$B$13)/$Y187)</f>
        <v/>
      </c>
      <c r="G187" s="7" t="str">
        <f t="shared" si="23"/>
        <v/>
      </c>
      <c r="H187" s="7" t="str">
        <f t="shared" si="5"/>
        <v/>
      </c>
      <c r="I187" s="7" t="str">
        <f t="shared" si="6"/>
        <v/>
      </c>
      <c r="J187" s="9" t="str">
        <f>IF(OR($I187="",'09_CF_원금'!$B$108=0),"",$I187/'09_CF_원금'!$B$108)</f>
        <v/>
      </c>
      <c r="K187" s="8" t="str">
        <f t="shared" si="7"/>
        <v/>
      </c>
      <c r="L187" s="8">
        <f t="shared" si="8"/>
        <v>0.002284818991</v>
      </c>
      <c r="M187" s="7" t="str">
        <f t="shared" si="9"/>
        <v/>
      </c>
      <c r="N187" s="7" t="str">
        <f t="shared" si="10"/>
        <v/>
      </c>
      <c r="O187" s="7" t="str">
        <f t="shared" si="11"/>
        <v/>
      </c>
      <c r="P187" s="10"/>
      <c r="Q187" s="11"/>
      <c r="R187" s="11"/>
      <c r="S187" s="12"/>
      <c r="T187" s="12"/>
      <c r="U187" s="12"/>
      <c r="V187" s="12"/>
      <c r="W187" s="18">
        <f t="shared" si="24"/>
        <v>2471304</v>
      </c>
      <c r="X187" s="7">
        <f t="shared" si="25"/>
        <v>1079147857</v>
      </c>
      <c r="Y187" s="7">
        <f t="shared" si="26"/>
        <v>977860000</v>
      </c>
      <c r="Z187" s="7" t="str">
        <f t="shared" si="12"/>
        <v/>
      </c>
      <c r="AA187" s="14">
        <f>SUMIFS('09_CF_원금'!$E$6:$E$92,'09_CF_원금'!$D$6:$D$92,"국장",'09_CF_원금'!$A$6:$A$92,"&lt;="&amp;$A187)-SUMIFS('09_CF_원금'!$E$6:$E$92,'09_CF_원금'!$C$6:$C$92,"국장",'09_CF_원금'!$A$6:$A$92,"&lt;="&amp;$A187)</f>
        <v>365000000</v>
      </c>
      <c r="AB187" s="14">
        <f>SUMIFS('09_CF_원금'!$E$6:$E$92,'09_CF_원금'!$D$6:$D$92,"미장",'09_CF_원금'!$A$6:$A$92,"&lt;="&amp;$A187)-SUMIFS('09_CF_원금'!$E$6:$E$92,'09_CF_원금'!$C$6:$C$92,"미장",'09_CF_원금'!$A$6:$A$92,"&lt;="&amp;$A187)</f>
        <v>-65000000</v>
      </c>
      <c r="AC187" s="14">
        <f>SUMIFS('09_CF_원금'!$E$6:$E$92,'09_CF_원금'!$D$6:$D$92,"ISA",'09_CF_원금'!$A$6:$A$92,"&lt;="&amp;$A187)-SUMIFS('09_CF_원금'!$E$6:$E$92,'09_CF_원금'!$C$6:$C$92,"ISA",'09_CF_원금'!$A$6:$A$92,"&lt;="&amp;$A187)</f>
        <v>40000000</v>
      </c>
      <c r="AD187" s="14">
        <f>IF($A187="","",$AA187+$AB187+$AC187+SUMIFS('09_CF_원금'!$E$6:$E$92,'09_CF_원금'!$D$6:$D$92,"중국",'09_CF_원금'!$A$6:$A$92,"&lt;="&amp;$A187)-SUMIFS('09_CF_원금'!$E$6:$E$92,'09_CF_원금'!$C$6:$C$92,"중국",'09_CF_원금'!$A$6:$A$92,"&lt;="&amp;$A187))</f>
        <v>340000000</v>
      </c>
      <c r="AE187" s="14" t="str">
        <f t="shared" si="13"/>
        <v/>
      </c>
      <c r="AF187" s="15"/>
      <c r="AG187" s="14"/>
      <c r="AH187" s="14"/>
      <c r="AI187" s="14"/>
      <c r="AJ187" s="14"/>
      <c r="AK187" s="16">
        <f t="shared" si="14"/>
        <v>202608</v>
      </c>
      <c r="AL187" s="17" t="str">
        <f t="shared" si="15"/>
        <v/>
      </c>
    </row>
    <row r="188" ht="15.75" customHeight="1">
      <c r="A188" s="6">
        <v>46265.0</v>
      </c>
      <c r="B188" s="7" t="str">
        <f t="shared" si="1"/>
        <v/>
      </c>
      <c r="C188" s="7" t="str">
        <f t="shared" si="16"/>
        <v/>
      </c>
      <c r="D188" s="7" t="str">
        <f t="shared" si="2"/>
        <v/>
      </c>
      <c r="E188" s="8" t="str">
        <f t="shared" si="3"/>
        <v/>
      </c>
      <c r="F188" s="8" t="str">
        <f>IF(OR($Y188="",$Y188=0,$G188="",$G188=0),"",($S188-$G188*'03_포지션'!$B$13)/$Y188)</f>
        <v/>
      </c>
      <c r="G188" s="7" t="str">
        <f t="shared" si="23"/>
        <v/>
      </c>
      <c r="H188" s="7" t="str">
        <f t="shared" si="5"/>
        <v/>
      </c>
      <c r="I188" s="7" t="str">
        <f t="shared" si="6"/>
        <v/>
      </c>
      <c r="J188" s="9" t="str">
        <f>IF(OR($I188="",'09_CF_원금'!$B$108=0),"",$I188/'09_CF_원금'!$B$108)</f>
        <v/>
      </c>
      <c r="K188" s="8" t="str">
        <f t="shared" si="7"/>
        <v/>
      </c>
      <c r="L188" s="8">
        <f t="shared" si="8"/>
        <v>0.002284818991</v>
      </c>
      <c r="M188" s="7" t="str">
        <f t="shared" si="9"/>
        <v/>
      </c>
      <c r="N188" s="7" t="str">
        <f t="shared" si="10"/>
        <v/>
      </c>
      <c r="O188" s="7" t="str">
        <f t="shared" si="11"/>
        <v/>
      </c>
      <c r="P188" s="10"/>
      <c r="Q188" s="11"/>
      <c r="R188" s="11"/>
      <c r="S188" s="12"/>
      <c r="T188" s="12"/>
      <c r="U188" s="12"/>
      <c r="V188" s="12"/>
      <c r="W188" s="18">
        <f t="shared" si="24"/>
        <v>2471304</v>
      </c>
      <c r="X188" s="7">
        <f t="shared" si="25"/>
        <v>1079147857</v>
      </c>
      <c r="Y188" s="7">
        <f t="shared" si="26"/>
        <v>977860000</v>
      </c>
      <c r="Z188" s="7" t="str">
        <f t="shared" si="12"/>
        <v/>
      </c>
      <c r="AA188" s="14">
        <f>SUMIFS('09_CF_원금'!$E$6:$E$92,'09_CF_원금'!$D$6:$D$92,"국장",'09_CF_원금'!$A$6:$A$92,"&lt;="&amp;$A188)-SUMIFS('09_CF_원금'!$E$6:$E$92,'09_CF_원금'!$C$6:$C$92,"국장",'09_CF_원금'!$A$6:$A$92,"&lt;="&amp;$A188)</f>
        <v>365000000</v>
      </c>
      <c r="AB188" s="14">
        <f>SUMIFS('09_CF_원금'!$E$6:$E$92,'09_CF_원금'!$D$6:$D$92,"미장",'09_CF_원금'!$A$6:$A$92,"&lt;="&amp;$A188)-SUMIFS('09_CF_원금'!$E$6:$E$92,'09_CF_원금'!$C$6:$C$92,"미장",'09_CF_원금'!$A$6:$A$92,"&lt;="&amp;$A188)</f>
        <v>-65000000</v>
      </c>
      <c r="AC188" s="14">
        <f>SUMIFS('09_CF_원금'!$E$6:$E$92,'09_CF_원금'!$D$6:$D$92,"ISA",'09_CF_원금'!$A$6:$A$92,"&lt;="&amp;$A188)-SUMIFS('09_CF_원금'!$E$6:$E$92,'09_CF_원금'!$C$6:$C$92,"ISA",'09_CF_원금'!$A$6:$A$92,"&lt;="&amp;$A188)</f>
        <v>40000000</v>
      </c>
      <c r="AD188" s="14">
        <f>IF($A188="","",$AA188+$AB188+$AC188+SUMIFS('09_CF_원금'!$E$6:$E$92,'09_CF_원금'!$D$6:$D$92,"중국",'09_CF_원금'!$A$6:$A$92,"&lt;="&amp;$A188)-SUMIFS('09_CF_원금'!$E$6:$E$92,'09_CF_원금'!$C$6:$C$92,"중국",'09_CF_원금'!$A$6:$A$92,"&lt;="&amp;$A188))</f>
        <v>340000000</v>
      </c>
      <c r="AE188" s="14" t="str">
        <f t="shared" si="13"/>
        <v/>
      </c>
      <c r="AF188" s="15"/>
      <c r="AG188" s="14"/>
      <c r="AH188" s="14"/>
      <c r="AI188" s="14"/>
      <c r="AJ188" s="14"/>
      <c r="AK188" s="16">
        <f t="shared" si="14"/>
        <v>202608</v>
      </c>
      <c r="AL188" s="17" t="str">
        <f t="shared" si="15"/>
        <v/>
      </c>
    </row>
    <row r="189" ht="15.75" customHeight="1">
      <c r="A189" s="6"/>
      <c r="B189" s="7"/>
      <c r="C189" s="7"/>
      <c r="D189" s="7"/>
      <c r="E189" s="8"/>
      <c r="F189" s="8"/>
      <c r="G189" s="7"/>
      <c r="H189" s="7"/>
      <c r="I189" s="7"/>
      <c r="J189" s="9"/>
      <c r="K189" s="8"/>
      <c r="L189" s="8"/>
      <c r="M189" s="7"/>
      <c r="N189" s="7"/>
      <c r="O189" s="7"/>
      <c r="P189" s="10"/>
      <c r="Q189" s="11"/>
      <c r="R189" s="11"/>
      <c r="S189" s="12"/>
      <c r="T189" s="12"/>
      <c r="U189" s="12"/>
      <c r="V189" s="12"/>
      <c r="W189" s="18"/>
      <c r="X189" s="7"/>
      <c r="Y189" s="7"/>
      <c r="Z189" s="7"/>
      <c r="AA189" s="14"/>
      <c r="AB189" s="14"/>
      <c r="AC189" s="14"/>
      <c r="AD189" s="14"/>
      <c r="AE189" s="14"/>
      <c r="AF189" s="15"/>
      <c r="AG189" s="14"/>
      <c r="AH189" s="14"/>
      <c r="AI189" s="14"/>
      <c r="AJ189" s="14"/>
      <c r="AK189" s="16"/>
      <c r="AL189" s="17"/>
    </row>
    <row r="190" ht="15.75" customHeight="1">
      <c r="A190" s="6"/>
      <c r="B190" s="7"/>
      <c r="C190" s="7"/>
      <c r="D190" s="7"/>
      <c r="E190" s="8"/>
      <c r="F190" s="8"/>
      <c r="G190" s="7"/>
      <c r="H190" s="7"/>
      <c r="I190" s="7"/>
      <c r="J190" s="9"/>
      <c r="K190" s="8"/>
      <c r="L190" s="8"/>
      <c r="M190" s="7"/>
      <c r="N190" s="7"/>
      <c r="O190" s="7"/>
      <c r="P190" s="10"/>
      <c r="Q190" s="11"/>
      <c r="R190" s="11"/>
      <c r="S190" s="12"/>
      <c r="T190" s="12"/>
      <c r="U190" s="12"/>
      <c r="V190" s="12"/>
      <c r="W190" s="18"/>
      <c r="X190" s="7"/>
      <c r="Y190" s="7"/>
      <c r="Z190" s="7"/>
      <c r="AA190" s="14"/>
      <c r="AB190" s="14"/>
      <c r="AC190" s="14"/>
      <c r="AD190" s="14"/>
      <c r="AE190" s="14"/>
      <c r="AF190" s="15"/>
      <c r="AG190" s="14"/>
      <c r="AH190" s="14"/>
      <c r="AI190" s="14"/>
      <c r="AJ190" s="14"/>
      <c r="AK190" s="16"/>
      <c r="AL190" s="17"/>
    </row>
    <row r="191" ht="15.75" customHeight="1">
      <c r="A191" s="6"/>
      <c r="B191" s="7"/>
      <c r="C191" s="7"/>
      <c r="D191" s="7"/>
      <c r="E191" s="8"/>
      <c r="F191" s="8"/>
      <c r="G191" s="7"/>
      <c r="H191" s="7"/>
      <c r="I191" s="7"/>
      <c r="J191" s="9"/>
      <c r="K191" s="8"/>
      <c r="L191" s="8"/>
      <c r="M191" s="7"/>
      <c r="N191" s="7"/>
      <c r="O191" s="7"/>
      <c r="P191" s="10"/>
      <c r="Q191" s="11"/>
      <c r="R191" s="11"/>
      <c r="S191" s="12"/>
      <c r="T191" s="12"/>
      <c r="U191" s="12"/>
      <c r="V191" s="12"/>
      <c r="W191" s="18"/>
      <c r="X191" s="7"/>
      <c r="Y191" s="7"/>
      <c r="Z191" s="7"/>
      <c r="AA191" s="14"/>
      <c r="AB191" s="14"/>
      <c r="AC191" s="14"/>
      <c r="AD191" s="14"/>
      <c r="AE191" s="14"/>
      <c r="AF191" s="15"/>
      <c r="AG191" s="14"/>
      <c r="AH191" s="14"/>
      <c r="AI191" s="14"/>
      <c r="AJ191" s="14"/>
      <c r="AK191" s="16"/>
      <c r="AL191" s="17"/>
    </row>
    <row r="192" ht="15.75" customHeight="1">
      <c r="A192" s="6"/>
      <c r="B192" s="7"/>
      <c r="C192" s="7"/>
      <c r="D192" s="7"/>
      <c r="E192" s="8"/>
      <c r="F192" s="8"/>
      <c r="G192" s="7"/>
      <c r="H192" s="7"/>
      <c r="I192" s="7"/>
      <c r="J192" s="9"/>
      <c r="K192" s="8"/>
      <c r="L192" s="8"/>
      <c r="M192" s="7"/>
      <c r="N192" s="7"/>
      <c r="O192" s="7"/>
      <c r="P192" s="10"/>
      <c r="Q192" s="11"/>
      <c r="R192" s="11"/>
      <c r="S192" s="12"/>
      <c r="T192" s="12"/>
      <c r="U192" s="12"/>
      <c r="V192" s="12"/>
      <c r="W192" s="18"/>
      <c r="X192" s="7"/>
      <c r="Y192" s="7"/>
      <c r="Z192" s="7"/>
      <c r="AA192" s="14"/>
      <c r="AB192" s="14"/>
      <c r="AC192" s="14"/>
      <c r="AD192" s="14"/>
      <c r="AE192" s="14"/>
      <c r="AF192" s="15"/>
      <c r="AG192" s="14"/>
      <c r="AH192" s="14"/>
      <c r="AI192" s="14"/>
      <c r="AJ192" s="14"/>
      <c r="AK192" s="16"/>
      <c r="AL192" s="17"/>
    </row>
    <row r="193" ht="15.75" customHeight="1">
      <c r="A193" s="6"/>
      <c r="B193" s="7"/>
      <c r="C193" s="7"/>
      <c r="D193" s="7"/>
      <c r="E193" s="8"/>
      <c r="F193" s="8"/>
      <c r="G193" s="7"/>
      <c r="H193" s="7"/>
      <c r="I193" s="7"/>
      <c r="J193" s="9"/>
      <c r="K193" s="8"/>
      <c r="L193" s="8"/>
      <c r="M193" s="7"/>
      <c r="N193" s="7"/>
      <c r="O193" s="7"/>
      <c r="P193" s="10"/>
      <c r="Q193" s="11"/>
      <c r="R193" s="11"/>
      <c r="S193" s="12"/>
      <c r="T193" s="12"/>
      <c r="U193" s="12"/>
      <c r="V193" s="12"/>
      <c r="W193" s="18"/>
      <c r="X193" s="7"/>
      <c r="Y193" s="7"/>
      <c r="Z193" s="7"/>
      <c r="AA193" s="14"/>
      <c r="AB193" s="14"/>
      <c r="AC193" s="14"/>
      <c r="AD193" s="14"/>
      <c r="AE193" s="14"/>
      <c r="AF193" s="15"/>
      <c r="AG193" s="14"/>
      <c r="AH193" s="14"/>
      <c r="AI193" s="14"/>
      <c r="AJ193" s="14"/>
      <c r="AK193" s="16"/>
      <c r="AL193" s="17"/>
    </row>
    <row r="194" ht="15.75" customHeight="1">
      <c r="A194" s="6"/>
      <c r="B194" s="7"/>
      <c r="C194" s="7"/>
      <c r="D194" s="7"/>
      <c r="E194" s="8"/>
      <c r="F194" s="8"/>
      <c r="G194" s="7"/>
      <c r="H194" s="7"/>
      <c r="I194" s="7"/>
      <c r="J194" s="9"/>
      <c r="K194" s="8"/>
      <c r="L194" s="8"/>
      <c r="M194" s="7"/>
      <c r="N194" s="7"/>
      <c r="O194" s="7"/>
      <c r="P194" s="10"/>
      <c r="Q194" s="11"/>
      <c r="R194" s="11"/>
      <c r="S194" s="12"/>
      <c r="T194" s="12"/>
      <c r="U194" s="12"/>
      <c r="V194" s="12"/>
      <c r="W194" s="18"/>
      <c r="X194" s="7"/>
      <c r="Y194" s="7"/>
      <c r="Z194" s="7"/>
      <c r="AA194" s="14"/>
      <c r="AB194" s="14"/>
      <c r="AC194" s="14"/>
      <c r="AD194" s="14"/>
      <c r="AE194" s="14"/>
      <c r="AF194" s="15"/>
      <c r="AG194" s="14"/>
      <c r="AH194" s="14"/>
      <c r="AI194" s="14"/>
      <c r="AJ194" s="14"/>
      <c r="AK194" s="16"/>
      <c r="AL194" s="17"/>
    </row>
    <row r="195" ht="15.75" customHeight="1">
      <c r="A195" s="6"/>
      <c r="B195" s="7"/>
      <c r="C195" s="7"/>
      <c r="D195" s="7"/>
      <c r="E195" s="8"/>
      <c r="F195" s="8"/>
      <c r="G195" s="7"/>
      <c r="H195" s="7"/>
      <c r="I195" s="7"/>
      <c r="J195" s="9"/>
      <c r="K195" s="8"/>
      <c r="L195" s="8"/>
      <c r="M195" s="7"/>
      <c r="N195" s="7"/>
      <c r="O195" s="7"/>
      <c r="P195" s="10"/>
      <c r="Q195" s="11"/>
      <c r="R195" s="11"/>
      <c r="S195" s="12"/>
      <c r="T195" s="12"/>
      <c r="U195" s="12"/>
      <c r="V195" s="12"/>
      <c r="W195" s="18"/>
      <c r="X195" s="7"/>
      <c r="Y195" s="7"/>
      <c r="Z195" s="7"/>
      <c r="AA195" s="14"/>
      <c r="AB195" s="14"/>
      <c r="AC195" s="14"/>
      <c r="AD195" s="14"/>
      <c r="AE195" s="14"/>
      <c r="AF195" s="15"/>
      <c r="AG195" s="14"/>
      <c r="AH195" s="14"/>
      <c r="AI195" s="14"/>
      <c r="AJ195" s="14"/>
      <c r="AK195" s="16"/>
      <c r="AL195" s="17"/>
    </row>
    <row r="196" ht="15.75" customHeight="1">
      <c r="A196" s="6"/>
      <c r="B196" s="7"/>
      <c r="C196" s="7"/>
      <c r="D196" s="7"/>
      <c r="E196" s="8"/>
      <c r="F196" s="8"/>
      <c r="G196" s="7"/>
      <c r="H196" s="7"/>
      <c r="I196" s="7"/>
      <c r="J196" s="9"/>
      <c r="K196" s="8"/>
      <c r="L196" s="8"/>
      <c r="M196" s="7"/>
      <c r="N196" s="7"/>
      <c r="O196" s="7"/>
      <c r="P196" s="10"/>
      <c r="Q196" s="11"/>
      <c r="R196" s="11"/>
      <c r="S196" s="12"/>
      <c r="T196" s="12"/>
      <c r="U196" s="12"/>
      <c r="V196" s="12"/>
      <c r="W196" s="18"/>
      <c r="X196" s="7"/>
      <c r="Y196" s="7"/>
      <c r="Z196" s="7"/>
      <c r="AA196" s="14"/>
      <c r="AB196" s="14"/>
      <c r="AC196" s="14"/>
      <c r="AD196" s="14"/>
      <c r="AE196" s="14"/>
      <c r="AF196" s="15"/>
      <c r="AG196" s="14"/>
      <c r="AH196" s="14"/>
      <c r="AI196" s="14"/>
      <c r="AJ196" s="14"/>
      <c r="AK196" s="16"/>
      <c r="AL196" s="17"/>
    </row>
    <row r="197" ht="15.75" customHeight="1">
      <c r="A197" s="6"/>
      <c r="B197" s="7"/>
      <c r="C197" s="7"/>
      <c r="D197" s="7"/>
      <c r="E197" s="8"/>
      <c r="F197" s="8"/>
      <c r="G197" s="7"/>
      <c r="H197" s="7"/>
      <c r="I197" s="7"/>
      <c r="J197" s="9"/>
      <c r="K197" s="8"/>
      <c r="L197" s="8"/>
      <c r="M197" s="7"/>
      <c r="N197" s="7"/>
      <c r="O197" s="7"/>
      <c r="P197" s="10"/>
      <c r="Q197" s="11"/>
      <c r="R197" s="11"/>
      <c r="S197" s="12"/>
      <c r="T197" s="12"/>
      <c r="U197" s="12"/>
      <c r="V197" s="12"/>
      <c r="W197" s="18"/>
      <c r="X197" s="7"/>
      <c r="Y197" s="7"/>
      <c r="Z197" s="7"/>
      <c r="AA197" s="14"/>
      <c r="AB197" s="14"/>
      <c r="AC197" s="14"/>
      <c r="AD197" s="14"/>
      <c r="AE197" s="14"/>
      <c r="AF197" s="15"/>
      <c r="AG197" s="14"/>
      <c r="AH197" s="14"/>
      <c r="AI197" s="14"/>
      <c r="AJ197" s="14"/>
      <c r="AK197" s="16"/>
      <c r="AL197" s="17"/>
    </row>
    <row r="198" ht="15.75" customHeight="1">
      <c r="A198" s="6"/>
      <c r="B198" s="7"/>
      <c r="C198" s="7"/>
      <c r="D198" s="7"/>
      <c r="E198" s="8"/>
      <c r="F198" s="8"/>
      <c r="G198" s="7"/>
      <c r="H198" s="7"/>
      <c r="I198" s="7"/>
      <c r="J198" s="9"/>
      <c r="K198" s="8"/>
      <c r="L198" s="8"/>
      <c r="M198" s="7"/>
      <c r="N198" s="7"/>
      <c r="O198" s="7"/>
      <c r="P198" s="10"/>
      <c r="Q198" s="11"/>
      <c r="R198" s="11"/>
      <c r="S198" s="12"/>
      <c r="T198" s="12"/>
      <c r="U198" s="12"/>
      <c r="V198" s="12"/>
      <c r="W198" s="18"/>
      <c r="X198" s="7"/>
      <c r="Y198" s="7"/>
      <c r="Z198" s="7"/>
      <c r="AA198" s="14"/>
      <c r="AB198" s="14"/>
      <c r="AC198" s="14"/>
      <c r="AD198" s="14"/>
      <c r="AE198" s="14"/>
      <c r="AF198" s="15"/>
      <c r="AG198" s="14"/>
      <c r="AH198" s="14"/>
      <c r="AI198" s="14"/>
      <c r="AJ198" s="14"/>
      <c r="AK198" s="16"/>
      <c r="AL198" s="17"/>
    </row>
    <row r="199" ht="15.75" customHeight="1">
      <c r="A199" s="6"/>
      <c r="B199" s="7"/>
      <c r="C199" s="7"/>
      <c r="D199" s="7"/>
      <c r="E199" s="8"/>
      <c r="F199" s="8"/>
      <c r="G199" s="7"/>
      <c r="H199" s="7"/>
      <c r="I199" s="7"/>
      <c r="J199" s="9"/>
      <c r="K199" s="8"/>
      <c r="L199" s="8"/>
      <c r="M199" s="7"/>
      <c r="N199" s="7"/>
      <c r="O199" s="7"/>
      <c r="P199" s="10"/>
      <c r="Q199" s="11"/>
      <c r="R199" s="11"/>
      <c r="S199" s="12"/>
      <c r="T199" s="12"/>
      <c r="U199" s="12"/>
      <c r="V199" s="12"/>
      <c r="W199" s="18"/>
      <c r="X199" s="7"/>
      <c r="Y199" s="7"/>
      <c r="Z199" s="7"/>
      <c r="AA199" s="14"/>
      <c r="AB199" s="14"/>
      <c r="AC199" s="14"/>
      <c r="AD199" s="14"/>
      <c r="AE199" s="14"/>
      <c r="AF199" s="15"/>
      <c r="AG199" s="14"/>
      <c r="AH199" s="14"/>
      <c r="AI199" s="14"/>
      <c r="AJ199" s="14"/>
      <c r="AK199" s="16"/>
      <c r="AL199" s="17"/>
    </row>
    <row r="200" ht="15.75" customHeight="1">
      <c r="A200" s="6"/>
      <c r="B200" s="7"/>
      <c r="C200" s="7"/>
      <c r="D200" s="7"/>
      <c r="E200" s="8"/>
      <c r="F200" s="8"/>
      <c r="G200" s="7"/>
      <c r="H200" s="7"/>
      <c r="I200" s="7"/>
      <c r="J200" s="9"/>
      <c r="K200" s="8"/>
      <c r="L200" s="8"/>
      <c r="M200" s="7"/>
      <c r="N200" s="7"/>
      <c r="O200" s="7"/>
      <c r="P200" s="10"/>
      <c r="Q200" s="11"/>
      <c r="R200" s="11"/>
      <c r="S200" s="12"/>
      <c r="T200" s="12"/>
      <c r="U200" s="12"/>
      <c r="V200" s="12"/>
      <c r="W200" s="18"/>
      <c r="X200" s="7"/>
      <c r="Y200" s="7"/>
      <c r="Z200" s="7"/>
      <c r="AA200" s="14"/>
      <c r="AB200" s="14"/>
      <c r="AC200" s="14"/>
      <c r="AD200" s="14"/>
      <c r="AE200" s="14"/>
      <c r="AF200" s="15"/>
      <c r="AG200" s="14"/>
      <c r="AH200" s="14"/>
      <c r="AI200" s="14"/>
      <c r="AJ200" s="14"/>
      <c r="AK200" s="16"/>
      <c r="AL200" s="17"/>
    </row>
    <row r="201" ht="15.75" customHeight="1">
      <c r="A201" s="6"/>
      <c r="B201" s="7"/>
      <c r="C201" s="7"/>
      <c r="D201" s="7"/>
      <c r="E201" s="8"/>
      <c r="F201" s="8"/>
      <c r="G201" s="7"/>
      <c r="H201" s="7"/>
      <c r="I201" s="7"/>
      <c r="J201" s="9"/>
      <c r="K201" s="8"/>
      <c r="L201" s="8"/>
      <c r="M201" s="7"/>
      <c r="N201" s="7"/>
      <c r="O201" s="7"/>
      <c r="P201" s="10"/>
      <c r="Q201" s="11"/>
      <c r="R201" s="11"/>
      <c r="S201" s="12"/>
      <c r="T201" s="12"/>
      <c r="U201" s="12"/>
      <c r="V201" s="12"/>
      <c r="W201" s="18"/>
      <c r="X201" s="7"/>
      <c r="Y201" s="7"/>
      <c r="Z201" s="7"/>
      <c r="AA201" s="14"/>
      <c r="AB201" s="14"/>
      <c r="AC201" s="14"/>
      <c r="AD201" s="14"/>
      <c r="AE201" s="14"/>
      <c r="AF201" s="15"/>
      <c r="AG201" s="14"/>
      <c r="AH201" s="14"/>
      <c r="AI201" s="14"/>
      <c r="AJ201" s="14"/>
      <c r="AK201" s="16"/>
      <c r="AL201" s="17"/>
    </row>
    <row r="202" ht="15.75" customHeight="1">
      <c r="A202" s="6"/>
      <c r="B202" s="7"/>
      <c r="C202" s="7"/>
      <c r="D202" s="7"/>
      <c r="E202" s="8"/>
      <c r="F202" s="8"/>
      <c r="G202" s="7"/>
      <c r="H202" s="7"/>
      <c r="I202" s="7"/>
      <c r="J202" s="9"/>
      <c r="K202" s="8"/>
      <c r="L202" s="8"/>
      <c r="M202" s="7"/>
      <c r="N202" s="7"/>
      <c r="O202" s="7"/>
      <c r="P202" s="10"/>
      <c r="Q202" s="11"/>
      <c r="R202" s="11"/>
      <c r="S202" s="12"/>
      <c r="T202" s="12"/>
      <c r="U202" s="12"/>
      <c r="V202" s="12"/>
      <c r="W202" s="18"/>
      <c r="X202" s="7"/>
      <c r="Y202" s="7"/>
      <c r="Z202" s="7"/>
      <c r="AA202" s="14"/>
      <c r="AB202" s="14"/>
      <c r="AC202" s="14"/>
      <c r="AD202" s="14"/>
      <c r="AE202" s="14"/>
      <c r="AF202" s="15"/>
      <c r="AG202" s="14"/>
      <c r="AH202" s="14"/>
      <c r="AI202" s="14"/>
      <c r="AJ202" s="14"/>
      <c r="AK202" s="16"/>
      <c r="AL202" s="17"/>
    </row>
    <row r="203" ht="15.75" customHeight="1">
      <c r="A203" s="6"/>
      <c r="B203" s="7"/>
      <c r="C203" s="7"/>
      <c r="D203" s="7"/>
      <c r="E203" s="8"/>
      <c r="F203" s="8"/>
      <c r="G203" s="7"/>
      <c r="H203" s="7"/>
      <c r="I203" s="7"/>
      <c r="J203" s="9"/>
      <c r="K203" s="8"/>
      <c r="L203" s="8"/>
      <c r="M203" s="7"/>
      <c r="N203" s="7"/>
      <c r="O203" s="7"/>
      <c r="P203" s="10"/>
      <c r="Q203" s="11"/>
      <c r="R203" s="11"/>
      <c r="S203" s="12"/>
      <c r="T203" s="12"/>
      <c r="U203" s="12"/>
      <c r="V203" s="12"/>
      <c r="W203" s="18"/>
      <c r="X203" s="7"/>
      <c r="Y203" s="7"/>
      <c r="Z203" s="7"/>
      <c r="AA203" s="14"/>
      <c r="AB203" s="14"/>
      <c r="AC203" s="14"/>
      <c r="AD203" s="14"/>
      <c r="AE203" s="14"/>
      <c r="AF203" s="15"/>
      <c r="AG203" s="14"/>
      <c r="AH203" s="14"/>
      <c r="AI203" s="14"/>
      <c r="AJ203" s="14"/>
      <c r="AK203" s="16"/>
      <c r="AL203" s="17"/>
    </row>
    <row r="204" ht="15.75" customHeight="1">
      <c r="A204" s="6"/>
      <c r="B204" s="7"/>
      <c r="C204" s="7"/>
      <c r="D204" s="7"/>
      <c r="E204" s="8"/>
      <c r="F204" s="8"/>
      <c r="G204" s="7"/>
      <c r="H204" s="7"/>
      <c r="I204" s="7"/>
      <c r="J204" s="9"/>
      <c r="K204" s="8"/>
      <c r="L204" s="8"/>
      <c r="M204" s="7"/>
      <c r="N204" s="7"/>
      <c r="O204" s="7"/>
      <c r="P204" s="10"/>
      <c r="Q204" s="11"/>
      <c r="R204" s="11"/>
      <c r="S204" s="12"/>
      <c r="T204" s="12"/>
      <c r="U204" s="12"/>
      <c r="V204" s="12"/>
      <c r="W204" s="18"/>
      <c r="X204" s="7"/>
      <c r="Y204" s="7"/>
      <c r="Z204" s="7"/>
      <c r="AA204" s="14"/>
      <c r="AB204" s="14"/>
      <c r="AC204" s="14"/>
      <c r="AD204" s="14"/>
      <c r="AE204" s="14"/>
      <c r="AF204" s="15"/>
      <c r="AG204" s="14"/>
      <c r="AH204" s="14"/>
      <c r="AI204" s="14"/>
      <c r="AJ204" s="14"/>
      <c r="AK204" s="16"/>
      <c r="AL204" s="17"/>
    </row>
    <row r="205" ht="15.75" customHeight="1">
      <c r="A205" s="6"/>
      <c r="B205" s="7"/>
      <c r="C205" s="7"/>
      <c r="D205" s="7"/>
      <c r="E205" s="8"/>
      <c r="F205" s="8"/>
      <c r="G205" s="7"/>
      <c r="H205" s="7"/>
      <c r="I205" s="7"/>
      <c r="J205" s="9"/>
      <c r="K205" s="8"/>
      <c r="L205" s="8"/>
      <c r="M205" s="7"/>
      <c r="N205" s="7"/>
      <c r="O205" s="7"/>
      <c r="P205" s="10"/>
      <c r="Q205" s="11"/>
      <c r="R205" s="11"/>
      <c r="S205" s="12"/>
      <c r="T205" s="12"/>
      <c r="U205" s="12"/>
      <c r="V205" s="12"/>
      <c r="W205" s="18"/>
      <c r="X205" s="7"/>
      <c r="Y205" s="7"/>
      <c r="Z205" s="7"/>
      <c r="AA205" s="14"/>
      <c r="AB205" s="14"/>
      <c r="AC205" s="14"/>
      <c r="AD205" s="14"/>
      <c r="AE205" s="14"/>
      <c r="AF205" s="15"/>
      <c r="AG205" s="14"/>
      <c r="AH205" s="14"/>
      <c r="AI205" s="14"/>
      <c r="AJ205" s="14"/>
      <c r="AK205" s="16"/>
      <c r="AL205" s="17"/>
    </row>
    <row r="206" ht="15.75" customHeight="1">
      <c r="A206" s="6"/>
      <c r="B206" s="7"/>
      <c r="C206" s="7"/>
      <c r="D206" s="7"/>
      <c r="E206" s="8"/>
      <c r="F206" s="8"/>
      <c r="G206" s="7"/>
      <c r="H206" s="7"/>
      <c r="I206" s="7"/>
      <c r="J206" s="9"/>
      <c r="K206" s="8"/>
      <c r="L206" s="8"/>
      <c r="M206" s="7"/>
      <c r="N206" s="7"/>
      <c r="O206" s="7"/>
      <c r="P206" s="10"/>
      <c r="Q206" s="11"/>
      <c r="R206" s="11"/>
      <c r="S206" s="12"/>
      <c r="T206" s="12"/>
      <c r="U206" s="12"/>
      <c r="V206" s="12"/>
      <c r="W206" s="18"/>
      <c r="X206" s="7"/>
      <c r="Y206" s="7"/>
      <c r="Z206" s="7"/>
      <c r="AA206" s="14"/>
      <c r="AB206" s="14"/>
      <c r="AC206" s="14"/>
      <c r="AD206" s="14"/>
      <c r="AE206" s="14"/>
      <c r="AF206" s="15"/>
      <c r="AG206" s="14"/>
      <c r="AH206" s="14"/>
      <c r="AI206" s="14"/>
      <c r="AJ206" s="14"/>
      <c r="AK206" s="16"/>
      <c r="AL206" s="17"/>
    </row>
    <row r="207" ht="15.75" customHeight="1">
      <c r="A207" s="6"/>
      <c r="B207" s="7"/>
      <c r="C207" s="7"/>
      <c r="D207" s="7"/>
      <c r="E207" s="8"/>
      <c r="F207" s="8"/>
      <c r="G207" s="7"/>
      <c r="H207" s="7"/>
      <c r="I207" s="7"/>
      <c r="J207" s="9"/>
      <c r="K207" s="8"/>
      <c r="L207" s="8"/>
      <c r="M207" s="7"/>
      <c r="N207" s="7"/>
      <c r="O207" s="7"/>
      <c r="P207" s="10"/>
      <c r="Q207" s="11"/>
      <c r="R207" s="11"/>
      <c r="S207" s="12"/>
      <c r="T207" s="12"/>
      <c r="U207" s="12"/>
      <c r="V207" s="12"/>
      <c r="W207" s="18"/>
      <c r="X207" s="7"/>
      <c r="Y207" s="7"/>
      <c r="Z207" s="7"/>
      <c r="AA207" s="14"/>
      <c r="AB207" s="14"/>
      <c r="AC207" s="14"/>
      <c r="AD207" s="14"/>
      <c r="AE207" s="14"/>
      <c r="AF207" s="15"/>
      <c r="AG207" s="14"/>
      <c r="AH207" s="14"/>
      <c r="AI207" s="14"/>
      <c r="AJ207" s="14"/>
      <c r="AK207" s="16"/>
      <c r="AL207" s="17"/>
    </row>
    <row r="208" ht="15.75" customHeight="1">
      <c r="A208" s="6"/>
      <c r="B208" s="7"/>
      <c r="C208" s="7"/>
      <c r="D208" s="7"/>
      <c r="E208" s="8"/>
      <c r="F208" s="8"/>
      <c r="G208" s="7"/>
      <c r="H208" s="7"/>
      <c r="I208" s="7"/>
      <c r="J208" s="9"/>
      <c r="K208" s="8"/>
      <c r="L208" s="8"/>
      <c r="M208" s="7"/>
      <c r="N208" s="7"/>
      <c r="O208" s="7"/>
      <c r="P208" s="10"/>
      <c r="Q208" s="11"/>
      <c r="R208" s="11"/>
      <c r="S208" s="12"/>
      <c r="T208" s="12"/>
      <c r="U208" s="12"/>
      <c r="V208" s="12"/>
      <c r="W208" s="18"/>
      <c r="X208" s="7"/>
      <c r="Y208" s="7"/>
      <c r="Z208" s="7"/>
      <c r="AA208" s="14"/>
      <c r="AB208" s="14"/>
      <c r="AC208" s="14"/>
      <c r="AD208" s="14"/>
      <c r="AE208" s="14"/>
      <c r="AF208" s="15"/>
      <c r="AG208" s="14"/>
      <c r="AH208" s="14"/>
      <c r="AI208" s="14"/>
      <c r="AJ208" s="14"/>
      <c r="AK208" s="16"/>
      <c r="AL208" s="17"/>
    </row>
    <row r="209" ht="15.75" customHeight="1">
      <c r="A209" s="6"/>
      <c r="B209" s="7"/>
      <c r="C209" s="7"/>
      <c r="D209" s="7"/>
      <c r="E209" s="8"/>
      <c r="F209" s="8"/>
      <c r="G209" s="7"/>
      <c r="H209" s="7"/>
      <c r="I209" s="7"/>
      <c r="J209" s="9"/>
      <c r="K209" s="8"/>
      <c r="L209" s="8"/>
      <c r="M209" s="7"/>
      <c r="N209" s="7"/>
      <c r="O209" s="7"/>
      <c r="P209" s="10"/>
      <c r="Q209" s="11"/>
      <c r="R209" s="11"/>
      <c r="S209" s="12"/>
      <c r="T209" s="12"/>
      <c r="U209" s="12"/>
      <c r="V209" s="12"/>
      <c r="W209" s="18"/>
      <c r="X209" s="7"/>
      <c r="Y209" s="7"/>
      <c r="Z209" s="7"/>
      <c r="AA209" s="14"/>
      <c r="AB209" s="14"/>
      <c r="AC209" s="14"/>
      <c r="AD209" s="14"/>
      <c r="AE209" s="14"/>
      <c r="AF209" s="15"/>
      <c r="AG209" s="14"/>
      <c r="AH209" s="14"/>
      <c r="AI209" s="14"/>
      <c r="AJ209" s="14"/>
      <c r="AK209" s="16"/>
      <c r="AL209" s="17"/>
    </row>
    <row r="210" ht="15.75" customHeight="1">
      <c r="A210" s="6"/>
      <c r="B210" s="7"/>
      <c r="C210" s="7"/>
      <c r="D210" s="7"/>
      <c r="E210" s="8"/>
      <c r="F210" s="8"/>
      <c r="G210" s="7"/>
      <c r="H210" s="7"/>
      <c r="I210" s="7"/>
      <c r="J210" s="9"/>
      <c r="K210" s="8"/>
      <c r="L210" s="8"/>
      <c r="M210" s="7"/>
      <c r="N210" s="7"/>
      <c r="O210" s="7"/>
      <c r="P210" s="10"/>
      <c r="Q210" s="11"/>
      <c r="R210" s="11"/>
      <c r="S210" s="12"/>
      <c r="T210" s="12"/>
      <c r="U210" s="12"/>
      <c r="V210" s="12"/>
      <c r="W210" s="18"/>
      <c r="X210" s="7"/>
      <c r="Y210" s="7"/>
      <c r="Z210" s="7"/>
      <c r="AA210" s="14"/>
      <c r="AB210" s="14"/>
      <c r="AC210" s="14"/>
      <c r="AD210" s="14"/>
      <c r="AE210" s="14"/>
      <c r="AF210" s="15"/>
      <c r="AG210" s="14"/>
      <c r="AH210" s="14"/>
      <c r="AI210" s="14"/>
      <c r="AJ210" s="14"/>
      <c r="AK210" s="16"/>
      <c r="AL210" s="17"/>
    </row>
    <row r="211" ht="15.75" customHeight="1">
      <c r="A211" s="6"/>
      <c r="B211" s="7"/>
      <c r="C211" s="7"/>
      <c r="D211" s="7"/>
      <c r="E211" s="8"/>
      <c r="F211" s="8"/>
      <c r="G211" s="7"/>
      <c r="H211" s="7"/>
      <c r="I211" s="7"/>
      <c r="J211" s="9"/>
      <c r="K211" s="8"/>
      <c r="L211" s="8"/>
      <c r="M211" s="7"/>
      <c r="N211" s="7"/>
      <c r="O211" s="7"/>
      <c r="P211" s="10"/>
      <c r="Q211" s="11"/>
      <c r="R211" s="11"/>
      <c r="S211" s="12"/>
      <c r="T211" s="12"/>
      <c r="U211" s="12"/>
      <c r="V211" s="12"/>
      <c r="W211" s="18"/>
      <c r="X211" s="7"/>
      <c r="Y211" s="7"/>
      <c r="Z211" s="7"/>
      <c r="AA211" s="14"/>
      <c r="AB211" s="14"/>
      <c r="AC211" s="14"/>
      <c r="AD211" s="14"/>
      <c r="AE211" s="14"/>
      <c r="AF211" s="15"/>
      <c r="AG211" s="14"/>
      <c r="AH211" s="14"/>
      <c r="AI211" s="14"/>
      <c r="AJ211" s="14"/>
      <c r="AK211" s="16"/>
      <c r="AL211" s="17"/>
    </row>
    <row r="212" ht="15.75" customHeight="1">
      <c r="A212" s="6"/>
      <c r="B212" s="7"/>
      <c r="C212" s="7"/>
      <c r="D212" s="7"/>
      <c r="E212" s="8"/>
      <c r="F212" s="8"/>
      <c r="G212" s="7"/>
      <c r="H212" s="7"/>
      <c r="I212" s="7"/>
      <c r="J212" s="9"/>
      <c r="K212" s="8"/>
      <c r="L212" s="8"/>
      <c r="M212" s="7"/>
      <c r="N212" s="7"/>
      <c r="O212" s="7"/>
      <c r="P212" s="10"/>
      <c r="Q212" s="11"/>
      <c r="R212" s="11"/>
      <c r="S212" s="12"/>
      <c r="T212" s="12"/>
      <c r="U212" s="12"/>
      <c r="V212" s="12"/>
      <c r="W212" s="18"/>
      <c r="X212" s="7"/>
      <c r="Y212" s="7"/>
      <c r="Z212" s="7"/>
      <c r="AA212" s="14"/>
      <c r="AB212" s="14"/>
      <c r="AC212" s="14"/>
      <c r="AD212" s="14"/>
      <c r="AE212" s="14"/>
      <c r="AF212" s="15"/>
      <c r="AG212" s="14"/>
      <c r="AH212" s="14"/>
      <c r="AI212" s="14"/>
      <c r="AJ212" s="14"/>
      <c r="AK212" s="16"/>
      <c r="AL212" s="17"/>
    </row>
    <row r="213" ht="15.75" customHeight="1">
      <c r="A213" s="6"/>
      <c r="B213" s="7"/>
      <c r="C213" s="7"/>
      <c r="D213" s="7"/>
      <c r="E213" s="8"/>
      <c r="F213" s="8"/>
      <c r="G213" s="7"/>
      <c r="H213" s="7"/>
      <c r="I213" s="7"/>
      <c r="J213" s="9"/>
      <c r="K213" s="8"/>
      <c r="L213" s="8"/>
      <c r="M213" s="7"/>
      <c r="N213" s="7"/>
      <c r="O213" s="7"/>
      <c r="P213" s="10"/>
      <c r="Q213" s="11"/>
      <c r="R213" s="11"/>
      <c r="S213" s="12"/>
      <c r="T213" s="12"/>
      <c r="U213" s="12"/>
      <c r="V213" s="12"/>
      <c r="W213" s="18"/>
      <c r="X213" s="7"/>
      <c r="Y213" s="7"/>
      <c r="Z213" s="7"/>
      <c r="AA213" s="14"/>
      <c r="AB213" s="14"/>
      <c r="AC213" s="14"/>
      <c r="AD213" s="14"/>
      <c r="AE213" s="14"/>
      <c r="AF213" s="15"/>
      <c r="AG213" s="14"/>
      <c r="AH213" s="14"/>
      <c r="AI213" s="14"/>
      <c r="AJ213" s="14"/>
      <c r="AK213" s="16"/>
      <c r="AL213" s="17"/>
    </row>
    <row r="214" ht="15.75" customHeight="1">
      <c r="A214" s="6"/>
      <c r="B214" s="7"/>
      <c r="C214" s="7"/>
      <c r="D214" s="7"/>
      <c r="E214" s="8"/>
      <c r="F214" s="8"/>
      <c r="G214" s="7"/>
      <c r="H214" s="7"/>
      <c r="I214" s="7"/>
      <c r="J214" s="9"/>
      <c r="K214" s="8"/>
      <c r="L214" s="8"/>
      <c r="M214" s="7"/>
      <c r="N214" s="7"/>
      <c r="O214" s="7"/>
      <c r="P214" s="10"/>
      <c r="Q214" s="11"/>
      <c r="R214" s="11"/>
      <c r="S214" s="12"/>
      <c r="T214" s="12"/>
      <c r="U214" s="12"/>
      <c r="V214" s="12"/>
      <c r="W214" s="18"/>
      <c r="X214" s="7"/>
      <c r="Y214" s="7"/>
      <c r="Z214" s="7"/>
      <c r="AA214" s="14"/>
      <c r="AB214" s="14"/>
      <c r="AC214" s="14"/>
      <c r="AD214" s="14"/>
      <c r="AE214" s="14"/>
      <c r="AF214" s="15"/>
      <c r="AG214" s="14"/>
      <c r="AH214" s="14"/>
      <c r="AI214" s="14"/>
      <c r="AJ214" s="14"/>
      <c r="AK214" s="16"/>
      <c r="AL214" s="17"/>
    </row>
    <row r="215" ht="15.75" customHeight="1">
      <c r="A215" s="6"/>
      <c r="B215" s="7"/>
      <c r="C215" s="7"/>
      <c r="D215" s="7"/>
      <c r="E215" s="8"/>
      <c r="F215" s="8"/>
      <c r="G215" s="7"/>
      <c r="H215" s="7"/>
      <c r="I215" s="7"/>
      <c r="J215" s="9"/>
      <c r="K215" s="8"/>
      <c r="L215" s="8"/>
      <c r="M215" s="7"/>
      <c r="N215" s="7"/>
      <c r="O215" s="7"/>
      <c r="P215" s="10"/>
      <c r="Q215" s="11"/>
      <c r="R215" s="11"/>
      <c r="S215" s="12"/>
      <c r="T215" s="12"/>
      <c r="U215" s="12"/>
      <c r="V215" s="12"/>
      <c r="W215" s="18"/>
      <c r="X215" s="7"/>
      <c r="Y215" s="7"/>
      <c r="Z215" s="7"/>
      <c r="AA215" s="14"/>
      <c r="AB215" s="14"/>
      <c r="AC215" s="14"/>
      <c r="AD215" s="14"/>
      <c r="AE215" s="14"/>
      <c r="AF215" s="15"/>
      <c r="AG215" s="14"/>
      <c r="AH215" s="14"/>
      <c r="AI215" s="14"/>
      <c r="AJ215" s="14"/>
      <c r="AK215" s="16"/>
      <c r="AL215" s="17"/>
    </row>
    <row r="216" ht="15.75" customHeight="1">
      <c r="A216" s="6"/>
      <c r="B216" s="7"/>
      <c r="C216" s="7"/>
      <c r="D216" s="7"/>
      <c r="E216" s="8"/>
      <c r="F216" s="8"/>
      <c r="G216" s="7"/>
      <c r="H216" s="7"/>
      <c r="I216" s="7"/>
      <c r="J216" s="9"/>
      <c r="K216" s="8"/>
      <c r="L216" s="8"/>
      <c r="M216" s="7"/>
      <c r="N216" s="7"/>
      <c r="O216" s="7"/>
      <c r="P216" s="10"/>
      <c r="Q216" s="11"/>
      <c r="R216" s="11"/>
      <c r="S216" s="12"/>
      <c r="T216" s="12"/>
      <c r="U216" s="12"/>
      <c r="V216" s="12"/>
      <c r="W216" s="18"/>
      <c r="X216" s="7"/>
      <c r="Y216" s="7"/>
      <c r="Z216" s="7"/>
      <c r="AA216" s="14"/>
      <c r="AB216" s="14"/>
      <c r="AC216" s="14"/>
      <c r="AD216" s="14"/>
      <c r="AE216" s="14"/>
      <c r="AF216" s="15"/>
      <c r="AG216" s="14"/>
      <c r="AH216" s="14"/>
      <c r="AI216" s="14"/>
      <c r="AJ216" s="14"/>
      <c r="AK216" s="16"/>
      <c r="AL216" s="17"/>
    </row>
    <row r="217" ht="15.75" customHeight="1">
      <c r="A217" s="6"/>
      <c r="B217" s="7"/>
      <c r="C217" s="7"/>
      <c r="D217" s="7"/>
      <c r="E217" s="8"/>
      <c r="F217" s="8"/>
      <c r="G217" s="7"/>
      <c r="H217" s="7"/>
      <c r="I217" s="7"/>
      <c r="J217" s="9"/>
      <c r="K217" s="8"/>
      <c r="L217" s="8"/>
      <c r="M217" s="7"/>
      <c r="N217" s="7"/>
      <c r="O217" s="7"/>
      <c r="P217" s="10"/>
      <c r="Q217" s="11"/>
      <c r="R217" s="11"/>
      <c r="S217" s="12"/>
      <c r="T217" s="12"/>
      <c r="U217" s="12"/>
      <c r="V217" s="12"/>
      <c r="W217" s="18"/>
      <c r="X217" s="7"/>
      <c r="Y217" s="7"/>
      <c r="Z217" s="7"/>
      <c r="AA217" s="14"/>
      <c r="AB217" s="14"/>
      <c r="AC217" s="14"/>
      <c r="AD217" s="14"/>
      <c r="AE217" s="14"/>
      <c r="AF217" s="15"/>
      <c r="AG217" s="14"/>
      <c r="AH217" s="14"/>
      <c r="AI217" s="14"/>
      <c r="AJ217" s="14"/>
      <c r="AK217" s="16"/>
      <c r="AL217" s="17"/>
    </row>
    <row r="218" ht="15.75" customHeight="1">
      <c r="A218" s="6"/>
      <c r="B218" s="7"/>
      <c r="C218" s="7"/>
      <c r="D218" s="7"/>
      <c r="E218" s="8"/>
      <c r="F218" s="8"/>
      <c r="G218" s="7"/>
      <c r="H218" s="7"/>
      <c r="I218" s="7"/>
      <c r="J218" s="9"/>
      <c r="K218" s="8"/>
      <c r="L218" s="8"/>
      <c r="M218" s="7"/>
      <c r="N218" s="7"/>
      <c r="O218" s="7"/>
      <c r="P218" s="10"/>
      <c r="Q218" s="11"/>
      <c r="R218" s="11"/>
      <c r="S218" s="12"/>
      <c r="T218" s="12"/>
      <c r="U218" s="12"/>
      <c r="V218" s="12"/>
      <c r="W218" s="18"/>
      <c r="X218" s="7"/>
      <c r="Y218" s="7"/>
      <c r="Z218" s="7"/>
      <c r="AA218" s="14"/>
      <c r="AB218" s="14"/>
      <c r="AC218" s="14"/>
      <c r="AD218" s="14"/>
      <c r="AE218" s="14"/>
      <c r="AF218" s="15"/>
      <c r="AG218" s="14"/>
      <c r="AH218" s="14"/>
      <c r="AI218" s="14"/>
      <c r="AJ218" s="14"/>
      <c r="AK218" s="16"/>
      <c r="AL218" s="17"/>
    </row>
    <row r="219" ht="15.75" customHeight="1">
      <c r="A219" s="6"/>
      <c r="B219" s="7"/>
      <c r="C219" s="7"/>
      <c r="D219" s="7"/>
      <c r="E219" s="8"/>
      <c r="F219" s="8"/>
      <c r="G219" s="7"/>
      <c r="H219" s="7"/>
      <c r="I219" s="7"/>
      <c r="J219" s="9"/>
      <c r="K219" s="8"/>
      <c r="L219" s="8"/>
      <c r="M219" s="7"/>
      <c r="N219" s="7"/>
      <c r="O219" s="7"/>
      <c r="P219" s="10"/>
      <c r="Q219" s="11"/>
      <c r="R219" s="11"/>
      <c r="S219" s="12"/>
      <c r="T219" s="12"/>
      <c r="U219" s="12"/>
      <c r="V219" s="12"/>
      <c r="W219" s="18"/>
      <c r="X219" s="7"/>
      <c r="Y219" s="7"/>
      <c r="Z219" s="7"/>
      <c r="AA219" s="14"/>
      <c r="AB219" s="14"/>
      <c r="AC219" s="14"/>
      <c r="AD219" s="14"/>
      <c r="AE219" s="14"/>
      <c r="AF219" s="15"/>
      <c r="AG219" s="14"/>
      <c r="AH219" s="14"/>
      <c r="AI219" s="14"/>
      <c r="AJ219" s="14"/>
      <c r="AK219" s="16"/>
      <c r="AL219" s="17"/>
    </row>
    <row r="220" ht="15.75" customHeight="1">
      <c r="A220" s="6"/>
      <c r="B220" s="7"/>
      <c r="C220" s="7"/>
      <c r="D220" s="7"/>
      <c r="E220" s="8"/>
      <c r="F220" s="8"/>
      <c r="G220" s="7"/>
      <c r="H220" s="7"/>
      <c r="I220" s="7"/>
      <c r="J220" s="9"/>
      <c r="K220" s="8"/>
      <c r="L220" s="8"/>
      <c r="M220" s="7"/>
      <c r="N220" s="7"/>
      <c r="O220" s="7"/>
      <c r="P220" s="10"/>
      <c r="Q220" s="11"/>
      <c r="R220" s="11"/>
      <c r="S220" s="12"/>
      <c r="T220" s="12"/>
      <c r="U220" s="12"/>
      <c r="V220" s="12"/>
      <c r="W220" s="18"/>
      <c r="X220" s="7"/>
      <c r="Y220" s="7"/>
      <c r="Z220" s="7"/>
      <c r="AA220" s="14"/>
      <c r="AB220" s="14"/>
      <c r="AC220" s="14"/>
      <c r="AD220" s="14"/>
      <c r="AE220" s="14"/>
      <c r="AF220" s="15"/>
      <c r="AG220" s="14"/>
      <c r="AH220" s="14"/>
      <c r="AI220" s="14"/>
      <c r="AJ220" s="14"/>
      <c r="AK220" s="16"/>
      <c r="AL220" s="17"/>
    </row>
    <row r="221" ht="15.75" customHeight="1">
      <c r="A221" s="6"/>
      <c r="B221" s="7"/>
      <c r="C221" s="7"/>
      <c r="D221" s="7"/>
      <c r="E221" s="8"/>
      <c r="F221" s="8"/>
      <c r="G221" s="7"/>
      <c r="H221" s="7"/>
      <c r="I221" s="7"/>
      <c r="J221" s="9"/>
      <c r="K221" s="8"/>
      <c r="L221" s="8"/>
      <c r="M221" s="7"/>
      <c r="N221" s="7"/>
      <c r="O221" s="7"/>
      <c r="P221" s="10"/>
      <c r="Q221" s="11"/>
      <c r="R221" s="11"/>
      <c r="S221" s="12"/>
      <c r="T221" s="12"/>
      <c r="U221" s="12"/>
      <c r="V221" s="12"/>
      <c r="W221" s="18"/>
      <c r="X221" s="7"/>
      <c r="Y221" s="7"/>
      <c r="Z221" s="7"/>
      <c r="AA221" s="14"/>
      <c r="AB221" s="14"/>
      <c r="AC221" s="14"/>
      <c r="AD221" s="14"/>
      <c r="AE221" s="14"/>
      <c r="AF221" s="15"/>
      <c r="AG221" s="14"/>
      <c r="AH221" s="14"/>
      <c r="AI221" s="14"/>
      <c r="AJ221" s="14"/>
      <c r="AK221" s="16"/>
      <c r="AL221" s="17"/>
    </row>
    <row r="222" ht="15.75" customHeight="1">
      <c r="A222" s="6"/>
      <c r="B222" s="7"/>
      <c r="C222" s="7"/>
      <c r="D222" s="7"/>
      <c r="E222" s="8"/>
      <c r="F222" s="8"/>
      <c r="G222" s="7"/>
      <c r="H222" s="7"/>
      <c r="I222" s="7"/>
      <c r="J222" s="9"/>
      <c r="K222" s="8"/>
      <c r="L222" s="8"/>
      <c r="M222" s="7"/>
      <c r="N222" s="7"/>
      <c r="O222" s="7"/>
      <c r="P222" s="10"/>
      <c r="Q222" s="11"/>
      <c r="R222" s="11"/>
      <c r="S222" s="12"/>
      <c r="T222" s="12"/>
      <c r="U222" s="12"/>
      <c r="V222" s="12"/>
      <c r="W222" s="18"/>
      <c r="X222" s="7"/>
      <c r="Y222" s="7"/>
      <c r="Z222" s="7"/>
      <c r="AA222" s="14"/>
      <c r="AB222" s="14"/>
      <c r="AC222" s="14"/>
      <c r="AD222" s="14"/>
      <c r="AE222" s="14"/>
      <c r="AF222" s="15"/>
      <c r="AG222" s="14"/>
      <c r="AH222" s="14"/>
      <c r="AI222" s="14"/>
      <c r="AJ222" s="14"/>
      <c r="AK222" s="16"/>
      <c r="AL222" s="17"/>
    </row>
    <row r="223" ht="15.75" customHeight="1">
      <c r="A223" s="6"/>
      <c r="B223" s="7"/>
      <c r="C223" s="7"/>
      <c r="D223" s="7"/>
      <c r="E223" s="8"/>
      <c r="F223" s="8"/>
      <c r="G223" s="7"/>
      <c r="H223" s="7"/>
      <c r="I223" s="7"/>
      <c r="J223" s="9"/>
      <c r="K223" s="8"/>
      <c r="L223" s="8"/>
      <c r="M223" s="7"/>
      <c r="N223" s="7"/>
      <c r="O223" s="7"/>
      <c r="P223" s="10"/>
      <c r="Q223" s="11"/>
      <c r="R223" s="11"/>
      <c r="S223" s="12"/>
      <c r="T223" s="12"/>
      <c r="U223" s="12"/>
      <c r="V223" s="12"/>
      <c r="W223" s="18"/>
      <c r="X223" s="7"/>
      <c r="Y223" s="7"/>
      <c r="Z223" s="7"/>
      <c r="AA223" s="14"/>
      <c r="AB223" s="14"/>
      <c r="AC223" s="14"/>
      <c r="AD223" s="14"/>
      <c r="AE223" s="14"/>
      <c r="AF223" s="15"/>
      <c r="AG223" s="14"/>
      <c r="AH223" s="14"/>
      <c r="AI223" s="14"/>
      <c r="AJ223" s="14"/>
      <c r="AK223" s="16"/>
      <c r="AL223" s="17"/>
    </row>
    <row r="224" ht="15.75" customHeight="1">
      <c r="A224" s="6"/>
      <c r="B224" s="7"/>
      <c r="C224" s="7"/>
      <c r="D224" s="7"/>
      <c r="E224" s="8"/>
      <c r="F224" s="8"/>
      <c r="G224" s="7"/>
      <c r="H224" s="7"/>
      <c r="I224" s="7"/>
      <c r="J224" s="9"/>
      <c r="K224" s="8"/>
      <c r="L224" s="8"/>
      <c r="M224" s="7"/>
      <c r="N224" s="7"/>
      <c r="O224" s="7"/>
      <c r="P224" s="10"/>
      <c r="Q224" s="11"/>
      <c r="R224" s="11"/>
      <c r="S224" s="12"/>
      <c r="T224" s="12"/>
      <c r="U224" s="12"/>
      <c r="V224" s="12"/>
      <c r="W224" s="18"/>
      <c r="X224" s="7"/>
      <c r="Y224" s="7"/>
      <c r="Z224" s="7"/>
      <c r="AA224" s="14"/>
      <c r="AB224" s="14"/>
      <c r="AC224" s="14"/>
      <c r="AD224" s="14"/>
      <c r="AE224" s="14"/>
      <c r="AF224" s="15"/>
      <c r="AG224" s="14"/>
      <c r="AH224" s="14"/>
      <c r="AI224" s="14"/>
      <c r="AJ224" s="14"/>
      <c r="AK224" s="16"/>
      <c r="AL224" s="17"/>
    </row>
    <row r="225" ht="15.75" customHeight="1">
      <c r="A225" s="6"/>
      <c r="B225" s="7"/>
      <c r="C225" s="7"/>
      <c r="D225" s="7"/>
      <c r="E225" s="8"/>
      <c r="F225" s="8"/>
      <c r="G225" s="7"/>
      <c r="H225" s="7"/>
      <c r="I225" s="7"/>
      <c r="J225" s="9"/>
      <c r="K225" s="8"/>
      <c r="L225" s="8"/>
      <c r="M225" s="7"/>
      <c r="N225" s="7"/>
      <c r="O225" s="7"/>
      <c r="P225" s="10"/>
      <c r="Q225" s="11"/>
      <c r="R225" s="11"/>
      <c r="S225" s="12"/>
      <c r="T225" s="12"/>
      <c r="U225" s="12"/>
      <c r="V225" s="12"/>
      <c r="W225" s="18"/>
      <c r="X225" s="7"/>
      <c r="Y225" s="7"/>
      <c r="Z225" s="7"/>
      <c r="AA225" s="14"/>
      <c r="AB225" s="14"/>
      <c r="AC225" s="14"/>
      <c r="AD225" s="14"/>
      <c r="AE225" s="14"/>
      <c r="AF225" s="15"/>
      <c r="AG225" s="14"/>
      <c r="AH225" s="14"/>
      <c r="AI225" s="14"/>
      <c r="AJ225" s="14"/>
      <c r="AK225" s="16"/>
      <c r="AL225" s="17"/>
    </row>
    <row r="226" ht="15.75" customHeight="1">
      <c r="A226" s="6"/>
      <c r="B226" s="7"/>
      <c r="C226" s="7"/>
      <c r="D226" s="7"/>
      <c r="E226" s="8"/>
      <c r="F226" s="8"/>
      <c r="G226" s="7"/>
      <c r="H226" s="7"/>
      <c r="I226" s="7"/>
      <c r="J226" s="9"/>
      <c r="K226" s="8"/>
      <c r="L226" s="8"/>
      <c r="M226" s="7"/>
      <c r="N226" s="7"/>
      <c r="O226" s="7"/>
      <c r="P226" s="10"/>
      <c r="Q226" s="11"/>
      <c r="R226" s="11"/>
      <c r="S226" s="12"/>
      <c r="T226" s="12"/>
      <c r="U226" s="12"/>
      <c r="V226" s="12"/>
      <c r="W226" s="18"/>
      <c r="X226" s="7"/>
      <c r="Y226" s="7"/>
      <c r="Z226" s="7"/>
      <c r="AA226" s="14"/>
      <c r="AB226" s="14"/>
      <c r="AC226" s="14"/>
      <c r="AD226" s="14"/>
      <c r="AE226" s="14"/>
      <c r="AF226" s="15"/>
      <c r="AG226" s="14"/>
      <c r="AH226" s="14"/>
      <c r="AI226" s="14"/>
      <c r="AJ226" s="14"/>
      <c r="AK226" s="16"/>
      <c r="AL226" s="17"/>
    </row>
    <row r="227" ht="15.75" customHeight="1">
      <c r="A227" s="6"/>
      <c r="B227" s="7"/>
      <c r="C227" s="7"/>
      <c r="D227" s="7"/>
      <c r="E227" s="8"/>
      <c r="F227" s="8"/>
      <c r="G227" s="7"/>
      <c r="H227" s="7"/>
      <c r="I227" s="7"/>
      <c r="J227" s="9"/>
      <c r="K227" s="8"/>
      <c r="L227" s="8"/>
      <c r="M227" s="7"/>
      <c r="N227" s="7"/>
      <c r="O227" s="7"/>
      <c r="P227" s="10"/>
      <c r="Q227" s="11"/>
      <c r="R227" s="11"/>
      <c r="S227" s="12"/>
      <c r="T227" s="12"/>
      <c r="U227" s="12"/>
      <c r="V227" s="12"/>
      <c r="W227" s="18"/>
      <c r="X227" s="7"/>
      <c r="Y227" s="7"/>
      <c r="Z227" s="7"/>
      <c r="AA227" s="14"/>
      <c r="AB227" s="14"/>
      <c r="AC227" s="14"/>
      <c r="AD227" s="14"/>
      <c r="AE227" s="14"/>
      <c r="AF227" s="15"/>
      <c r="AG227" s="14"/>
      <c r="AH227" s="14"/>
      <c r="AI227" s="14"/>
      <c r="AJ227" s="14"/>
      <c r="AK227" s="16"/>
      <c r="AL227" s="17"/>
    </row>
    <row r="228" ht="15.75" customHeight="1">
      <c r="A228" s="6"/>
      <c r="B228" s="7"/>
      <c r="C228" s="7"/>
      <c r="D228" s="7"/>
      <c r="E228" s="8"/>
      <c r="F228" s="8"/>
      <c r="G228" s="7"/>
      <c r="H228" s="7"/>
      <c r="I228" s="7"/>
      <c r="J228" s="9"/>
      <c r="K228" s="8"/>
      <c r="L228" s="8"/>
      <c r="M228" s="7"/>
      <c r="N228" s="7"/>
      <c r="O228" s="7"/>
      <c r="P228" s="10"/>
      <c r="Q228" s="11"/>
      <c r="R228" s="11"/>
      <c r="S228" s="12"/>
      <c r="T228" s="12"/>
      <c r="U228" s="12"/>
      <c r="V228" s="12"/>
      <c r="W228" s="18"/>
      <c r="X228" s="7"/>
      <c r="Y228" s="7"/>
      <c r="Z228" s="7"/>
      <c r="AA228" s="14"/>
      <c r="AB228" s="14"/>
      <c r="AC228" s="14"/>
      <c r="AD228" s="14"/>
      <c r="AE228" s="14"/>
      <c r="AF228" s="15"/>
      <c r="AG228" s="14"/>
      <c r="AH228" s="14"/>
      <c r="AI228" s="14"/>
      <c r="AJ228" s="14"/>
      <c r="AK228" s="16"/>
      <c r="AL228" s="17"/>
    </row>
    <row r="229" ht="15.75" customHeight="1">
      <c r="A229" s="6"/>
      <c r="B229" s="7"/>
      <c r="C229" s="7"/>
      <c r="D229" s="7"/>
      <c r="E229" s="8"/>
      <c r="F229" s="8"/>
      <c r="G229" s="7"/>
      <c r="H229" s="7"/>
      <c r="I229" s="7"/>
      <c r="J229" s="9"/>
      <c r="K229" s="8"/>
      <c r="L229" s="8"/>
      <c r="M229" s="7"/>
      <c r="N229" s="7"/>
      <c r="O229" s="7"/>
      <c r="P229" s="10"/>
      <c r="Q229" s="11"/>
      <c r="R229" s="11"/>
      <c r="S229" s="12"/>
      <c r="T229" s="12"/>
      <c r="U229" s="12"/>
      <c r="V229" s="12"/>
      <c r="W229" s="18"/>
      <c r="X229" s="7"/>
      <c r="Y229" s="7"/>
      <c r="Z229" s="7"/>
      <c r="AA229" s="14"/>
      <c r="AB229" s="14"/>
      <c r="AC229" s="14"/>
      <c r="AD229" s="14"/>
      <c r="AE229" s="14"/>
      <c r="AF229" s="15"/>
      <c r="AG229" s="14"/>
      <c r="AH229" s="14"/>
      <c r="AI229" s="14"/>
      <c r="AJ229" s="14"/>
      <c r="AK229" s="16"/>
      <c r="AL229" s="17"/>
    </row>
    <row r="230" ht="15.75" customHeight="1">
      <c r="A230" s="6"/>
      <c r="B230" s="7"/>
      <c r="C230" s="7"/>
      <c r="D230" s="7"/>
      <c r="E230" s="8"/>
      <c r="F230" s="8"/>
      <c r="G230" s="7"/>
      <c r="H230" s="7"/>
      <c r="I230" s="7"/>
      <c r="J230" s="9"/>
      <c r="K230" s="8"/>
      <c r="L230" s="8"/>
      <c r="M230" s="7"/>
      <c r="N230" s="7"/>
      <c r="O230" s="7"/>
      <c r="P230" s="10"/>
      <c r="Q230" s="11"/>
      <c r="R230" s="11"/>
      <c r="S230" s="12"/>
      <c r="T230" s="12"/>
      <c r="U230" s="12"/>
      <c r="V230" s="12"/>
      <c r="W230" s="18"/>
      <c r="X230" s="7"/>
      <c r="Y230" s="7"/>
      <c r="Z230" s="7"/>
      <c r="AA230" s="14"/>
      <c r="AB230" s="14"/>
      <c r="AC230" s="14"/>
      <c r="AD230" s="14"/>
      <c r="AE230" s="14"/>
      <c r="AF230" s="15"/>
      <c r="AG230" s="14"/>
      <c r="AH230" s="14"/>
      <c r="AI230" s="14"/>
      <c r="AJ230" s="14"/>
      <c r="AK230" s="16"/>
      <c r="AL230" s="17"/>
    </row>
    <row r="231" ht="15.75" customHeight="1">
      <c r="A231" s="6"/>
      <c r="B231" s="7"/>
      <c r="C231" s="7"/>
      <c r="D231" s="7"/>
      <c r="E231" s="8"/>
      <c r="F231" s="8"/>
      <c r="G231" s="7"/>
      <c r="H231" s="7"/>
      <c r="I231" s="7"/>
      <c r="J231" s="9"/>
      <c r="K231" s="8"/>
      <c r="L231" s="8"/>
      <c r="M231" s="7"/>
      <c r="N231" s="7"/>
      <c r="O231" s="7"/>
      <c r="P231" s="10"/>
      <c r="Q231" s="11"/>
      <c r="R231" s="11"/>
      <c r="S231" s="12"/>
      <c r="T231" s="12"/>
      <c r="U231" s="12"/>
      <c r="V231" s="12"/>
      <c r="W231" s="18"/>
      <c r="X231" s="7"/>
      <c r="Y231" s="7"/>
      <c r="Z231" s="7"/>
      <c r="AA231" s="14"/>
      <c r="AB231" s="14"/>
      <c r="AC231" s="14"/>
      <c r="AD231" s="14"/>
      <c r="AE231" s="14"/>
      <c r="AF231" s="15"/>
      <c r="AG231" s="14"/>
      <c r="AH231" s="14"/>
      <c r="AI231" s="14"/>
      <c r="AJ231" s="14"/>
      <c r="AK231" s="16"/>
      <c r="AL231" s="17"/>
    </row>
    <row r="232" ht="15.75" customHeight="1">
      <c r="A232" s="6"/>
      <c r="B232" s="7"/>
      <c r="C232" s="7"/>
      <c r="D232" s="7"/>
      <c r="E232" s="8"/>
      <c r="F232" s="8"/>
      <c r="G232" s="7"/>
      <c r="H232" s="7"/>
      <c r="I232" s="7"/>
      <c r="J232" s="9"/>
      <c r="K232" s="8"/>
      <c r="L232" s="8"/>
      <c r="M232" s="7"/>
      <c r="N232" s="7"/>
      <c r="O232" s="7"/>
      <c r="P232" s="10"/>
      <c r="Q232" s="11"/>
      <c r="R232" s="11"/>
      <c r="S232" s="12"/>
      <c r="T232" s="12"/>
      <c r="U232" s="12"/>
      <c r="V232" s="12"/>
      <c r="W232" s="18"/>
      <c r="X232" s="7"/>
      <c r="Y232" s="7"/>
      <c r="Z232" s="7"/>
      <c r="AA232" s="14"/>
      <c r="AB232" s="14"/>
      <c r="AC232" s="14"/>
      <c r="AD232" s="14"/>
      <c r="AE232" s="14"/>
      <c r="AF232" s="15"/>
      <c r="AG232" s="14"/>
      <c r="AH232" s="14"/>
      <c r="AI232" s="14"/>
      <c r="AJ232" s="14"/>
      <c r="AK232" s="16"/>
      <c r="AL232" s="17"/>
    </row>
    <row r="233" ht="15.75" customHeight="1">
      <c r="A233" s="6"/>
      <c r="B233" s="7"/>
      <c r="C233" s="7"/>
      <c r="D233" s="7"/>
      <c r="E233" s="8"/>
      <c r="F233" s="8"/>
      <c r="G233" s="7"/>
      <c r="H233" s="7"/>
      <c r="I233" s="7"/>
      <c r="J233" s="9"/>
      <c r="K233" s="8"/>
      <c r="L233" s="8"/>
      <c r="M233" s="7"/>
      <c r="N233" s="7"/>
      <c r="O233" s="7"/>
      <c r="P233" s="10"/>
      <c r="Q233" s="11"/>
      <c r="R233" s="11"/>
      <c r="S233" s="12"/>
      <c r="T233" s="12"/>
      <c r="U233" s="12"/>
      <c r="V233" s="12"/>
      <c r="W233" s="18"/>
      <c r="X233" s="7"/>
      <c r="Y233" s="7"/>
      <c r="Z233" s="7"/>
      <c r="AA233" s="14"/>
      <c r="AB233" s="14"/>
      <c r="AC233" s="14"/>
      <c r="AD233" s="14"/>
      <c r="AE233" s="14"/>
      <c r="AF233" s="15"/>
      <c r="AG233" s="14"/>
      <c r="AH233" s="14"/>
      <c r="AI233" s="14"/>
      <c r="AJ233" s="14"/>
      <c r="AK233" s="16"/>
      <c r="AL233" s="17"/>
    </row>
    <row r="234" ht="15.75" customHeight="1">
      <c r="A234" s="6"/>
      <c r="B234" s="7"/>
      <c r="C234" s="7"/>
      <c r="D234" s="7"/>
      <c r="E234" s="8"/>
      <c r="F234" s="8"/>
      <c r="G234" s="7"/>
      <c r="H234" s="7"/>
      <c r="I234" s="7"/>
      <c r="J234" s="9"/>
      <c r="K234" s="8"/>
      <c r="L234" s="8"/>
      <c r="M234" s="7"/>
      <c r="N234" s="7"/>
      <c r="O234" s="7"/>
      <c r="P234" s="10"/>
      <c r="Q234" s="11"/>
      <c r="R234" s="11"/>
      <c r="S234" s="12"/>
      <c r="T234" s="12"/>
      <c r="U234" s="12"/>
      <c r="V234" s="12"/>
      <c r="W234" s="18"/>
      <c r="X234" s="7"/>
      <c r="Y234" s="7"/>
      <c r="Z234" s="7"/>
      <c r="AA234" s="14"/>
      <c r="AB234" s="14"/>
      <c r="AC234" s="14"/>
      <c r="AD234" s="14"/>
      <c r="AE234" s="14"/>
      <c r="AF234" s="15"/>
      <c r="AG234" s="14"/>
      <c r="AH234" s="14"/>
      <c r="AI234" s="14"/>
      <c r="AJ234" s="14"/>
      <c r="AK234" s="16"/>
      <c r="AL234" s="17"/>
    </row>
    <row r="235" ht="15.75" customHeight="1">
      <c r="A235" s="6"/>
      <c r="B235" s="7"/>
      <c r="C235" s="7"/>
      <c r="D235" s="7"/>
      <c r="E235" s="8"/>
      <c r="F235" s="8"/>
      <c r="G235" s="7"/>
      <c r="H235" s="7"/>
      <c r="I235" s="7"/>
      <c r="J235" s="9"/>
      <c r="K235" s="8"/>
      <c r="L235" s="8"/>
      <c r="M235" s="7"/>
      <c r="N235" s="7"/>
      <c r="O235" s="7"/>
      <c r="P235" s="10"/>
      <c r="Q235" s="11"/>
      <c r="R235" s="11"/>
      <c r="S235" s="12"/>
      <c r="T235" s="12"/>
      <c r="U235" s="12"/>
      <c r="V235" s="12"/>
      <c r="W235" s="18"/>
      <c r="X235" s="7"/>
      <c r="Y235" s="7"/>
      <c r="Z235" s="7"/>
      <c r="AA235" s="14"/>
      <c r="AB235" s="14"/>
      <c r="AC235" s="14"/>
      <c r="AD235" s="14"/>
      <c r="AE235" s="14"/>
      <c r="AF235" s="15"/>
      <c r="AG235" s="14"/>
      <c r="AH235" s="14"/>
      <c r="AI235" s="14"/>
      <c r="AJ235" s="14"/>
      <c r="AK235" s="16"/>
      <c r="AL235" s="17"/>
    </row>
    <row r="236" ht="15.75" customHeight="1">
      <c r="A236" s="6"/>
      <c r="B236" s="7"/>
      <c r="C236" s="7"/>
      <c r="D236" s="7"/>
      <c r="E236" s="8"/>
      <c r="F236" s="8"/>
      <c r="G236" s="7"/>
      <c r="H236" s="7"/>
      <c r="I236" s="7"/>
      <c r="J236" s="9"/>
      <c r="K236" s="8"/>
      <c r="L236" s="8"/>
      <c r="M236" s="7"/>
      <c r="N236" s="7"/>
      <c r="O236" s="7"/>
      <c r="P236" s="10"/>
      <c r="Q236" s="11"/>
      <c r="R236" s="11"/>
      <c r="S236" s="12"/>
      <c r="T236" s="12"/>
      <c r="U236" s="12"/>
      <c r="V236" s="12"/>
      <c r="W236" s="18"/>
      <c r="X236" s="7"/>
      <c r="Y236" s="7"/>
      <c r="Z236" s="7"/>
      <c r="AA236" s="14"/>
      <c r="AB236" s="14"/>
      <c r="AC236" s="14"/>
      <c r="AD236" s="14"/>
      <c r="AE236" s="14"/>
      <c r="AF236" s="15"/>
      <c r="AG236" s="14"/>
      <c r="AH236" s="14"/>
      <c r="AI236" s="14"/>
      <c r="AJ236" s="14"/>
      <c r="AK236" s="16"/>
      <c r="AL236" s="17"/>
    </row>
    <row r="237" ht="15.75" customHeight="1">
      <c r="A237" s="6"/>
      <c r="B237" s="7"/>
      <c r="C237" s="7"/>
      <c r="D237" s="7"/>
      <c r="E237" s="8"/>
      <c r="F237" s="8"/>
      <c r="G237" s="7"/>
      <c r="H237" s="7"/>
      <c r="I237" s="7"/>
      <c r="J237" s="9"/>
      <c r="K237" s="8"/>
      <c r="L237" s="8"/>
      <c r="M237" s="7"/>
      <c r="N237" s="7"/>
      <c r="O237" s="7"/>
      <c r="P237" s="10"/>
      <c r="Q237" s="11"/>
      <c r="R237" s="11"/>
      <c r="S237" s="12"/>
      <c r="T237" s="12"/>
      <c r="U237" s="12"/>
      <c r="V237" s="12"/>
      <c r="W237" s="18"/>
      <c r="X237" s="7"/>
      <c r="Y237" s="7"/>
      <c r="Z237" s="7"/>
      <c r="AA237" s="14"/>
      <c r="AB237" s="14"/>
      <c r="AC237" s="14"/>
      <c r="AD237" s="14"/>
      <c r="AE237" s="14"/>
      <c r="AF237" s="15"/>
      <c r="AG237" s="14"/>
      <c r="AH237" s="14"/>
      <c r="AI237" s="14"/>
      <c r="AJ237" s="14"/>
      <c r="AK237" s="16"/>
      <c r="AL237" s="17"/>
    </row>
    <row r="238" ht="15.75" customHeight="1">
      <c r="A238" s="6"/>
      <c r="B238" s="7"/>
      <c r="C238" s="7"/>
      <c r="D238" s="7"/>
      <c r="E238" s="8"/>
      <c r="F238" s="8"/>
      <c r="G238" s="7"/>
      <c r="H238" s="7"/>
      <c r="I238" s="7"/>
      <c r="J238" s="9"/>
      <c r="K238" s="8"/>
      <c r="L238" s="8"/>
      <c r="M238" s="7"/>
      <c r="N238" s="7"/>
      <c r="O238" s="7"/>
      <c r="P238" s="10"/>
      <c r="Q238" s="11"/>
      <c r="R238" s="11"/>
      <c r="S238" s="12"/>
      <c r="T238" s="12"/>
      <c r="U238" s="12"/>
      <c r="V238" s="12"/>
      <c r="W238" s="18"/>
      <c r="X238" s="7"/>
      <c r="Y238" s="7"/>
      <c r="Z238" s="7"/>
      <c r="AA238" s="14"/>
      <c r="AB238" s="14"/>
      <c r="AC238" s="14"/>
      <c r="AD238" s="14"/>
      <c r="AE238" s="14"/>
      <c r="AF238" s="15"/>
      <c r="AG238" s="14"/>
      <c r="AH238" s="14"/>
      <c r="AI238" s="14"/>
      <c r="AJ238" s="14"/>
      <c r="AK238" s="16"/>
      <c r="AL238" s="17"/>
    </row>
    <row r="239" ht="15.75" customHeight="1">
      <c r="A239" s="6"/>
      <c r="B239" s="7"/>
      <c r="C239" s="7"/>
      <c r="D239" s="7"/>
      <c r="E239" s="8"/>
      <c r="F239" s="8"/>
      <c r="G239" s="7"/>
      <c r="H239" s="7"/>
      <c r="I239" s="7"/>
      <c r="J239" s="9"/>
      <c r="K239" s="8"/>
      <c r="L239" s="8"/>
      <c r="M239" s="7"/>
      <c r="N239" s="7"/>
      <c r="O239" s="7"/>
      <c r="P239" s="10"/>
      <c r="Q239" s="11"/>
      <c r="R239" s="11"/>
      <c r="S239" s="12"/>
      <c r="T239" s="12"/>
      <c r="U239" s="12"/>
      <c r="V239" s="12"/>
      <c r="W239" s="18"/>
      <c r="X239" s="7"/>
      <c r="Y239" s="7"/>
      <c r="Z239" s="7"/>
      <c r="AA239" s="14"/>
      <c r="AB239" s="14"/>
      <c r="AC239" s="14"/>
      <c r="AD239" s="14"/>
      <c r="AE239" s="14"/>
      <c r="AF239" s="15"/>
      <c r="AG239" s="14"/>
      <c r="AH239" s="14"/>
      <c r="AI239" s="14"/>
      <c r="AJ239" s="14"/>
      <c r="AK239" s="16"/>
      <c r="AL239" s="17"/>
    </row>
    <row r="240" ht="15.75" customHeight="1">
      <c r="A240" s="6"/>
      <c r="B240" s="7"/>
      <c r="C240" s="7"/>
      <c r="D240" s="7"/>
      <c r="E240" s="8"/>
      <c r="F240" s="8"/>
      <c r="G240" s="7"/>
      <c r="H240" s="7"/>
      <c r="I240" s="7"/>
      <c r="J240" s="9"/>
      <c r="K240" s="8"/>
      <c r="L240" s="8"/>
      <c r="M240" s="7"/>
      <c r="N240" s="7"/>
      <c r="O240" s="7"/>
      <c r="P240" s="10"/>
      <c r="Q240" s="11"/>
      <c r="R240" s="11"/>
      <c r="S240" s="12"/>
      <c r="T240" s="12"/>
      <c r="U240" s="12"/>
      <c r="V240" s="12"/>
      <c r="W240" s="18"/>
      <c r="X240" s="7"/>
      <c r="Y240" s="7"/>
      <c r="Z240" s="7"/>
      <c r="AA240" s="14"/>
      <c r="AB240" s="14"/>
      <c r="AC240" s="14"/>
      <c r="AD240" s="14"/>
      <c r="AE240" s="14"/>
      <c r="AF240" s="15"/>
      <c r="AG240" s="14"/>
      <c r="AH240" s="14"/>
      <c r="AI240" s="14"/>
      <c r="AJ240" s="14"/>
      <c r="AK240" s="16"/>
      <c r="AL240" s="17"/>
    </row>
    <row r="241" ht="15.75" customHeight="1">
      <c r="A241" s="6"/>
      <c r="B241" s="7"/>
      <c r="C241" s="7"/>
      <c r="D241" s="7"/>
      <c r="E241" s="8"/>
      <c r="F241" s="8"/>
      <c r="G241" s="7"/>
      <c r="H241" s="7"/>
      <c r="I241" s="7"/>
      <c r="J241" s="9"/>
      <c r="K241" s="8"/>
      <c r="L241" s="8"/>
      <c r="M241" s="7"/>
      <c r="N241" s="7"/>
      <c r="O241" s="7"/>
      <c r="P241" s="10"/>
      <c r="Q241" s="11"/>
      <c r="R241" s="11"/>
      <c r="S241" s="12"/>
      <c r="T241" s="12"/>
      <c r="U241" s="12"/>
      <c r="V241" s="12"/>
      <c r="W241" s="18"/>
      <c r="X241" s="7"/>
      <c r="Y241" s="7"/>
      <c r="Z241" s="7"/>
      <c r="AA241" s="14"/>
      <c r="AB241" s="14"/>
      <c r="AC241" s="14"/>
      <c r="AD241" s="14"/>
      <c r="AE241" s="14"/>
      <c r="AF241" s="15"/>
      <c r="AG241" s="14"/>
      <c r="AH241" s="14"/>
      <c r="AI241" s="14"/>
      <c r="AJ241" s="14"/>
      <c r="AK241" s="16"/>
      <c r="AL241" s="17"/>
    </row>
    <row r="242" ht="15.75" customHeight="1">
      <c r="A242" s="6"/>
      <c r="B242" s="7"/>
      <c r="C242" s="7"/>
      <c r="D242" s="7"/>
      <c r="E242" s="8"/>
      <c r="F242" s="8"/>
      <c r="G242" s="7"/>
      <c r="H242" s="7"/>
      <c r="I242" s="7"/>
      <c r="J242" s="9"/>
      <c r="K242" s="8"/>
      <c r="L242" s="8"/>
      <c r="M242" s="7"/>
      <c r="N242" s="7"/>
      <c r="O242" s="7"/>
      <c r="P242" s="10"/>
      <c r="Q242" s="11"/>
      <c r="R242" s="11"/>
      <c r="S242" s="12"/>
      <c r="T242" s="12"/>
      <c r="U242" s="12"/>
      <c r="V242" s="12"/>
      <c r="W242" s="18"/>
      <c r="X242" s="7"/>
      <c r="Y242" s="7"/>
      <c r="Z242" s="7"/>
      <c r="AA242" s="14"/>
      <c r="AB242" s="14"/>
      <c r="AC242" s="14"/>
      <c r="AD242" s="14"/>
      <c r="AE242" s="14"/>
      <c r="AF242" s="15"/>
      <c r="AG242" s="14"/>
      <c r="AH242" s="14"/>
      <c r="AI242" s="14"/>
      <c r="AJ242" s="14"/>
      <c r="AK242" s="16"/>
      <c r="AL242" s="17"/>
    </row>
    <row r="243" ht="15.75" customHeight="1">
      <c r="A243" s="6"/>
      <c r="B243" s="7"/>
      <c r="C243" s="7"/>
      <c r="D243" s="7"/>
      <c r="E243" s="8"/>
      <c r="F243" s="8"/>
      <c r="G243" s="7"/>
      <c r="H243" s="7"/>
      <c r="I243" s="7"/>
      <c r="J243" s="9"/>
      <c r="K243" s="8"/>
      <c r="L243" s="8"/>
      <c r="M243" s="7"/>
      <c r="N243" s="7"/>
      <c r="O243" s="7"/>
      <c r="P243" s="10"/>
      <c r="Q243" s="11"/>
      <c r="R243" s="11"/>
      <c r="S243" s="12"/>
      <c r="T243" s="12"/>
      <c r="U243" s="12"/>
      <c r="V243" s="12"/>
      <c r="W243" s="18"/>
      <c r="X243" s="7"/>
      <c r="Y243" s="7"/>
      <c r="Z243" s="7"/>
      <c r="AA243" s="14"/>
      <c r="AB243" s="14"/>
      <c r="AC243" s="14"/>
      <c r="AD243" s="14"/>
      <c r="AE243" s="14"/>
      <c r="AF243" s="15"/>
      <c r="AG243" s="14"/>
      <c r="AH243" s="14"/>
      <c r="AI243" s="14"/>
      <c r="AJ243" s="14"/>
      <c r="AK243" s="16"/>
      <c r="AL243" s="17"/>
    </row>
    <row r="244" ht="15.75" customHeight="1">
      <c r="A244" s="6"/>
      <c r="B244" s="7"/>
      <c r="C244" s="7"/>
      <c r="D244" s="7"/>
      <c r="E244" s="8"/>
      <c r="F244" s="8"/>
      <c r="G244" s="7"/>
      <c r="H244" s="7"/>
      <c r="I244" s="7"/>
      <c r="J244" s="9"/>
      <c r="K244" s="8"/>
      <c r="L244" s="8"/>
      <c r="M244" s="7"/>
      <c r="N244" s="7"/>
      <c r="O244" s="7"/>
      <c r="P244" s="10"/>
      <c r="Q244" s="11"/>
      <c r="R244" s="11"/>
      <c r="S244" s="12"/>
      <c r="T244" s="12"/>
      <c r="U244" s="12"/>
      <c r="V244" s="12"/>
      <c r="W244" s="18"/>
      <c r="X244" s="7"/>
      <c r="Y244" s="7"/>
      <c r="Z244" s="7"/>
      <c r="AA244" s="14"/>
      <c r="AB244" s="14"/>
      <c r="AC244" s="14"/>
      <c r="AD244" s="14"/>
      <c r="AE244" s="14"/>
      <c r="AF244" s="15"/>
      <c r="AG244" s="14"/>
      <c r="AH244" s="14"/>
      <c r="AI244" s="14"/>
      <c r="AJ244" s="14"/>
      <c r="AK244" s="16"/>
      <c r="AL244" s="17"/>
    </row>
    <row r="245" ht="15.75" customHeight="1">
      <c r="A245" s="6"/>
      <c r="B245" s="7"/>
      <c r="C245" s="7"/>
      <c r="D245" s="7"/>
      <c r="E245" s="8"/>
      <c r="F245" s="8"/>
      <c r="G245" s="7"/>
      <c r="H245" s="7"/>
      <c r="I245" s="7"/>
      <c r="J245" s="9"/>
      <c r="K245" s="8"/>
      <c r="L245" s="8"/>
      <c r="M245" s="7"/>
      <c r="N245" s="7"/>
      <c r="O245" s="7"/>
      <c r="P245" s="10"/>
      <c r="Q245" s="11"/>
      <c r="R245" s="11"/>
      <c r="S245" s="12"/>
      <c r="T245" s="12"/>
      <c r="U245" s="12"/>
      <c r="V245" s="12"/>
      <c r="W245" s="18"/>
      <c r="X245" s="7"/>
      <c r="Y245" s="7"/>
      <c r="Z245" s="7"/>
      <c r="AA245" s="14"/>
      <c r="AB245" s="14"/>
      <c r="AC245" s="14"/>
      <c r="AD245" s="14"/>
      <c r="AE245" s="14"/>
      <c r="AF245" s="15"/>
      <c r="AG245" s="14"/>
      <c r="AH245" s="14"/>
      <c r="AI245" s="14"/>
      <c r="AJ245" s="14"/>
      <c r="AK245" s="16"/>
      <c r="AL245" s="17"/>
    </row>
    <row r="246" ht="15.75" customHeight="1">
      <c r="A246" s="6"/>
      <c r="B246" s="7"/>
      <c r="C246" s="7"/>
      <c r="D246" s="7"/>
      <c r="E246" s="8"/>
      <c r="F246" s="8"/>
      <c r="G246" s="7"/>
      <c r="H246" s="7"/>
      <c r="I246" s="7"/>
      <c r="J246" s="9"/>
      <c r="K246" s="8"/>
      <c r="L246" s="8"/>
      <c r="M246" s="7"/>
      <c r="N246" s="7"/>
      <c r="O246" s="7"/>
      <c r="P246" s="10"/>
      <c r="Q246" s="11"/>
      <c r="R246" s="11"/>
      <c r="S246" s="12"/>
      <c r="T246" s="12"/>
      <c r="U246" s="12"/>
      <c r="V246" s="12"/>
      <c r="W246" s="18"/>
      <c r="X246" s="7"/>
      <c r="Y246" s="7"/>
      <c r="Z246" s="7"/>
      <c r="AA246" s="14"/>
      <c r="AB246" s="14"/>
      <c r="AC246" s="14"/>
      <c r="AD246" s="14"/>
      <c r="AE246" s="14"/>
      <c r="AF246" s="15"/>
      <c r="AG246" s="14"/>
      <c r="AH246" s="14"/>
      <c r="AI246" s="14"/>
      <c r="AJ246" s="14"/>
      <c r="AK246" s="16"/>
      <c r="AL246" s="17"/>
    </row>
    <row r="247" ht="15.75" customHeight="1">
      <c r="A247" s="6"/>
      <c r="B247" s="7"/>
      <c r="C247" s="7"/>
      <c r="D247" s="7"/>
      <c r="E247" s="8"/>
      <c r="F247" s="8"/>
      <c r="G247" s="7"/>
      <c r="H247" s="7"/>
      <c r="I247" s="7"/>
      <c r="J247" s="9"/>
      <c r="K247" s="8"/>
      <c r="L247" s="8"/>
      <c r="M247" s="7"/>
      <c r="N247" s="7"/>
      <c r="O247" s="7"/>
      <c r="P247" s="10"/>
      <c r="Q247" s="11"/>
      <c r="R247" s="11"/>
      <c r="S247" s="12"/>
      <c r="T247" s="12"/>
      <c r="U247" s="12"/>
      <c r="V247" s="12"/>
      <c r="W247" s="18"/>
      <c r="X247" s="7"/>
      <c r="Y247" s="7"/>
      <c r="Z247" s="7"/>
      <c r="AA247" s="14"/>
      <c r="AB247" s="14"/>
      <c r="AC247" s="14"/>
      <c r="AD247" s="14"/>
      <c r="AE247" s="14"/>
      <c r="AF247" s="15"/>
      <c r="AG247" s="14"/>
      <c r="AH247" s="14"/>
      <c r="AI247" s="14"/>
      <c r="AJ247" s="14"/>
      <c r="AK247" s="16"/>
      <c r="AL247" s="17"/>
    </row>
    <row r="248" ht="15.75" customHeight="1">
      <c r="A248" s="6"/>
      <c r="B248" s="7"/>
      <c r="C248" s="7"/>
      <c r="D248" s="7"/>
      <c r="E248" s="8"/>
      <c r="F248" s="8"/>
      <c r="G248" s="7"/>
      <c r="H248" s="7"/>
      <c r="I248" s="7"/>
      <c r="J248" s="9"/>
      <c r="K248" s="8"/>
      <c r="L248" s="8"/>
      <c r="M248" s="7"/>
      <c r="N248" s="7"/>
      <c r="O248" s="7"/>
      <c r="P248" s="10"/>
      <c r="Q248" s="11"/>
      <c r="R248" s="11"/>
      <c r="S248" s="12"/>
      <c r="T248" s="12"/>
      <c r="U248" s="12"/>
      <c r="V248" s="12"/>
      <c r="W248" s="18"/>
      <c r="X248" s="7"/>
      <c r="Y248" s="7"/>
      <c r="Z248" s="7"/>
      <c r="AA248" s="14"/>
      <c r="AB248" s="14"/>
      <c r="AC248" s="14"/>
      <c r="AD248" s="14"/>
      <c r="AE248" s="14"/>
      <c r="AF248" s="15"/>
      <c r="AG248" s="14"/>
      <c r="AH248" s="14"/>
      <c r="AI248" s="14"/>
      <c r="AJ248" s="14"/>
      <c r="AK248" s="16"/>
      <c r="AL248" s="17"/>
    </row>
    <row r="249" ht="15.75" customHeight="1">
      <c r="A249" s="6"/>
      <c r="B249" s="7"/>
      <c r="C249" s="7"/>
      <c r="D249" s="7"/>
      <c r="E249" s="8"/>
      <c r="F249" s="8"/>
      <c r="G249" s="7"/>
      <c r="H249" s="7"/>
      <c r="I249" s="7"/>
      <c r="J249" s="9"/>
      <c r="K249" s="8"/>
      <c r="L249" s="8"/>
      <c r="M249" s="7"/>
      <c r="N249" s="7"/>
      <c r="O249" s="7"/>
      <c r="P249" s="10"/>
      <c r="Q249" s="11"/>
      <c r="R249" s="11"/>
      <c r="S249" s="12"/>
      <c r="T249" s="12"/>
      <c r="U249" s="12"/>
      <c r="V249" s="12"/>
      <c r="W249" s="18"/>
      <c r="X249" s="7"/>
      <c r="Y249" s="7"/>
      <c r="Z249" s="7"/>
      <c r="AA249" s="14"/>
      <c r="AB249" s="14"/>
      <c r="AC249" s="14"/>
      <c r="AD249" s="14"/>
      <c r="AE249" s="14"/>
      <c r="AF249" s="15"/>
      <c r="AG249" s="14"/>
      <c r="AH249" s="14"/>
      <c r="AI249" s="14"/>
      <c r="AJ249" s="14"/>
      <c r="AK249" s="16"/>
      <c r="AL249" s="17"/>
    </row>
    <row r="250" ht="15.75" customHeight="1">
      <c r="A250" s="6"/>
      <c r="B250" s="7"/>
      <c r="C250" s="7"/>
      <c r="D250" s="7"/>
      <c r="E250" s="8"/>
      <c r="F250" s="8"/>
      <c r="G250" s="7"/>
      <c r="H250" s="7"/>
      <c r="I250" s="7"/>
      <c r="J250" s="9"/>
      <c r="K250" s="8"/>
      <c r="L250" s="8"/>
      <c r="M250" s="7"/>
      <c r="N250" s="7"/>
      <c r="O250" s="7"/>
      <c r="P250" s="10"/>
      <c r="Q250" s="11"/>
      <c r="R250" s="11"/>
      <c r="S250" s="12"/>
      <c r="T250" s="12"/>
      <c r="U250" s="12"/>
      <c r="V250" s="12"/>
      <c r="W250" s="18"/>
      <c r="X250" s="7"/>
      <c r="Y250" s="7"/>
      <c r="Z250" s="7"/>
      <c r="AA250" s="14"/>
      <c r="AB250" s="14"/>
      <c r="AC250" s="14"/>
      <c r="AD250" s="14"/>
      <c r="AE250" s="14"/>
      <c r="AF250" s="15"/>
      <c r="AG250" s="14"/>
      <c r="AH250" s="14"/>
      <c r="AI250" s="14"/>
      <c r="AJ250" s="14"/>
      <c r="AK250" s="16"/>
      <c r="AL250" s="17"/>
    </row>
    <row r="251" ht="15.75" customHeight="1">
      <c r="A251" s="6"/>
      <c r="B251" s="7"/>
      <c r="C251" s="7"/>
      <c r="D251" s="7"/>
      <c r="E251" s="8"/>
      <c r="F251" s="8"/>
      <c r="G251" s="7"/>
      <c r="H251" s="7"/>
      <c r="I251" s="7"/>
      <c r="J251" s="9"/>
      <c r="K251" s="8"/>
      <c r="L251" s="8"/>
      <c r="M251" s="7"/>
      <c r="N251" s="7"/>
      <c r="O251" s="7"/>
      <c r="P251" s="10"/>
      <c r="Q251" s="11"/>
      <c r="R251" s="11"/>
      <c r="S251" s="12"/>
      <c r="T251" s="12"/>
      <c r="U251" s="12"/>
      <c r="V251" s="12"/>
      <c r="W251" s="18"/>
      <c r="X251" s="7"/>
      <c r="Y251" s="7"/>
      <c r="Z251" s="7"/>
      <c r="AA251" s="14"/>
      <c r="AB251" s="14"/>
      <c r="AC251" s="14"/>
      <c r="AD251" s="14"/>
      <c r="AE251" s="14"/>
      <c r="AF251" s="15"/>
      <c r="AG251" s="14"/>
      <c r="AH251" s="14"/>
      <c r="AI251" s="14"/>
      <c r="AJ251" s="14"/>
      <c r="AK251" s="16"/>
      <c r="AL251" s="17"/>
    </row>
    <row r="252" ht="15.75" customHeight="1">
      <c r="A252" s="6"/>
      <c r="B252" s="7"/>
      <c r="C252" s="7"/>
      <c r="D252" s="7"/>
      <c r="E252" s="8"/>
      <c r="F252" s="8"/>
      <c r="G252" s="7"/>
      <c r="H252" s="7"/>
      <c r="I252" s="7"/>
      <c r="J252" s="9"/>
      <c r="K252" s="8"/>
      <c r="L252" s="8"/>
      <c r="M252" s="7"/>
      <c r="N252" s="7"/>
      <c r="O252" s="7"/>
      <c r="P252" s="10"/>
      <c r="Q252" s="11"/>
      <c r="R252" s="11"/>
      <c r="S252" s="12"/>
      <c r="T252" s="12"/>
      <c r="U252" s="12"/>
      <c r="V252" s="12"/>
      <c r="W252" s="18"/>
      <c r="X252" s="7"/>
      <c r="Y252" s="7"/>
      <c r="Z252" s="7"/>
      <c r="AA252" s="14"/>
      <c r="AB252" s="14"/>
      <c r="AC252" s="14"/>
      <c r="AD252" s="14"/>
      <c r="AE252" s="14"/>
      <c r="AF252" s="15"/>
      <c r="AG252" s="14"/>
      <c r="AH252" s="14"/>
      <c r="AI252" s="14"/>
      <c r="AJ252" s="14"/>
      <c r="AK252" s="16"/>
      <c r="AL252" s="17"/>
    </row>
    <row r="253" ht="15.75" customHeight="1">
      <c r="A253" s="6"/>
      <c r="B253" s="7"/>
      <c r="C253" s="7"/>
      <c r="D253" s="7"/>
      <c r="E253" s="8"/>
      <c r="F253" s="8"/>
      <c r="G253" s="7"/>
      <c r="H253" s="7"/>
      <c r="I253" s="7"/>
      <c r="J253" s="9"/>
      <c r="K253" s="8"/>
      <c r="L253" s="8"/>
      <c r="M253" s="7"/>
      <c r="N253" s="7"/>
      <c r="O253" s="7"/>
      <c r="P253" s="10"/>
      <c r="Q253" s="11"/>
      <c r="R253" s="11"/>
      <c r="S253" s="12"/>
      <c r="T253" s="12"/>
      <c r="U253" s="12"/>
      <c r="V253" s="12"/>
      <c r="W253" s="18"/>
      <c r="X253" s="7"/>
      <c r="Y253" s="7"/>
      <c r="Z253" s="7"/>
      <c r="AA253" s="14"/>
      <c r="AB253" s="14"/>
      <c r="AC253" s="14"/>
      <c r="AD253" s="14"/>
      <c r="AE253" s="14"/>
      <c r="AF253" s="15"/>
      <c r="AG253" s="14"/>
      <c r="AH253" s="14"/>
      <c r="AI253" s="14"/>
      <c r="AJ253" s="14"/>
      <c r="AK253" s="16"/>
      <c r="AL253" s="17"/>
    </row>
    <row r="254" ht="15.75" customHeight="1">
      <c r="A254" s="6"/>
      <c r="B254" s="7"/>
      <c r="C254" s="7"/>
      <c r="D254" s="7"/>
      <c r="E254" s="8"/>
      <c r="F254" s="8"/>
      <c r="G254" s="7"/>
      <c r="H254" s="7"/>
      <c r="I254" s="7"/>
      <c r="J254" s="9"/>
      <c r="K254" s="8"/>
      <c r="L254" s="8"/>
      <c r="M254" s="7"/>
      <c r="N254" s="7"/>
      <c r="O254" s="7"/>
      <c r="P254" s="10"/>
      <c r="Q254" s="11"/>
      <c r="R254" s="11"/>
      <c r="S254" s="12"/>
      <c r="T254" s="12"/>
      <c r="U254" s="12"/>
      <c r="V254" s="12"/>
      <c r="W254" s="18"/>
      <c r="X254" s="7"/>
      <c r="Y254" s="7"/>
      <c r="Z254" s="7"/>
      <c r="AA254" s="14"/>
      <c r="AB254" s="14"/>
      <c r="AC254" s="14"/>
      <c r="AD254" s="14"/>
      <c r="AE254" s="14"/>
      <c r="AF254" s="15"/>
      <c r="AG254" s="14"/>
      <c r="AH254" s="14"/>
      <c r="AI254" s="14"/>
      <c r="AJ254" s="14"/>
      <c r="AK254" s="16"/>
      <c r="AL254" s="17"/>
    </row>
    <row r="255" ht="15.75" customHeight="1">
      <c r="A255" s="6"/>
      <c r="B255" s="7"/>
      <c r="C255" s="7"/>
      <c r="D255" s="7"/>
      <c r="E255" s="8"/>
      <c r="F255" s="8"/>
      <c r="G255" s="7"/>
      <c r="H255" s="7"/>
      <c r="I255" s="7"/>
      <c r="J255" s="9"/>
      <c r="K255" s="8"/>
      <c r="L255" s="8"/>
      <c r="M255" s="7"/>
      <c r="N255" s="7"/>
      <c r="O255" s="7"/>
      <c r="P255" s="10"/>
      <c r="Q255" s="11"/>
      <c r="R255" s="11"/>
      <c r="S255" s="12"/>
      <c r="T255" s="12"/>
      <c r="U255" s="12"/>
      <c r="V255" s="12"/>
      <c r="W255" s="18"/>
      <c r="X255" s="7"/>
      <c r="Y255" s="7"/>
      <c r="Z255" s="7"/>
      <c r="AA255" s="14"/>
      <c r="AB255" s="14"/>
      <c r="AC255" s="14"/>
      <c r="AD255" s="14"/>
      <c r="AE255" s="14"/>
      <c r="AF255" s="15"/>
      <c r="AG255" s="14"/>
      <c r="AH255" s="14"/>
      <c r="AI255" s="14"/>
      <c r="AJ255" s="14"/>
      <c r="AK255" s="16"/>
      <c r="AL255" s="17"/>
    </row>
    <row r="256" ht="15.75" customHeight="1">
      <c r="A256" s="6"/>
      <c r="B256" s="7"/>
      <c r="C256" s="7"/>
      <c r="D256" s="7"/>
      <c r="E256" s="8"/>
      <c r="F256" s="8"/>
      <c r="G256" s="7"/>
      <c r="H256" s="7"/>
      <c r="I256" s="7"/>
      <c r="J256" s="9"/>
      <c r="K256" s="8"/>
      <c r="L256" s="8"/>
      <c r="M256" s="7"/>
      <c r="N256" s="7"/>
      <c r="O256" s="7"/>
      <c r="P256" s="10"/>
      <c r="Q256" s="11"/>
      <c r="R256" s="11"/>
      <c r="S256" s="12"/>
      <c r="T256" s="12"/>
      <c r="U256" s="12"/>
      <c r="V256" s="12"/>
      <c r="W256" s="18"/>
      <c r="X256" s="7"/>
      <c r="Y256" s="7"/>
      <c r="Z256" s="7"/>
      <c r="AA256" s="14"/>
      <c r="AB256" s="14"/>
      <c r="AC256" s="14"/>
      <c r="AD256" s="14"/>
      <c r="AE256" s="14"/>
      <c r="AF256" s="15"/>
      <c r="AG256" s="14"/>
      <c r="AH256" s="14"/>
      <c r="AI256" s="14"/>
      <c r="AJ256" s="14"/>
      <c r="AK256" s="16"/>
      <c r="AL256" s="17"/>
    </row>
    <row r="257" ht="15.75" customHeight="1">
      <c r="A257" s="6"/>
      <c r="B257" s="7"/>
      <c r="C257" s="7"/>
      <c r="D257" s="7"/>
      <c r="E257" s="8"/>
      <c r="F257" s="8"/>
      <c r="G257" s="7"/>
      <c r="H257" s="7"/>
      <c r="I257" s="7"/>
      <c r="J257" s="9"/>
      <c r="K257" s="8"/>
      <c r="L257" s="8"/>
      <c r="M257" s="7"/>
      <c r="N257" s="7"/>
      <c r="O257" s="7"/>
      <c r="P257" s="10"/>
      <c r="Q257" s="11"/>
      <c r="R257" s="11"/>
      <c r="S257" s="12"/>
      <c r="T257" s="12"/>
      <c r="U257" s="12"/>
      <c r="V257" s="12"/>
      <c r="W257" s="18"/>
      <c r="X257" s="7"/>
      <c r="Y257" s="7"/>
      <c r="Z257" s="7"/>
      <c r="AA257" s="14"/>
      <c r="AB257" s="14"/>
      <c r="AC257" s="14"/>
      <c r="AD257" s="14"/>
      <c r="AE257" s="14"/>
      <c r="AF257" s="15"/>
      <c r="AG257" s="14"/>
      <c r="AH257" s="14"/>
      <c r="AI257" s="14"/>
      <c r="AJ257" s="14"/>
      <c r="AK257" s="16"/>
      <c r="AL257" s="17"/>
    </row>
    <row r="258" ht="15.75" customHeight="1">
      <c r="A258" s="6"/>
      <c r="B258" s="7"/>
      <c r="C258" s="7"/>
      <c r="D258" s="7"/>
      <c r="E258" s="8"/>
      <c r="F258" s="8"/>
      <c r="G258" s="7"/>
      <c r="H258" s="7"/>
      <c r="I258" s="7"/>
      <c r="J258" s="9"/>
      <c r="K258" s="8"/>
      <c r="L258" s="8"/>
      <c r="M258" s="7"/>
      <c r="N258" s="7"/>
      <c r="O258" s="7"/>
      <c r="P258" s="10"/>
      <c r="Q258" s="11"/>
      <c r="R258" s="11"/>
      <c r="S258" s="12"/>
      <c r="T258" s="12"/>
      <c r="U258" s="12"/>
      <c r="V258" s="12"/>
      <c r="W258" s="18"/>
      <c r="X258" s="7"/>
      <c r="Y258" s="7"/>
      <c r="Z258" s="7"/>
      <c r="AA258" s="14"/>
      <c r="AB258" s="14"/>
      <c r="AC258" s="14"/>
      <c r="AD258" s="14"/>
      <c r="AE258" s="14"/>
      <c r="AF258" s="15"/>
      <c r="AG258" s="14"/>
      <c r="AH258" s="14"/>
      <c r="AI258" s="14"/>
      <c r="AJ258" s="14"/>
      <c r="AK258" s="16"/>
      <c r="AL258" s="17"/>
    </row>
    <row r="259" ht="15.75" customHeight="1">
      <c r="A259" s="6"/>
      <c r="B259" s="7"/>
      <c r="C259" s="7"/>
      <c r="D259" s="7"/>
      <c r="E259" s="8"/>
      <c r="F259" s="8"/>
      <c r="G259" s="7"/>
      <c r="H259" s="7"/>
      <c r="I259" s="7"/>
      <c r="J259" s="9"/>
      <c r="K259" s="8"/>
      <c r="L259" s="8"/>
      <c r="M259" s="7"/>
      <c r="N259" s="7"/>
      <c r="O259" s="7"/>
      <c r="P259" s="10"/>
      <c r="Q259" s="11"/>
      <c r="R259" s="11"/>
      <c r="S259" s="12"/>
      <c r="T259" s="12"/>
      <c r="U259" s="12"/>
      <c r="V259" s="12"/>
      <c r="W259" s="18"/>
      <c r="X259" s="7"/>
      <c r="Y259" s="7"/>
      <c r="Z259" s="7"/>
      <c r="AA259" s="14"/>
      <c r="AB259" s="14"/>
      <c r="AC259" s="14"/>
      <c r="AD259" s="14"/>
      <c r="AE259" s="14"/>
      <c r="AF259" s="15"/>
      <c r="AG259" s="14"/>
      <c r="AH259" s="14"/>
      <c r="AI259" s="14"/>
      <c r="AJ259" s="14"/>
      <c r="AK259" s="16"/>
      <c r="AL259" s="17"/>
    </row>
    <row r="260" ht="15.75" customHeight="1">
      <c r="A260" s="6"/>
      <c r="B260" s="7"/>
      <c r="C260" s="7"/>
      <c r="D260" s="7"/>
      <c r="E260" s="8"/>
      <c r="F260" s="8"/>
      <c r="G260" s="7"/>
      <c r="H260" s="7"/>
      <c r="I260" s="7"/>
      <c r="J260" s="9"/>
      <c r="K260" s="8"/>
      <c r="L260" s="8"/>
      <c r="M260" s="7"/>
      <c r="N260" s="7"/>
      <c r="O260" s="7"/>
      <c r="P260" s="10"/>
      <c r="Q260" s="11"/>
      <c r="R260" s="11"/>
      <c r="S260" s="12"/>
      <c r="T260" s="12"/>
      <c r="U260" s="12"/>
      <c r="V260" s="12"/>
      <c r="W260" s="18"/>
      <c r="X260" s="7"/>
      <c r="Y260" s="7"/>
      <c r="Z260" s="7"/>
      <c r="AA260" s="14"/>
      <c r="AB260" s="14"/>
      <c r="AC260" s="14"/>
      <c r="AD260" s="14"/>
      <c r="AE260" s="14"/>
      <c r="AF260" s="15"/>
      <c r="AG260" s="14"/>
      <c r="AH260" s="14"/>
      <c r="AI260" s="14"/>
      <c r="AJ260" s="14"/>
      <c r="AK260" s="16"/>
      <c r="AL260" s="17"/>
    </row>
    <row r="261" ht="15.75" customHeight="1">
      <c r="A261" s="6"/>
      <c r="B261" s="7"/>
      <c r="C261" s="7"/>
      <c r="D261" s="7"/>
      <c r="E261" s="8"/>
      <c r="F261" s="8"/>
      <c r="G261" s="7"/>
      <c r="H261" s="7"/>
      <c r="I261" s="7"/>
      <c r="J261" s="9"/>
      <c r="K261" s="8"/>
      <c r="L261" s="8"/>
      <c r="M261" s="7"/>
      <c r="N261" s="7"/>
      <c r="O261" s="7"/>
      <c r="P261" s="10"/>
      <c r="Q261" s="11"/>
      <c r="R261" s="11"/>
      <c r="S261" s="12"/>
      <c r="T261" s="12"/>
      <c r="U261" s="12"/>
      <c r="V261" s="12"/>
      <c r="W261" s="18"/>
      <c r="X261" s="7"/>
      <c r="Y261" s="7"/>
      <c r="Z261" s="7"/>
      <c r="AA261" s="14"/>
      <c r="AB261" s="14"/>
      <c r="AC261" s="14"/>
      <c r="AD261" s="14"/>
      <c r="AE261" s="14"/>
      <c r="AF261" s="15"/>
      <c r="AG261" s="14"/>
      <c r="AH261" s="14"/>
      <c r="AI261" s="14"/>
      <c r="AJ261" s="14"/>
      <c r="AK261" s="16"/>
      <c r="AL261" s="17"/>
    </row>
    <row r="262" ht="15.75" customHeight="1">
      <c r="A262" s="6"/>
      <c r="B262" s="7"/>
      <c r="C262" s="7"/>
      <c r="D262" s="7"/>
      <c r="E262" s="8"/>
      <c r="F262" s="8"/>
      <c r="G262" s="7"/>
      <c r="H262" s="7"/>
      <c r="I262" s="7"/>
      <c r="J262" s="9"/>
      <c r="K262" s="8"/>
      <c r="L262" s="8"/>
      <c r="M262" s="7"/>
      <c r="N262" s="7"/>
      <c r="O262" s="7"/>
      <c r="P262" s="10"/>
      <c r="Q262" s="11"/>
      <c r="R262" s="11"/>
      <c r="S262" s="12"/>
      <c r="T262" s="12"/>
      <c r="U262" s="12"/>
      <c r="V262" s="12"/>
      <c r="W262" s="18"/>
      <c r="X262" s="7"/>
      <c r="Y262" s="7"/>
      <c r="Z262" s="7"/>
      <c r="AA262" s="14"/>
      <c r="AB262" s="14"/>
      <c r="AC262" s="14"/>
      <c r="AD262" s="14"/>
      <c r="AE262" s="14"/>
      <c r="AF262" s="15"/>
      <c r="AG262" s="14"/>
      <c r="AH262" s="14"/>
      <c r="AI262" s="14"/>
      <c r="AJ262" s="14"/>
      <c r="AK262" s="16"/>
      <c r="AL262" s="17"/>
    </row>
    <row r="263" ht="15.75" customHeight="1">
      <c r="A263" s="6"/>
      <c r="B263" s="7"/>
      <c r="C263" s="7"/>
      <c r="D263" s="7"/>
      <c r="E263" s="8"/>
      <c r="F263" s="8"/>
      <c r="G263" s="7"/>
      <c r="H263" s="7"/>
      <c r="I263" s="7"/>
      <c r="J263" s="9"/>
      <c r="K263" s="8"/>
      <c r="L263" s="8"/>
      <c r="M263" s="7"/>
      <c r="N263" s="7"/>
      <c r="O263" s="7"/>
      <c r="P263" s="10"/>
      <c r="Q263" s="11"/>
      <c r="R263" s="11"/>
      <c r="S263" s="12"/>
      <c r="T263" s="12"/>
      <c r="U263" s="12"/>
      <c r="V263" s="12"/>
      <c r="W263" s="18"/>
      <c r="X263" s="7"/>
      <c r="Y263" s="7"/>
      <c r="Z263" s="7"/>
      <c r="AA263" s="14"/>
      <c r="AB263" s="14"/>
      <c r="AC263" s="14"/>
      <c r="AD263" s="14"/>
      <c r="AE263" s="14"/>
      <c r="AF263" s="15"/>
      <c r="AG263" s="14"/>
      <c r="AH263" s="14"/>
      <c r="AI263" s="14"/>
      <c r="AJ263" s="14"/>
      <c r="AK263" s="16"/>
      <c r="AL263" s="17"/>
    </row>
    <row r="264" ht="15.75" customHeight="1">
      <c r="A264" s="6"/>
      <c r="B264" s="7"/>
      <c r="C264" s="7"/>
      <c r="D264" s="7"/>
      <c r="E264" s="8"/>
      <c r="F264" s="8"/>
      <c r="G264" s="7"/>
      <c r="H264" s="7"/>
      <c r="I264" s="7"/>
      <c r="J264" s="9"/>
      <c r="K264" s="8"/>
      <c r="L264" s="8"/>
      <c r="M264" s="7"/>
      <c r="N264" s="7"/>
      <c r="O264" s="7"/>
      <c r="P264" s="10"/>
      <c r="Q264" s="11"/>
      <c r="R264" s="11"/>
      <c r="S264" s="12"/>
      <c r="T264" s="12"/>
      <c r="U264" s="12"/>
      <c r="V264" s="12"/>
      <c r="W264" s="18"/>
      <c r="X264" s="7"/>
      <c r="Y264" s="7"/>
      <c r="Z264" s="7"/>
      <c r="AA264" s="14"/>
      <c r="AB264" s="14"/>
      <c r="AC264" s="14"/>
      <c r="AD264" s="14"/>
      <c r="AE264" s="14"/>
      <c r="AF264" s="15"/>
      <c r="AG264" s="14"/>
      <c r="AH264" s="14"/>
      <c r="AI264" s="14"/>
      <c r="AJ264" s="14"/>
      <c r="AK264" s="16"/>
      <c r="AL264" s="17"/>
    </row>
    <row r="265" ht="15.75" customHeight="1">
      <c r="A265" s="6"/>
      <c r="B265" s="7"/>
      <c r="C265" s="7"/>
      <c r="D265" s="7"/>
      <c r="E265" s="8"/>
      <c r="F265" s="8"/>
      <c r="G265" s="7"/>
      <c r="H265" s="7"/>
      <c r="I265" s="7"/>
      <c r="J265" s="9"/>
      <c r="K265" s="8"/>
      <c r="L265" s="8"/>
      <c r="M265" s="7"/>
      <c r="N265" s="7"/>
      <c r="O265" s="7"/>
      <c r="P265" s="10"/>
      <c r="Q265" s="11"/>
      <c r="R265" s="11"/>
      <c r="S265" s="12"/>
      <c r="T265" s="12"/>
      <c r="U265" s="12"/>
      <c r="V265" s="12"/>
      <c r="W265" s="18"/>
      <c r="X265" s="7"/>
      <c r="Y265" s="7"/>
      <c r="Z265" s="7"/>
      <c r="AA265" s="14"/>
      <c r="AB265" s="14"/>
      <c r="AC265" s="14"/>
      <c r="AD265" s="14"/>
      <c r="AE265" s="14"/>
      <c r="AF265" s="15"/>
      <c r="AG265" s="14"/>
      <c r="AH265" s="14"/>
      <c r="AI265" s="14"/>
      <c r="AJ265" s="14"/>
      <c r="AK265" s="16"/>
      <c r="AL265" s="17"/>
    </row>
    <row r="266" ht="15.75" customHeight="1">
      <c r="A266" s="6"/>
      <c r="B266" s="7"/>
      <c r="C266" s="7"/>
      <c r="D266" s="7"/>
      <c r="E266" s="8"/>
      <c r="F266" s="8"/>
      <c r="G266" s="7"/>
      <c r="H266" s="7"/>
      <c r="I266" s="7"/>
      <c r="J266" s="9"/>
      <c r="K266" s="8"/>
      <c r="L266" s="8"/>
      <c r="M266" s="7"/>
      <c r="N266" s="7"/>
      <c r="O266" s="7"/>
      <c r="P266" s="10"/>
      <c r="Q266" s="11"/>
      <c r="R266" s="11"/>
      <c r="S266" s="12"/>
      <c r="T266" s="12"/>
      <c r="U266" s="12"/>
      <c r="V266" s="12"/>
      <c r="W266" s="18"/>
      <c r="X266" s="7"/>
      <c r="Y266" s="7"/>
      <c r="Z266" s="7"/>
      <c r="AA266" s="14"/>
      <c r="AB266" s="14"/>
      <c r="AC266" s="14"/>
      <c r="AD266" s="14"/>
      <c r="AE266" s="14"/>
      <c r="AF266" s="15"/>
      <c r="AG266" s="14"/>
      <c r="AH266" s="14"/>
      <c r="AI266" s="14"/>
      <c r="AJ266" s="14"/>
      <c r="AK266" s="16"/>
      <c r="AL266" s="17"/>
    </row>
    <row r="267" ht="15.75" customHeight="1">
      <c r="A267" s="6"/>
      <c r="B267" s="7"/>
      <c r="C267" s="7"/>
      <c r="D267" s="7"/>
      <c r="E267" s="8"/>
      <c r="F267" s="8"/>
      <c r="G267" s="7"/>
      <c r="H267" s="7"/>
      <c r="I267" s="7"/>
      <c r="J267" s="9"/>
      <c r="K267" s="8"/>
      <c r="L267" s="8"/>
      <c r="M267" s="7"/>
      <c r="N267" s="7"/>
      <c r="O267" s="7"/>
      <c r="P267" s="10"/>
      <c r="Q267" s="11"/>
      <c r="R267" s="11"/>
      <c r="S267" s="12"/>
      <c r="T267" s="12"/>
      <c r="U267" s="12"/>
      <c r="V267" s="12"/>
      <c r="W267" s="18"/>
      <c r="X267" s="7"/>
      <c r="Y267" s="7"/>
      <c r="Z267" s="7"/>
      <c r="AA267" s="14"/>
      <c r="AB267" s="14"/>
      <c r="AC267" s="14"/>
      <c r="AD267" s="14"/>
      <c r="AE267" s="14"/>
      <c r="AF267" s="15"/>
      <c r="AG267" s="14"/>
      <c r="AH267" s="14"/>
      <c r="AI267" s="14"/>
      <c r="AJ267" s="14"/>
      <c r="AK267" s="16"/>
      <c r="AL267" s="17"/>
    </row>
    <row r="268" ht="15.75" customHeight="1">
      <c r="A268" s="6"/>
      <c r="B268" s="7"/>
      <c r="C268" s="7"/>
      <c r="D268" s="7"/>
      <c r="E268" s="8"/>
      <c r="F268" s="8"/>
      <c r="G268" s="7"/>
      <c r="H268" s="7"/>
      <c r="I268" s="7"/>
      <c r="J268" s="9"/>
      <c r="K268" s="8"/>
      <c r="L268" s="8"/>
      <c r="M268" s="7"/>
      <c r="N268" s="7"/>
      <c r="O268" s="7"/>
      <c r="P268" s="10"/>
      <c r="Q268" s="11"/>
      <c r="R268" s="11"/>
      <c r="S268" s="12"/>
      <c r="T268" s="12"/>
      <c r="U268" s="12"/>
      <c r="V268" s="12"/>
      <c r="W268" s="18"/>
      <c r="X268" s="7"/>
      <c r="Y268" s="7"/>
      <c r="Z268" s="7"/>
      <c r="AA268" s="14"/>
      <c r="AB268" s="14"/>
      <c r="AC268" s="14"/>
      <c r="AD268" s="14"/>
      <c r="AE268" s="14"/>
      <c r="AF268" s="15"/>
      <c r="AG268" s="14"/>
      <c r="AH268" s="14"/>
      <c r="AI268" s="14"/>
      <c r="AJ268" s="14"/>
      <c r="AK268" s="16"/>
      <c r="AL268" s="17"/>
    </row>
    <row r="269" ht="15.75" customHeight="1">
      <c r="A269" s="6"/>
      <c r="B269" s="7"/>
      <c r="C269" s="7"/>
      <c r="D269" s="7"/>
      <c r="E269" s="8"/>
      <c r="F269" s="8"/>
      <c r="G269" s="7"/>
      <c r="H269" s="7"/>
      <c r="I269" s="7"/>
      <c r="J269" s="9"/>
      <c r="K269" s="8"/>
      <c r="L269" s="8"/>
      <c r="M269" s="7"/>
      <c r="N269" s="7"/>
      <c r="O269" s="7"/>
      <c r="P269" s="10"/>
      <c r="Q269" s="11"/>
      <c r="R269" s="11"/>
      <c r="S269" s="12"/>
      <c r="T269" s="12"/>
      <c r="U269" s="12"/>
      <c r="V269" s="12"/>
      <c r="W269" s="18"/>
      <c r="X269" s="7"/>
      <c r="Y269" s="7"/>
      <c r="Z269" s="7"/>
      <c r="AA269" s="14"/>
      <c r="AB269" s="14"/>
      <c r="AC269" s="14"/>
      <c r="AD269" s="14"/>
      <c r="AE269" s="14"/>
      <c r="AF269" s="15"/>
      <c r="AG269" s="14"/>
      <c r="AH269" s="14"/>
      <c r="AI269" s="14"/>
      <c r="AJ269" s="14"/>
      <c r="AK269" s="16"/>
      <c r="AL269" s="17"/>
    </row>
    <row r="270" ht="15.75" customHeight="1">
      <c r="A270" s="6"/>
      <c r="B270" s="7"/>
      <c r="C270" s="7"/>
      <c r="D270" s="7"/>
      <c r="E270" s="8"/>
      <c r="F270" s="8"/>
      <c r="G270" s="7"/>
      <c r="H270" s="7"/>
      <c r="I270" s="7"/>
      <c r="J270" s="9"/>
      <c r="K270" s="8"/>
      <c r="L270" s="8"/>
      <c r="M270" s="7"/>
      <c r="N270" s="7"/>
      <c r="O270" s="7"/>
      <c r="P270" s="10"/>
      <c r="Q270" s="11"/>
      <c r="R270" s="11"/>
      <c r="S270" s="12"/>
      <c r="T270" s="12"/>
      <c r="U270" s="12"/>
      <c r="V270" s="12"/>
      <c r="W270" s="18"/>
      <c r="X270" s="7"/>
      <c r="Y270" s="7"/>
      <c r="Z270" s="7"/>
      <c r="AA270" s="14"/>
      <c r="AB270" s="14"/>
      <c r="AC270" s="14"/>
      <c r="AD270" s="14"/>
      <c r="AE270" s="14"/>
      <c r="AF270" s="15"/>
      <c r="AG270" s="14"/>
      <c r="AH270" s="14"/>
      <c r="AI270" s="14"/>
      <c r="AJ270" s="14"/>
      <c r="AK270" s="16"/>
      <c r="AL270" s="17"/>
    </row>
    <row r="271" ht="15.75" customHeight="1">
      <c r="A271" s="6"/>
      <c r="B271" s="7"/>
      <c r="C271" s="7"/>
      <c r="D271" s="7"/>
      <c r="E271" s="8"/>
      <c r="F271" s="8"/>
      <c r="G271" s="7"/>
      <c r="H271" s="7"/>
      <c r="I271" s="7"/>
      <c r="J271" s="9"/>
      <c r="K271" s="8"/>
      <c r="L271" s="8"/>
      <c r="M271" s="7"/>
      <c r="N271" s="7"/>
      <c r="O271" s="7"/>
      <c r="P271" s="10"/>
      <c r="Q271" s="11"/>
      <c r="R271" s="11"/>
      <c r="S271" s="12"/>
      <c r="T271" s="12"/>
      <c r="U271" s="12"/>
      <c r="V271" s="12"/>
      <c r="W271" s="18"/>
      <c r="X271" s="7"/>
      <c r="Y271" s="7"/>
      <c r="Z271" s="7"/>
      <c r="AA271" s="14"/>
      <c r="AB271" s="14"/>
      <c r="AC271" s="14"/>
      <c r="AD271" s="14"/>
      <c r="AE271" s="14"/>
      <c r="AF271" s="15"/>
      <c r="AG271" s="14"/>
      <c r="AH271" s="14"/>
      <c r="AI271" s="14"/>
      <c r="AJ271" s="14"/>
      <c r="AK271" s="16"/>
      <c r="AL271" s="17"/>
    </row>
    <row r="272" ht="15.75" customHeight="1">
      <c r="A272" s="6"/>
      <c r="B272" s="7"/>
      <c r="C272" s="7"/>
      <c r="D272" s="7"/>
      <c r="E272" s="8"/>
      <c r="F272" s="8"/>
      <c r="G272" s="7"/>
      <c r="H272" s="7"/>
      <c r="I272" s="7"/>
      <c r="J272" s="9"/>
      <c r="K272" s="8"/>
      <c r="L272" s="8"/>
      <c r="M272" s="7"/>
      <c r="N272" s="7"/>
      <c r="O272" s="7"/>
      <c r="P272" s="10"/>
      <c r="Q272" s="11"/>
      <c r="R272" s="11"/>
      <c r="S272" s="12"/>
      <c r="T272" s="12"/>
      <c r="U272" s="12"/>
      <c r="V272" s="12"/>
      <c r="W272" s="18"/>
      <c r="X272" s="7"/>
      <c r="Y272" s="7"/>
      <c r="Z272" s="7"/>
      <c r="AA272" s="14"/>
      <c r="AB272" s="14"/>
      <c r="AC272" s="14"/>
      <c r="AD272" s="14"/>
      <c r="AE272" s="14"/>
      <c r="AF272" s="15"/>
      <c r="AG272" s="14"/>
      <c r="AH272" s="14"/>
      <c r="AI272" s="14"/>
      <c r="AJ272" s="14"/>
      <c r="AK272" s="16"/>
      <c r="AL272" s="17"/>
    </row>
    <row r="273" ht="15.75" customHeight="1">
      <c r="A273" s="6"/>
      <c r="B273" s="7"/>
      <c r="C273" s="7"/>
      <c r="D273" s="7"/>
      <c r="E273" s="8"/>
      <c r="F273" s="8"/>
      <c r="G273" s="7"/>
      <c r="H273" s="7"/>
      <c r="I273" s="7"/>
      <c r="J273" s="9"/>
      <c r="K273" s="8"/>
      <c r="L273" s="8"/>
      <c r="M273" s="7"/>
      <c r="N273" s="7"/>
      <c r="O273" s="7"/>
      <c r="P273" s="10"/>
      <c r="Q273" s="11"/>
      <c r="R273" s="11"/>
      <c r="S273" s="12"/>
      <c r="T273" s="12"/>
      <c r="U273" s="12"/>
      <c r="V273" s="12"/>
      <c r="W273" s="18"/>
      <c r="X273" s="7"/>
      <c r="Y273" s="7"/>
      <c r="Z273" s="7"/>
      <c r="AA273" s="14"/>
      <c r="AB273" s="14"/>
      <c r="AC273" s="14"/>
      <c r="AD273" s="14"/>
      <c r="AE273" s="14"/>
      <c r="AF273" s="15"/>
      <c r="AG273" s="14"/>
      <c r="AH273" s="14"/>
      <c r="AI273" s="14"/>
      <c r="AJ273" s="14"/>
      <c r="AK273" s="16"/>
      <c r="AL273" s="17"/>
    </row>
    <row r="274" ht="15.75" customHeight="1">
      <c r="A274" s="6"/>
      <c r="B274" s="7"/>
      <c r="C274" s="7"/>
      <c r="D274" s="7"/>
      <c r="E274" s="8"/>
      <c r="F274" s="8"/>
      <c r="G274" s="7"/>
      <c r="H274" s="7"/>
      <c r="I274" s="7"/>
      <c r="J274" s="9"/>
      <c r="K274" s="8"/>
      <c r="L274" s="8"/>
      <c r="M274" s="7"/>
      <c r="N274" s="7"/>
      <c r="O274" s="7"/>
      <c r="P274" s="10"/>
      <c r="Q274" s="11"/>
      <c r="R274" s="11"/>
      <c r="S274" s="12"/>
      <c r="T274" s="12"/>
      <c r="U274" s="12"/>
      <c r="V274" s="12"/>
      <c r="W274" s="18"/>
      <c r="X274" s="7"/>
      <c r="Y274" s="7"/>
      <c r="Z274" s="7"/>
      <c r="AA274" s="14"/>
      <c r="AB274" s="14"/>
      <c r="AC274" s="14"/>
      <c r="AD274" s="14"/>
      <c r="AE274" s="14"/>
      <c r="AF274" s="15"/>
      <c r="AG274" s="14"/>
      <c r="AH274" s="14"/>
      <c r="AI274" s="14"/>
      <c r="AJ274" s="14"/>
      <c r="AK274" s="16"/>
      <c r="AL274" s="17"/>
    </row>
    <row r="275" ht="15.75" customHeight="1">
      <c r="A275" s="6"/>
      <c r="B275" s="7"/>
      <c r="C275" s="7"/>
      <c r="D275" s="7"/>
      <c r="E275" s="8"/>
      <c r="F275" s="8"/>
      <c r="G275" s="7"/>
      <c r="H275" s="7"/>
      <c r="I275" s="7"/>
      <c r="J275" s="9"/>
      <c r="K275" s="8"/>
      <c r="L275" s="8"/>
      <c r="M275" s="7"/>
      <c r="N275" s="7"/>
      <c r="O275" s="7"/>
      <c r="P275" s="10"/>
      <c r="Q275" s="11"/>
      <c r="R275" s="11"/>
      <c r="S275" s="12"/>
      <c r="T275" s="12"/>
      <c r="U275" s="12"/>
      <c r="V275" s="12"/>
      <c r="W275" s="18"/>
      <c r="X275" s="7"/>
      <c r="Y275" s="7"/>
      <c r="Z275" s="7"/>
      <c r="AA275" s="14"/>
      <c r="AB275" s="14"/>
      <c r="AC275" s="14"/>
      <c r="AD275" s="14"/>
      <c r="AE275" s="14"/>
      <c r="AF275" s="15"/>
      <c r="AG275" s="14"/>
      <c r="AH275" s="14"/>
      <c r="AI275" s="14"/>
      <c r="AJ275" s="14"/>
      <c r="AK275" s="16"/>
      <c r="AL275" s="17"/>
    </row>
    <row r="276" ht="15.75" customHeight="1">
      <c r="A276" s="6"/>
      <c r="B276" s="7"/>
      <c r="C276" s="7"/>
      <c r="D276" s="7"/>
      <c r="E276" s="8"/>
      <c r="F276" s="8"/>
      <c r="G276" s="7"/>
      <c r="H276" s="7"/>
      <c r="I276" s="7"/>
      <c r="J276" s="9"/>
      <c r="K276" s="8"/>
      <c r="L276" s="8"/>
      <c r="M276" s="7"/>
      <c r="N276" s="7"/>
      <c r="O276" s="7"/>
      <c r="P276" s="10"/>
      <c r="Q276" s="11"/>
      <c r="R276" s="11"/>
      <c r="S276" s="12"/>
      <c r="T276" s="12"/>
      <c r="U276" s="12"/>
      <c r="V276" s="12"/>
      <c r="W276" s="18"/>
      <c r="X276" s="7"/>
      <c r="Y276" s="7"/>
      <c r="Z276" s="7"/>
      <c r="AA276" s="14"/>
      <c r="AB276" s="14"/>
      <c r="AC276" s="14"/>
      <c r="AD276" s="14"/>
      <c r="AE276" s="14"/>
      <c r="AF276" s="15"/>
      <c r="AG276" s="14"/>
      <c r="AH276" s="14"/>
      <c r="AI276" s="14"/>
      <c r="AJ276" s="14"/>
      <c r="AK276" s="16"/>
      <c r="AL276" s="17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autoFilter ref="$A$4:$R$276"/>
  <mergeCells count="2">
    <mergeCell ref="A1:AL1"/>
    <mergeCell ref="A2:AL2"/>
  </mergeCells>
  <dataValidations>
    <dataValidation type="list" allowBlank="1" showErrorMessage="1" sqref="P5:P276">
      <formula1>"😱 극도의 공포,😨 공포,😐 평온,😃 탐욕,🤑 극도의 탐욕"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44.0"/>
    <col customWidth="1" min="3" max="3" width="26.0"/>
    <col customWidth="1" min="4" max="4" width="11.0"/>
    <col customWidth="1" min="5" max="6" width="15.0"/>
    <col customWidth="1" min="7" max="7" width="11.0"/>
    <col customWidth="1" min="8" max="8" width="38.0"/>
    <col customWidth="1" min="9" max="9" width="18.0"/>
    <col customWidth="1" min="10" max="10" width="16.0"/>
  </cols>
  <sheetData>
    <row r="1">
      <c r="A1" s="19" t="s">
        <v>47</v>
      </c>
      <c r="B1" s="20"/>
      <c r="C1" s="20"/>
      <c r="D1" s="20"/>
      <c r="E1" s="20"/>
      <c r="F1" s="20"/>
      <c r="G1" s="20"/>
      <c r="H1" s="20"/>
      <c r="I1" s="2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2" t="s">
        <v>49</v>
      </c>
      <c r="B4" s="20"/>
      <c r="C4" s="20"/>
      <c r="D4" s="20"/>
      <c r="E4" s="20"/>
      <c r="F4" s="20"/>
      <c r="G4" s="20"/>
      <c r="H4" s="20"/>
      <c r="I4" s="2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3" t="s">
        <v>61</v>
      </c>
      <c r="B6" s="24" t="s">
        <v>62</v>
      </c>
      <c r="C6" s="24" t="s">
        <v>63</v>
      </c>
      <c r="D6" s="25">
        <v>8.0</v>
      </c>
      <c r="E6" s="25">
        <f>D6</f>
        <v>8</v>
      </c>
      <c r="F6" s="26">
        <f>'03_포지션'!$B$54</f>
        <v>8.912495031</v>
      </c>
      <c r="G6" s="23" t="str">
        <f>IF(F6="","⚪ 측정불가",IF(F6&lt;=D6,"🟢 준수",IF(F6&lt;=E6,"🟡 주의","🔴 위반")))</f>
        <v>🔴 위반</v>
      </c>
      <c r="H6" s="24" t="s">
        <v>65</v>
      </c>
      <c r="I6" s="27"/>
      <c r="J6" s="28" t="s">
        <v>66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3" t="s">
        <v>67</v>
      </c>
      <c r="B7" s="24" t="s">
        <v>68</v>
      </c>
      <c r="C7" s="24" t="s">
        <v>69</v>
      </c>
      <c r="D7" s="29">
        <v>0.1</v>
      </c>
      <c r="E7" s="29">
        <v>0.1</v>
      </c>
      <c r="F7" s="32">
        <f>'03_포지션'!$B$52</f>
        <v>0.09261317469</v>
      </c>
      <c r="G7" s="23" t="str">
        <f t="shared" ref="G7:G8" si="1">IF(F7="","⚪ 측정불가",IF(F7&gt;=D7,"🟢 준수",IF(F7&gt;=E7,"🟡 주의","🔴 위반")))</f>
        <v>🔴 위반</v>
      </c>
      <c r="H7" s="24" t="s">
        <v>80</v>
      </c>
      <c r="I7" s="27"/>
      <c r="J7" s="28" t="s">
        <v>81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3" t="s">
        <v>82</v>
      </c>
      <c r="B8" s="24" t="s">
        <v>83</v>
      </c>
      <c r="C8" s="24" t="s">
        <v>84</v>
      </c>
      <c r="D8" s="29">
        <v>0.05</v>
      </c>
      <c r="E8" s="29">
        <v>0.05</v>
      </c>
      <c r="F8" s="32">
        <f>'03_포지션'!$B$56</f>
        <v>0.002284818991</v>
      </c>
      <c r="G8" s="23" t="str">
        <f t="shared" si="1"/>
        <v>🔴 위반</v>
      </c>
      <c r="H8" s="24" t="s">
        <v>85</v>
      </c>
      <c r="I8" s="27"/>
      <c r="J8" s="28" t="s">
        <v>86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3" t="s">
        <v>87</v>
      </c>
      <c r="B9" s="24" t="s">
        <v>88</v>
      </c>
      <c r="C9" s="24" t="s">
        <v>89</v>
      </c>
      <c r="D9" s="34">
        <v>0.0</v>
      </c>
      <c r="E9" s="34">
        <v>1.0</v>
      </c>
      <c r="F9" s="36">
        <f>IFERROR('03_포지션'!$B$60+'03_포지션'!$B$61,"")</f>
        <v>7</v>
      </c>
      <c r="G9" s="23" t="str">
        <f>IF(F9="","⚪ 측정불가",IF(F9&lt;=D9,"🟢 준수",IF(F9&lt;=E9,"🟡 주의","🔴 위반")))</f>
        <v>🔴 위반</v>
      </c>
      <c r="H9" s="24" t="s">
        <v>90</v>
      </c>
      <c r="I9" s="27"/>
      <c r="J9" s="28" t="s">
        <v>91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3" t="s">
        <v>92</v>
      </c>
      <c r="B10" s="24" t="s">
        <v>93</v>
      </c>
      <c r="C10" s="24" t="s">
        <v>94</v>
      </c>
      <c r="D10" s="39">
        <v>0.1</v>
      </c>
      <c r="E10" s="39">
        <v>0.15</v>
      </c>
      <c r="F10" s="32">
        <f>'03_포지션'!$B$64</f>
        <v>0.1229100957</v>
      </c>
      <c r="G10" s="23" t="str">
        <f>IF('03_포지션'!$B$61&gt;0,"🔴 손절선 하회 "&amp;'03_포지션'!$B$61&amp;"종목",IF(F10="","⚪ 측정불가",IF(F10&lt;=D10,"🟢 준수",IF(F10&lt;=E10,"🟡 주의","🔴 위반"))))</f>
        <v>🔴 손절선 하회 7종목</v>
      </c>
      <c r="H10" s="24" t="s">
        <v>103</v>
      </c>
      <c r="I10" s="27"/>
      <c r="J10" s="28" t="s">
        <v>104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3" t="s">
        <v>106</v>
      </c>
      <c r="B11" s="24" t="s">
        <v>107</v>
      </c>
      <c r="C11" s="24" t="s">
        <v>108</v>
      </c>
      <c r="D11" s="39">
        <v>0.5</v>
      </c>
      <c r="E11" s="39">
        <v>0.8</v>
      </c>
      <c r="F11" s="32">
        <f>'03_포지션'!$B$59</f>
        <v>0.9451048347</v>
      </c>
      <c r="G11" s="23" t="str">
        <f t="shared" ref="G11:G13" si="2">IF(F11="","⚪ 측정불가",IF(F11&lt;=D11,"🟢 준수",IF(F11&lt;=E11,"🟡 주의","🔴 위반")))</f>
        <v>🔴 위반</v>
      </c>
      <c r="H11" s="24" t="s">
        <v>118</v>
      </c>
      <c r="I11" s="27"/>
      <c r="J11" s="28" t="s">
        <v>119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3" t="s">
        <v>120</v>
      </c>
      <c r="B12" s="24" t="s">
        <v>121</v>
      </c>
      <c r="C12" s="24" t="s">
        <v>122</v>
      </c>
      <c r="D12" s="45" t="str">
        <f>'05_뷰트래커'!$D$5</f>
        <v/>
      </c>
      <c r="E12" s="45">
        <f>IFERROR('05_뷰트래커'!$D$5+0.05,"")</f>
        <v>0.05</v>
      </c>
      <c r="F12" s="47">
        <f>'05_뷰트래커'!$E$5</f>
        <v>0.6704837511</v>
      </c>
      <c r="G12" s="23" t="str">
        <f t="shared" si="2"/>
        <v>🟢 준수</v>
      </c>
      <c r="H12" s="24" t="s">
        <v>124</v>
      </c>
      <c r="I12" s="27"/>
      <c r="J12" s="28" t="s">
        <v>125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3" t="s">
        <v>127</v>
      </c>
      <c r="B13" s="24" t="s">
        <v>128</v>
      </c>
      <c r="C13" s="24" t="s">
        <v>129</v>
      </c>
      <c r="D13" s="25">
        <v>8.0</v>
      </c>
      <c r="E13" s="25">
        <v>8.0</v>
      </c>
      <c r="F13" s="26">
        <f>'03_포지션'!$B$65</f>
        <v>9.006707313</v>
      </c>
      <c r="G13" s="23" t="str">
        <f t="shared" si="2"/>
        <v>🔴 위반</v>
      </c>
      <c r="H13" s="24" t="s">
        <v>130</v>
      </c>
      <c r="I13" s="27"/>
      <c r="J13" s="28" t="s">
        <v>131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3" t="s">
        <v>132</v>
      </c>
      <c r="B14" s="24" t="s">
        <v>133</v>
      </c>
      <c r="C14" s="24" t="s">
        <v>134</v>
      </c>
      <c r="D14" s="48">
        <v>1.0</v>
      </c>
      <c r="E14" s="48">
        <v>2.0</v>
      </c>
      <c r="F14" s="49" t="str">
        <f>'05_뷰트래커'!$F$15</f>
        <v/>
      </c>
      <c r="G14" s="23" t="str">
        <f>IF(F14="","⚪ 측정불가",IF(F14&gt;=D14,"🟢 준수",IF(F14&gt;=E14,"🟡 주의","🔴 위반")))</f>
        <v>⚪ 측정불가</v>
      </c>
      <c r="H14" s="24" t="s">
        <v>136</v>
      </c>
      <c r="I14" s="27"/>
      <c r="J14" s="28" t="s">
        <v>137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3"/>
      <c r="B15" s="24"/>
      <c r="C15" s="24"/>
      <c r="D15" s="51"/>
      <c r="E15" s="51"/>
      <c r="F15" s="52"/>
      <c r="G15" s="23"/>
      <c r="H15" s="24"/>
      <c r="I15" s="2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3"/>
      <c r="B16" s="54"/>
      <c r="C16" s="54"/>
      <c r="D16" s="55"/>
      <c r="E16" s="55"/>
      <c r="F16" s="56"/>
      <c r="G16" s="53"/>
      <c r="H16" s="54"/>
      <c r="I16" s="57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3"/>
      <c r="B17" s="54"/>
      <c r="C17" s="54"/>
      <c r="D17" s="58"/>
      <c r="E17" s="58"/>
      <c r="F17" s="59"/>
      <c r="G17" s="53"/>
      <c r="H17" s="54"/>
      <c r="I17" s="5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3"/>
      <c r="B18" s="54"/>
      <c r="C18" s="54"/>
      <c r="D18" s="60"/>
      <c r="E18" s="60"/>
      <c r="F18" s="61"/>
      <c r="G18" s="53"/>
      <c r="H18" s="54"/>
      <c r="I18" s="5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3"/>
      <c r="B19" s="54"/>
      <c r="C19" s="54"/>
      <c r="D19" s="62"/>
      <c r="E19" s="62"/>
      <c r="F19" s="63"/>
      <c r="G19" s="53"/>
      <c r="H19" s="54"/>
      <c r="I19" s="5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3"/>
      <c r="B20" s="54"/>
      <c r="C20" s="54"/>
      <c r="D20" s="55"/>
      <c r="E20" s="55"/>
      <c r="F20" s="56"/>
      <c r="G20" s="53"/>
      <c r="H20" s="54"/>
      <c r="I20" s="6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3"/>
      <c r="B21" s="54"/>
      <c r="C21" s="54"/>
      <c r="D21" s="62"/>
      <c r="E21" s="62"/>
      <c r="F21" s="63"/>
      <c r="G21" s="53"/>
      <c r="H21" s="54"/>
      <c r="I21" s="6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53" t="s">
        <v>138</v>
      </c>
      <c r="C22" s="3"/>
      <c r="D22" s="3"/>
      <c r="E22" s="3"/>
      <c r="F22" s="3"/>
      <c r="G22" s="65">
        <f>COUNTIF(G6:G15,"🔴*")</f>
        <v>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53" t="s">
        <v>139</v>
      </c>
      <c r="C23" s="3"/>
      <c r="D23" s="3"/>
      <c r="E23" s="3"/>
      <c r="F23" s="3"/>
      <c r="G23" s="66">
        <f>COUNTIF(G6:G15,"🟡*")</f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2" t="s">
        <v>140</v>
      </c>
      <c r="B26" s="20"/>
      <c r="C26" s="20"/>
      <c r="D26" s="20"/>
      <c r="E26" s="20"/>
      <c r="F26" s="20"/>
      <c r="G26" s="20"/>
      <c r="H26" s="20"/>
      <c r="I26" s="2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51</v>
      </c>
      <c r="B27" s="4" t="s">
        <v>141</v>
      </c>
      <c r="C27" s="4" t="s">
        <v>142</v>
      </c>
      <c r="D27" s="4" t="s">
        <v>143</v>
      </c>
      <c r="E27" s="4" t="s">
        <v>144</v>
      </c>
      <c r="F27" s="4" t="s">
        <v>145</v>
      </c>
      <c r="G27" s="4" t="s">
        <v>146</v>
      </c>
      <c r="H27" s="4" t="s">
        <v>147</v>
      </c>
      <c r="I27" s="4" t="s">
        <v>19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3" t="s">
        <v>148</v>
      </c>
      <c r="B28" s="67" t="s">
        <v>149</v>
      </c>
      <c r="C28" s="24" t="s">
        <v>150</v>
      </c>
      <c r="D28" s="68">
        <v>7.0</v>
      </c>
      <c r="E28" s="69">
        <v>46237.0</v>
      </c>
      <c r="F28" s="70">
        <f t="shared" ref="F28:F38" si="3">IF(E28="","",E28+D28)</f>
        <v>46244</v>
      </c>
      <c r="G28" s="71">
        <f t="shared" ref="G28:G38" si="4">IF(E28="","",F28-TODAY())</f>
        <v>-1</v>
      </c>
      <c r="H28" s="23" t="str">
        <f t="shared" ref="H28:H38" si="5">IF(E28="","⚪ 미확인",IF(G28&lt;0,"🔴 기한초과",IF(G28&lt;=2,"🟡 임박","🟢 여유")))</f>
        <v>🔴 기한초과</v>
      </c>
      <c r="I28" s="7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3" t="s">
        <v>151</v>
      </c>
      <c r="B29" s="67" t="s">
        <v>149</v>
      </c>
      <c r="C29" s="24" t="s">
        <v>152</v>
      </c>
      <c r="D29" s="68">
        <v>7.0</v>
      </c>
      <c r="E29" s="69">
        <v>46237.0</v>
      </c>
      <c r="F29" s="70">
        <f t="shared" si="3"/>
        <v>46244</v>
      </c>
      <c r="G29" s="71">
        <f t="shared" si="4"/>
        <v>-1</v>
      </c>
      <c r="H29" s="23" t="str">
        <f t="shared" si="5"/>
        <v>🔴 기한초과</v>
      </c>
      <c r="I29" s="7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153</v>
      </c>
      <c r="B30" s="67" t="s">
        <v>149</v>
      </c>
      <c r="C30" s="24" t="s">
        <v>154</v>
      </c>
      <c r="D30" s="68">
        <v>7.0</v>
      </c>
      <c r="E30" s="69">
        <v>46237.0</v>
      </c>
      <c r="F30" s="70">
        <f t="shared" si="3"/>
        <v>46244</v>
      </c>
      <c r="G30" s="71">
        <f t="shared" si="4"/>
        <v>-1</v>
      </c>
      <c r="H30" s="23" t="str">
        <f t="shared" si="5"/>
        <v>🔴 기한초과</v>
      </c>
      <c r="I30" s="7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3" t="s">
        <v>155</v>
      </c>
      <c r="B31" s="67" t="s">
        <v>149</v>
      </c>
      <c r="C31" s="24" t="s">
        <v>156</v>
      </c>
      <c r="D31" s="68">
        <v>7.0</v>
      </c>
      <c r="E31" s="69">
        <v>46237.0</v>
      </c>
      <c r="F31" s="70">
        <f t="shared" si="3"/>
        <v>46244</v>
      </c>
      <c r="G31" s="71">
        <f t="shared" si="4"/>
        <v>-1</v>
      </c>
      <c r="H31" s="23" t="str">
        <f t="shared" si="5"/>
        <v>🔴 기한초과</v>
      </c>
      <c r="I31" s="7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3" t="s">
        <v>157</v>
      </c>
      <c r="B32" s="67" t="s">
        <v>158</v>
      </c>
      <c r="C32" s="24" t="s">
        <v>159</v>
      </c>
      <c r="D32" s="68">
        <v>30.0</v>
      </c>
      <c r="E32" s="69">
        <v>46237.0</v>
      </c>
      <c r="F32" s="70">
        <f t="shared" si="3"/>
        <v>46267</v>
      </c>
      <c r="G32" s="71">
        <f t="shared" si="4"/>
        <v>22</v>
      </c>
      <c r="H32" s="23" t="str">
        <f t="shared" si="5"/>
        <v>🟢 여유</v>
      </c>
      <c r="I32" s="7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160</v>
      </c>
      <c r="B33" s="67" t="s">
        <v>158</v>
      </c>
      <c r="C33" s="24" t="s">
        <v>161</v>
      </c>
      <c r="D33" s="68">
        <v>30.0</v>
      </c>
      <c r="E33" s="69">
        <v>46237.0</v>
      </c>
      <c r="F33" s="70">
        <f t="shared" si="3"/>
        <v>46267</v>
      </c>
      <c r="G33" s="71">
        <f t="shared" si="4"/>
        <v>22</v>
      </c>
      <c r="H33" s="23" t="str">
        <f t="shared" si="5"/>
        <v>🟢 여유</v>
      </c>
      <c r="I33" s="7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3" t="s">
        <v>162</v>
      </c>
      <c r="B34" s="67" t="s">
        <v>158</v>
      </c>
      <c r="C34" s="24" t="s">
        <v>163</v>
      </c>
      <c r="D34" s="68">
        <v>30.0</v>
      </c>
      <c r="E34" s="69">
        <v>46237.0</v>
      </c>
      <c r="F34" s="70">
        <f t="shared" si="3"/>
        <v>46267</v>
      </c>
      <c r="G34" s="71">
        <f t="shared" si="4"/>
        <v>22</v>
      </c>
      <c r="H34" s="23" t="str">
        <f t="shared" si="5"/>
        <v>🟢 여유</v>
      </c>
      <c r="I34" s="7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3" t="s">
        <v>164</v>
      </c>
      <c r="B35" s="67" t="s">
        <v>158</v>
      </c>
      <c r="C35" s="24" t="s">
        <v>165</v>
      </c>
      <c r="D35" s="68">
        <v>30.0</v>
      </c>
      <c r="E35" s="69">
        <v>46237.0</v>
      </c>
      <c r="F35" s="70">
        <f t="shared" si="3"/>
        <v>46267</v>
      </c>
      <c r="G35" s="71">
        <f t="shared" si="4"/>
        <v>22</v>
      </c>
      <c r="H35" s="23" t="str">
        <f t="shared" si="5"/>
        <v>🟢 여유</v>
      </c>
      <c r="I35" s="7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3" t="s">
        <v>166</v>
      </c>
      <c r="B36" s="67" t="s">
        <v>167</v>
      </c>
      <c r="C36" s="24" t="s">
        <v>168</v>
      </c>
      <c r="D36" s="68">
        <v>90.0</v>
      </c>
      <c r="E36" s="69">
        <v>46237.0</v>
      </c>
      <c r="F36" s="70">
        <f t="shared" si="3"/>
        <v>46327</v>
      </c>
      <c r="G36" s="71">
        <f t="shared" si="4"/>
        <v>82</v>
      </c>
      <c r="H36" s="23" t="str">
        <f t="shared" si="5"/>
        <v>🟢 여유</v>
      </c>
      <c r="I36" s="7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3" t="s">
        <v>169</v>
      </c>
      <c r="B37" s="67" t="s">
        <v>167</v>
      </c>
      <c r="C37" s="24" t="s">
        <v>170</v>
      </c>
      <c r="D37" s="68">
        <v>90.0</v>
      </c>
      <c r="E37" s="69">
        <v>46237.0</v>
      </c>
      <c r="F37" s="70">
        <f t="shared" si="3"/>
        <v>46327</v>
      </c>
      <c r="G37" s="71">
        <f t="shared" si="4"/>
        <v>82</v>
      </c>
      <c r="H37" s="23" t="str">
        <f t="shared" si="5"/>
        <v>🟢 여유</v>
      </c>
      <c r="I37" s="7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3" t="s">
        <v>171</v>
      </c>
      <c r="B38" s="67" t="s">
        <v>167</v>
      </c>
      <c r="C38" s="24" t="s">
        <v>172</v>
      </c>
      <c r="D38" s="68">
        <v>90.0</v>
      </c>
      <c r="E38" s="69">
        <v>46237.0</v>
      </c>
      <c r="F38" s="70">
        <f t="shared" si="3"/>
        <v>46327</v>
      </c>
      <c r="G38" s="71">
        <f t="shared" si="4"/>
        <v>82</v>
      </c>
      <c r="H38" s="23" t="str">
        <f t="shared" si="5"/>
        <v>🟢 여유</v>
      </c>
      <c r="I38" s="7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3"/>
      <c r="B39" s="73"/>
      <c r="C39" s="54"/>
      <c r="D39" s="74"/>
      <c r="E39" s="75"/>
      <c r="F39" s="76"/>
      <c r="G39" s="77"/>
      <c r="H39" s="53"/>
      <c r="I39" s="7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3"/>
      <c r="B40" s="73"/>
      <c r="C40" s="54"/>
      <c r="D40" s="74"/>
      <c r="E40" s="75"/>
      <c r="F40" s="76"/>
      <c r="G40" s="77"/>
      <c r="H40" s="53"/>
      <c r="I40" s="7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3"/>
      <c r="B41" s="73"/>
      <c r="C41" s="54"/>
      <c r="D41" s="74"/>
      <c r="E41" s="75"/>
      <c r="F41" s="76"/>
      <c r="G41" s="77"/>
      <c r="H41" s="53"/>
      <c r="I41" s="7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3"/>
      <c r="B42" s="73"/>
      <c r="C42" s="54"/>
      <c r="D42" s="74"/>
      <c r="E42" s="75"/>
      <c r="F42" s="76"/>
      <c r="G42" s="77"/>
      <c r="H42" s="53"/>
      <c r="I42" s="7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3"/>
      <c r="B43" s="73"/>
      <c r="C43" s="54"/>
      <c r="D43" s="74"/>
      <c r="E43" s="75"/>
      <c r="F43" s="76"/>
      <c r="G43" s="77"/>
      <c r="H43" s="53"/>
      <c r="I43" s="7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3"/>
      <c r="B44" s="73"/>
      <c r="C44" s="54"/>
      <c r="D44" s="74"/>
      <c r="E44" s="75"/>
      <c r="F44" s="76"/>
      <c r="G44" s="77"/>
      <c r="H44" s="53"/>
      <c r="I44" s="7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3"/>
      <c r="B45" s="73"/>
      <c r="C45" s="54"/>
      <c r="D45" s="74"/>
      <c r="E45" s="75"/>
      <c r="F45" s="76"/>
      <c r="G45" s="77"/>
      <c r="H45" s="53"/>
      <c r="I45" s="78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3"/>
      <c r="B46" s="73"/>
      <c r="C46" s="54"/>
      <c r="D46" s="74"/>
      <c r="E46" s="75"/>
      <c r="F46" s="76"/>
      <c r="G46" s="77"/>
      <c r="H46" s="53"/>
      <c r="I46" s="7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3" t="s">
        <v>173</v>
      </c>
      <c r="D47" s="3"/>
      <c r="E47" s="3"/>
      <c r="F47" s="3"/>
      <c r="G47" s="3"/>
      <c r="H47" s="65">
        <f>COUNTIF(H28:H38,"🔴*")+COUNTIF(H28:H38,"⚪*")</f>
        <v>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2" t="s">
        <v>174</v>
      </c>
      <c r="B50" s="20"/>
      <c r="C50" s="20"/>
      <c r="D50" s="20"/>
      <c r="E50" s="20"/>
      <c r="F50" s="20"/>
      <c r="G50" s="20"/>
      <c r="H50" s="20"/>
      <c r="I50" s="2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79" t="s">
        <v>175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79" t="s">
        <v>176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79" t="s">
        <v>177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79" t="s">
        <v>178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79" t="s">
        <v>179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79" t="s">
        <v>180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79" t="s">
        <v>181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79" t="s">
        <v>182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79" t="s">
        <v>183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79" t="s">
        <v>184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80" t="s">
        <v>185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80" t="s">
        <v>186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80" t="s">
        <v>187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80" t="s">
        <v>188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80" t="s">
        <v>189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mergeCells count="19">
    <mergeCell ref="A1:I1"/>
    <mergeCell ref="A4:I4"/>
    <mergeCell ref="A26:I26"/>
    <mergeCell ref="A50:I50"/>
    <mergeCell ref="A51:I51"/>
    <mergeCell ref="A52:I52"/>
    <mergeCell ref="A53:I53"/>
    <mergeCell ref="A61:I61"/>
    <mergeCell ref="A62:I62"/>
    <mergeCell ref="A63:I63"/>
    <mergeCell ref="A64:I64"/>
    <mergeCell ref="A65:I65"/>
    <mergeCell ref="A54:I54"/>
    <mergeCell ref="A55:I55"/>
    <mergeCell ref="A56:I56"/>
    <mergeCell ref="A57:I57"/>
    <mergeCell ref="A58:I58"/>
    <mergeCell ref="A59:I59"/>
    <mergeCell ref="A60:I6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15.0"/>
    <col customWidth="1" min="4" max="4" width="10.0"/>
    <col customWidth="1" min="5" max="5" width="11.0"/>
    <col customWidth="1" min="6" max="7" width="13.0"/>
    <col customWidth="1" min="8" max="8" width="8.0"/>
    <col customWidth="1" min="9" max="10" width="16.0"/>
    <col customWidth="1" min="11" max="11" width="10.0"/>
    <col customWidth="1" min="12" max="12" width="16.0"/>
    <col customWidth="1" min="13" max="13" width="8.0"/>
    <col customWidth="1" min="14" max="14" width="13.0"/>
    <col customWidth="1" min="15" max="15" width="10.0"/>
    <col customWidth="1" min="16" max="16" width="15.0"/>
    <col customWidth="1" min="17" max="17" width="10.0"/>
    <col customWidth="1" min="18" max="18" width="34.0"/>
    <col customWidth="1" min="19" max="19" width="8.0"/>
  </cols>
  <sheetData>
    <row r="1">
      <c r="A1" s="19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3"/>
      <c r="U1" s="3"/>
      <c r="V1" s="3"/>
      <c r="W1" s="3"/>
      <c r="X1" s="3"/>
      <c r="Y1" s="3"/>
      <c r="Z1" s="3"/>
    </row>
    <row r="2">
      <c r="A2" s="21" t="s">
        <v>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2" t="s">
        <v>50</v>
      </c>
      <c r="B4" s="20"/>
      <c r="C4" s="20"/>
      <c r="D4" s="2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109</v>
      </c>
      <c r="B5" s="4" t="s">
        <v>241</v>
      </c>
      <c r="C5" s="4" t="s">
        <v>8</v>
      </c>
      <c r="D5" s="4" t="s">
        <v>116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3" t="s">
        <v>117</v>
      </c>
      <c r="B6" s="12">
        <v>2173938.0</v>
      </c>
      <c r="C6" s="12">
        <v>4.78436585E8</v>
      </c>
      <c r="D6" s="9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3" t="s">
        <v>123</v>
      </c>
      <c r="B7" s="12">
        <v>0.0</v>
      </c>
      <c r="C7" s="12">
        <v>0.0</v>
      </c>
      <c r="D7" s="9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3" t="s">
        <v>126</v>
      </c>
      <c r="B8" s="12">
        <v>297366.0</v>
      </c>
      <c r="C8" s="12">
        <v>0.0</v>
      </c>
      <c r="D8" s="9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3" t="s">
        <v>135</v>
      </c>
      <c r="B9" s="94">
        <f t="shared" ref="B9:C9" si="1">SUM(B6:B8)</f>
        <v>2471304</v>
      </c>
      <c r="C9" s="94">
        <f t="shared" si="1"/>
        <v>478436585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2" t="s">
        <v>242</v>
      </c>
      <c r="B11" s="20"/>
      <c r="C11" s="20"/>
      <c r="D11" s="2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3" t="s">
        <v>243</v>
      </c>
      <c r="B12" s="95">
        <v>2.4E8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3" t="s">
        <v>244</v>
      </c>
      <c r="B13" s="96">
        <v>1.4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3" t="s">
        <v>245</v>
      </c>
      <c r="B14" s="97">
        <f>'09_CF_원금'!$B$108</f>
        <v>80000000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2" t="s">
        <v>246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3"/>
      <c r="U15" s="3"/>
      <c r="V15" s="3"/>
      <c r="W15" s="3"/>
      <c r="X15" s="3"/>
      <c r="Y15" s="3"/>
      <c r="Z15" s="3"/>
    </row>
    <row r="16">
      <c r="A16" s="4" t="s">
        <v>247</v>
      </c>
      <c r="B16" s="4" t="s">
        <v>248</v>
      </c>
      <c r="C16" s="4" t="s">
        <v>109</v>
      </c>
      <c r="D16" s="4" t="s">
        <v>249</v>
      </c>
      <c r="E16" s="4" t="s">
        <v>250</v>
      </c>
      <c r="F16" s="4" t="s">
        <v>251</v>
      </c>
      <c r="G16" s="4" t="s">
        <v>252</v>
      </c>
      <c r="H16" s="4" t="s">
        <v>253</v>
      </c>
      <c r="I16" s="4" t="s">
        <v>254</v>
      </c>
      <c r="J16" s="4" t="s">
        <v>255</v>
      </c>
      <c r="K16" s="4" t="s">
        <v>256</v>
      </c>
      <c r="L16" s="4" t="s">
        <v>257</v>
      </c>
      <c r="M16" s="4" t="s">
        <v>258</v>
      </c>
      <c r="N16" s="4" t="s">
        <v>259</v>
      </c>
      <c r="O16" s="4" t="s">
        <v>260</v>
      </c>
      <c r="P16" s="4" t="s">
        <v>261</v>
      </c>
      <c r="Q16" s="4" t="s">
        <v>262</v>
      </c>
      <c r="R16" s="4" t="s">
        <v>263</v>
      </c>
      <c r="S16" s="4" t="s">
        <v>264</v>
      </c>
      <c r="T16" s="3"/>
      <c r="U16" s="3"/>
      <c r="V16" s="3"/>
      <c r="W16" s="3"/>
      <c r="X16" s="3"/>
      <c r="Y16" s="3"/>
      <c r="Z16" s="3"/>
    </row>
    <row r="17">
      <c r="A17" s="98" t="s">
        <v>265</v>
      </c>
      <c r="B17" s="99" t="s">
        <v>266</v>
      </c>
      <c r="C17" s="10" t="s">
        <v>117</v>
      </c>
      <c r="D17" s="10" t="s">
        <v>267</v>
      </c>
      <c r="E17" s="100">
        <v>140.0</v>
      </c>
      <c r="F17" s="100">
        <f>(1981550*120+1325324*20)/140</f>
        <v>1887803.429</v>
      </c>
      <c r="G17" s="101">
        <v>1426000.0</v>
      </c>
      <c r="H17" s="102">
        <v>1.0</v>
      </c>
      <c r="I17" s="103">
        <f t="shared" ref="I17:I31" si="2">IF(B17="","",E17*G17)</f>
        <v>199640000</v>
      </c>
      <c r="J17" s="103">
        <f t="shared" ref="J17:J31" si="3">IF(B17="","",I17*H17)</f>
        <v>199640000</v>
      </c>
      <c r="K17" s="104">
        <f t="shared" ref="K17:K31" si="4">IF(B17="","",IFERROR(J17/$B$36,""))</f>
        <v>0.2385048816</v>
      </c>
      <c r="L17" s="98" t="s">
        <v>268</v>
      </c>
      <c r="M17" s="10" t="s">
        <v>269</v>
      </c>
      <c r="N17" s="100">
        <f>(1981550*120+1325324*20)/140</f>
        <v>1887803.429</v>
      </c>
      <c r="O17" s="104">
        <f t="shared" ref="O17:O31" si="5">IF(OR(B17="",N17=""),"",(N17-G17)/G17)</f>
        <v>0.3238453216</v>
      </c>
      <c r="P17" s="103">
        <f t="shared" ref="P17:P31" si="6">IF(OR(B17="",N17=""),"",MAX(0,(G17-N17)/G17)*J17)</f>
        <v>0</v>
      </c>
      <c r="Q17" s="104">
        <f t="shared" ref="Q17:Q31" si="7">IF(OR(B17="",F17=""),"",(G17-F17)/F17)</f>
        <v>-0.244624743</v>
      </c>
      <c r="R17" s="105"/>
      <c r="S17" s="10"/>
      <c r="T17" s="3"/>
      <c r="U17" s="3"/>
      <c r="V17" s="3"/>
      <c r="W17" s="3"/>
      <c r="X17" s="3"/>
      <c r="Y17" s="3"/>
      <c r="Z17" s="3"/>
    </row>
    <row r="18">
      <c r="A18" s="98" t="s">
        <v>270</v>
      </c>
      <c r="B18" s="99" t="s">
        <v>271</v>
      </c>
      <c r="C18" s="10" t="s">
        <v>117</v>
      </c>
      <c r="D18" s="10" t="s">
        <v>267</v>
      </c>
      <c r="E18" s="100">
        <v>900.0</v>
      </c>
      <c r="F18" s="100">
        <f>(236837*800+207500*100)/900</f>
        <v>233577.3333</v>
      </c>
      <c r="G18" s="101">
        <v>233000.0</v>
      </c>
      <c r="H18" s="102">
        <v>1.0</v>
      </c>
      <c r="I18" s="103">
        <f t="shared" si="2"/>
        <v>209700000</v>
      </c>
      <c r="J18" s="103">
        <f t="shared" si="3"/>
        <v>209700000</v>
      </c>
      <c r="K18" s="104">
        <f t="shared" si="4"/>
        <v>0.2505233103</v>
      </c>
      <c r="L18" s="98" t="s">
        <v>268</v>
      </c>
      <c r="M18" s="10" t="s">
        <v>269</v>
      </c>
      <c r="N18" s="100">
        <f>(236837*800+207500*100)/900</f>
        <v>233577.3333</v>
      </c>
      <c r="O18" s="104">
        <f t="shared" si="5"/>
        <v>0.002477825465</v>
      </c>
      <c r="P18" s="103">
        <f t="shared" si="6"/>
        <v>0</v>
      </c>
      <c r="Q18" s="104">
        <f t="shared" si="7"/>
        <v>-0.002471701021</v>
      </c>
      <c r="R18" s="105"/>
      <c r="S18" s="10"/>
      <c r="T18" s="3"/>
      <c r="U18" s="3"/>
      <c r="V18" s="3"/>
      <c r="W18" s="3"/>
      <c r="X18" s="3"/>
      <c r="Y18" s="3"/>
      <c r="Z18" s="3"/>
    </row>
    <row r="19">
      <c r="A19" s="98" t="s">
        <v>272</v>
      </c>
      <c r="B19" s="99" t="s">
        <v>273</v>
      </c>
      <c r="C19" s="10" t="s">
        <v>117</v>
      </c>
      <c r="D19" s="10" t="s">
        <v>267</v>
      </c>
      <c r="E19" s="100">
        <v>13500.0</v>
      </c>
      <c r="F19" s="100">
        <v>20042.0</v>
      </c>
      <c r="G19" s="101">
        <v>7480.0</v>
      </c>
      <c r="H19" s="102">
        <v>2.0</v>
      </c>
      <c r="I19" s="103">
        <f t="shared" si="2"/>
        <v>100980000</v>
      </c>
      <c r="J19" s="103">
        <f t="shared" si="3"/>
        <v>201960000</v>
      </c>
      <c r="K19" s="104">
        <f t="shared" si="4"/>
        <v>0.2412765272</v>
      </c>
      <c r="L19" s="98" t="s">
        <v>268</v>
      </c>
      <c r="M19" s="10" t="s">
        <v>269</v>
      </c>
      <c r="N19" s="100">
        <v>20042.0</v>
      </c>
      <c r="O19" s="104">
        <f t="shared" si="5"/>
        <v>1.679411765</v>
      </c>
      <c r="P19" s="103">
        <f t="shared" si="6"/>
        <v>0</v>
      </c>
      <c r="Q19" s="104">
        <f t="shared" si="7"/>
        <v>-0.6267837541</v>
      </c>
      <c r="R19" s="105"/>
      <c r="S19" s="10"/>
      <c r="T19" s="3"/>
      <c r="U19" s="3"/>
      <c r="V19" s="3"/>
      <c r="W19" s="3"/>
      <c r="X19" s="3"/>
      <c r="Y19" s="3"/>
      <c r="Z19" s="3"/>
    </row>
    <row r="20">
      <c r="A20" s="98" t="s">
        <v>274</v>
      </c>
      <c r="B20" s="99" t="s">
        <v>275</v>
      </c>
      <c r="C20" s="10" t="s">
        <v>117</v>
      </c>
      <c r="D20" s="10" t="s">
        <v>267</v>
      </c>
      <c r="E20" s="100">
        <v>12000.0</v>
      </c>
      <c r="F20" s="100">
        <v>18280.0</v>
      </c>
      <c r="G20" s="101">
        <v>9890.0</v>
      </c>
      <c r="H20" s="102">
        <v>2.0</v>
      </c>
      <c r="I20" s="103">
        <f t="shared" si="2"/>
        <v>118680000</v>
      </c>
      <c r="J20" s="103">
        <f t="shared" si="3"/>
        <v>237360000</v>
      </c>
      <c r="K20" s="104">
        <f t="shared" si="4"/>
        <v>0.2835680159</v>
      </c>
      <c r="L20" s="98" t="s">
        <v>268</v>
      </c>
      <c r="M20" s="10" t="s">
        <v>269</v>
      </c>
      <c r="N20" s="100">
        <v>18280.0</v>
      </c>
      <c r="O20" s="104">
        <f t="shared" si="5"/>
        <v>0.8483316481</v>
      </c>
      <c r="P20" s="103">
        <f t="shared" si="6"/>
        <v>0</v>
      </c>
      <c r="Q20" s="104">
        <f t="shared" si="7"/>
        <v>-0.4589715536</v>
      </c>
      <c r="R20" s="105"/>
      <c r="S20" s="10"/>
      <c r="T20" s="3"/>
      <c r="U20" s="3"/>
      <c r="V20" s="3"/>
      <c r="W20" s="3"/>
      <c r="X20" s="3"/>
      <c r="Y20" s="3"/>
      <c r="Z20" s="3"/>
    </row>
    <row r="21" ht="15.75" customHeight="1">
      <c r="A21" s="98" t="s">
        <v>276</v>
      </c>
      <c r="B21" s="99" t="s">
        <v>277</v>
      </c>
      <c r="C21" s="10" t="s">
        <v>117</v>
      </c>
      <c r="D21" s="10" t="s">
        <v>267</v>
      </c>
      <c r="E21" s="100">
        <v>60.0</v>
      </c>
      <c r="F21" s="100">
        <v>1483987.0</v>
      </c>
      <c r="G21" s="101">
        <v>1320000.0</v>
      </c>
      <c r="H21" s="102">
        <v>1.0</v>
      </c>
      <c r="I21" s="103">
        <f t="shared" si="2"/>
        <v>79200000</v>
      </c>
      <c r="J21" s="103">
        <f t="shared" si="3"/>
        <v>79200000</v>
      </c>
      <c r="K21" s="104">
        <f t="shared" si="4"/>
        <v>0.09461824594</v>
      </c>
      <c r="L21" s="98" t="s">
        <v>268</v>
      </c>
      <c r="M21" s="10" t="s">
        <v>269</v>
      </c>
      <c r="N21" s="100">
        <v>1483987.0</v>
      </c>
      <c r="O21" s="104">
        <f t="shared" si="5"/>
        <v>0.1242325758</v>
      </c>
      <c r="P21" s="103">
        <f t="shared" si="6"/>
        <v>0</v>
      </c>
      <c r="Q21" s="104">
        <f t="shared" si="7"/>
        <v>-0.1105043373</v>
      </c>
      <c r="R21" s="105"/>
      <c r="S21" s="10"/>
      <c r="T21" s="3"/>
      <c r="U21" s="3"/>
      <c r="V21" s="3"/>
      <c r="W21" s="3"/>
      <c r="X21" s="3"/>
      <c r="Y21" s="3"/>
      <c r="Z21" s="3"/>
    </row>
    <row r="22" ht="15.75" customHeight="1">
      <c r="A22" s="98" t="s">
        <v>278</v>
      </c>
      <c r="B22" s="99" t="s">
        <v>279</v>
      </c>
      <c r="C22" s="10" t="s">
        <v>123</v>
      </c>
      <c r="D22" s="10" t="s">
        <v>267</v>
      </c>
      <c r="E22" s="100">
        <v>121.0</v>
      </c>
      <c r="F22" s="100">
        <v>391388.0</v>
      </c>
      <c r="G22" s="101">
        <v>389817.0</v>
      </c>
      <c r="H22" s="102">
        <v>1.0</v>
      </c>
      <c r="I22" s="103">
        <f t="shared" si="2"/>
        <v>47167857</v>
      </c>
      <c r="J22" s="103">
        <f t="shared" si="3"/>
        <v>47167857</v>
      </c>
      <c r="K22" s="104">
        <f t="shared" si="4"/>
        <v>0.05635025119</v>
      </c>
      <c r="L22" s="98" t="s">
        <v>268</v>
      </c>
      <c r="M22" s="10" t="s">
        <v>280</v>
      </c>
      <c r="N22" s="100">
        <v>274486.0</v>
      </c>
      <c r="O22" s="104">
        <f t="shared" si="5"/>
        <v>-0.2958593391</v>
      </c>
      <c r="P22" s="103">
        <f t="shared" si="6"/>
        <v>13955051</v>
      </c>
      <c r="Q22" s="104">
        <f t="shared" si="7"/>
        <v>-0.004013919691</v>
      </c>
      <c r="R22" s="105"/>
      <c r="S22" s="10"/>
      <c r="T22" s="3"/>
      <c r="U22" s="3"/>
      <c r="V22" s="3"/>
      <c r="W22" s="3"/>
      <c r="X22" s="3"/>
      <c r="Y22" s="3"/>
      <c r="Z22" s="3"/>
    </row>
    <row r="23" ht="15.75" customHeight="1">
      <c r="A23" s="98" t="s">
        <v>281</v>
      </c>
      <c r="B23" s="99" t="s">
        <v>282</v>
      </c>
      <c r="C23" s="10" t="s">
        <v>117</v>
      </c>
      <c r="D23" s="10" t="s">
        <v>267</v>
      </c>
      <c r="E23" s="100">
        <v>100.0</v>
      </c>
      <c r="F23" s="100">
        <v>633213.0</v>
      </c>
      <c r="G23" s="101">
        <v>500000.0</v>
      </c>
      <c r="H23" s="102">
        <v>1.0</v>
      </c>
      <c r="I23" s="103">
        <f t="shared" si="2"/>
        <v>50000000</v>
      </c>
      <c r="J23" s="103">
        <f t="shared" si="3"/>
        <v>50000000</v>
      </c>
      <c r="K23" s="104">
        <f t="shared" si="4"/>
        <v>0.05973374113</v>
      </c>
      <c r="L23" s="98" t="s">
        <v>283</v>
      </c>
      <c r="M23" s="10" t="s">
        <v>269</v>
      </c>
      <c r="N23" s="100">
        <v>633213.0</v>
      </c>
      <c r="O23" s="104">
        <f t="shared" si="5"/>
        <v>0.266426</v>
      </c>
      <c r="P23" s="103">
        <f t="shared" si="6"/>
        <v>0</v>
      </c>
      <c r="Q23" s="104">
        <f t="shared" si="7"/>
        <v>-0.2103762873</v>
      </c>
      <c r="R23" s="105"/>
      <c r="S23" s="10"/>
      <c r="T23" s="3"/>
      <c r="U23" s="3"/>
      <c r="V23" s="3"/>
      <c r="W23" s="3"/>
      <c r="X23" s="3"/>
      <c r="Y23" s="3"/>
      <c r="Z23" s="3"/>
    </row>
    <row r="24" ht="15.75" customHeight="1">
      <c r="A24" s="98" t="s">
        <v>272</v>
      </c>
      <c r="B24" s="99" t="s">
        <v>273</v>
      </c>
      <c r="C24" s="10" t="s">
        <v>126</v>
      </c>
      <c r="D24" s="10" t="s">
        <v>267</v>
      </c>
      <c r="E24" s="100">
        <v>3000.0</v>
      </c>
      <c r="F24" s="100">
        <v>17550.0</v>
      </c>
      <c r="G24" s="101">
        <f>G19</f>
        <v>7480</v>
      </c>
      <c r="H24" s="102">
        <v>2.0</v>
      </c>
      <c r="I24" s="103">
        <f t="shared" si="2"/>
        <v>22440000</v>
      </c>
      <c r="J24" s="103">
        <f t="shared" si="3"/>
        <v>44880000</v>
      </c>
      <c r="K24" s="104">
        <f t="shared" si="4"/>
        <v>0.05361700603</v>
      </c>
      <c r="L24" s="98" t="s">
        <v>268</v>
      </c>
      <c r="M24" s="10" t="s">
        <v>280</v>
      </c>
      <c r="N24" s="100">
        <v>17550.0</v>
      </c>
      <c r="O24" s="104">
        <f t="shared" si="5"/>
        <v>1.346256684</v>
      </c>
      <c r="P24" s="103">
        <f t="shared" si="6"/>
        <v>0</v>
      </c>
      <c r="Q24" s="104">
        <f t="shared" si="7"/>
        <v>-0.5737891738</v>
      </c>
      <c r="R24" s="105"/>
      <c r="S24" s="10"/>
      <c r="T24" s="3"/>
      <c r="U24" s="3"/>
      <c r="V24" s="3"/>
      <c r="W24" s="3"/>
      <c r="X24" s="3"/>
      <c r="Y24" s="3"/>
      <c r="Z24" s="3"/>
    </row>
    <row r="25" ht="15.75" customHeight="1">
      <c r="A25" s="98" t="s">
        <v>276</v>
      </c>
      <c r="B25" s="99" t="s">
        <v>277</v>
      </c>
      <c r="C25" s="10" t="s">
        <v>126</v>
      </c>
      <c r="D25" s="10" t="s">
        <v>267</v>
      </c>
      <c r="E25" s="100">
        <v>7.0</v>
      </c>
      <c r="F25" s="100">
        <v>1187540.0</v>
      </c>
      <c r="G25" s="101">
        <f>G21</f>
        <v>1320000</v>
      </c>
      <c r="H25" s="102">
        <v>1.0</v>
      </c>
      <c r="I25" s="103">
        <f t="shared" si="2"/>
        <v>9240000</v>
      </c>
      <c r="J25" s="103">
        <f t="shared" si="3"/>
        <v>9240000</v>
      </c>
      <c r="K25" s="104">
        <f t="shared" si="4"/>
        <v>0.01103879536</v>
      </c>
      <c r="L25" s="98" t="s">
        <v>284</v>
      </c>
      <c r="M25" s="10" t="s">
        <v>280</v>
      </c>
      <c r="N25" s="100">
        <v>1187540.0</v>
      </c>
      <c r="O25" s="104">
        <f t="shared" si="5"/>
        <v>-0.1003484848</v>
      </c>
      <c r="P25" s="103">
        <f t="shared" si="6"/>
        <v>927220</v>
      </c>
      <c r="Q25" s="104">
        <f t="shared" si="7"/>
        <v>0.111541506</v>
      </c>
      <c r="R25" s="105"/>
      <c r="S25" s="10"/>
      <c r="T25" s="3"/>
      <c r="U25" s="3"/>
      <c r="V25" s="3"/>
      <c r="W25" s="3"/>
      <c r="X25" s="3"/>
      <c r="Y25" s="3"/>
      <c r="Z25" s="3"/>
    </row>
    <row r="26" ht="15.75" customHeight="1">
      <c r="A26" s="10"/>
      <c r="B26" s="10"/>
      <c r="C26" s="10"/>
      <c r="D26" s="10"/>
      <c r="E26" s="10"/>
      <c r="F26" s="10"/>
      <c r="G26" s="106"/>
      <c r="H26" s="10"/>
      <c r="I26" s="103" t="str">
        <f t="shared" si="2"/>
        <v/>
      </c>
      <c r="J26" s="103" t="str">
        <f t="shared" si="3"/>
        <v/>
      </c>
      <c r="K26" s="104" t="str">
        <f t="shared" si="4"/>
        <v/>
      </c>
      <c r="L26" s="10"/>
      <c r="M26" s="10"/>
      <c r="N26" s="10"/>
      <c r="O26" s="104" t="str">
        <f t="shared" si="5"/>
        <v/>
      </c>
      <c r="P26" s="103" t="str">
        <f t="shared" si="6"/>
        <v/>
      </c>
      <c r="Q26" s="104" t="str">
        <f t="shared" si="7"/>
        <v/>
      </c>
      <c r="R26" s="107"/>
      <c r="S26" s="10"/>
      <c r="T26" s="3"/>
      <c r="U26" s="3"/>
      <c r="V26" s="3"/>
      <c r="W26" s="3"/>
      <c r="X26" s="3"/>
      <c r="Y26" s="3"/>
      <c r="Z26" s="3"/>
    </row>
    <row r="27" ht="15.75" customHeight="1">
      <c r="A27" s="10"/>
      <c r="B27" s="10"/>
      <c r="C27" s="10"/>
      <c r="D27" s="10"/>
      <c r="E27" s="10"/>
      <c r="F27" s="10"/>
      <c r="G27" s="106"/>
      <c r="H27" s="10"/>
      <c r="I27" s="103" t="str">
        <f t="shared" si="2"/>
        <v/>
      </c>
      <c r="J27" s="103" t="str">
        <f t="shared" si="3"/>
        <v/>
      </c>
      <c r="K27" s="104" t="str">
        <f t="shared" si="4"/>
        <v/>
      </c>
      <c r="L27" s="10"/>
      <c r="M27" s="10"/>
      <c r="N27" s="10"/>
      <c r="O27" s="104" t="str">
        <f t="shared" si="5"/>
        <v/>
      </c>
      <c r="P27" s="103" t="str">
        <f t="shared" si="6"/>
        <v/>
      </c>
      <c r="Q27" s="104" t="str">
        <f t="shared" si="7"/>
        <v/>
      </c>
      <c r="R27" s="107"/>
      <c r="S27" s="10"/>
      <c r="T27" s="3"/>
      <c r="U27" s="3"/>
      <c r="V27" s="3"/>
      <c r="W27" s="3"/>
      <c r="X27" s="3"/>
      <c r="Y27" s="3"/>
      <c r="Z27" s="3"/>
    </row>
    <row r="28" ht="15.75" customHeight="1">
      <c r="A28" s="10"/>
      <c r="B28" s="10"/>
      <c r="C28" s="10"/>
      <c r="D28" s="10"/>
      <c r="E28" s="10"/>
      <c r="F28" s="10"/>
      <c r="G28" s="106"/>
      <c r="H28" s="10"/>
      <c r="I28" s="103" t="str">
        <f t="shared" si="2"/>
        <v/>
      </c>
      <c r="J28" s="103" t="str">
        <f t="shared" si="3"/>
        <v/>
      </c>
      <c r="K28" s="104" t="str">
        <f t="shared" si="4"/>
        <v/>
      </c>
      <c r="L28" s="10"/>
      <c r="M28" s="10"/>
      <c r="N28" s="10"/>
      <c r="O28" s="104" t="str">
        <f t="shared" si="5"/>
        <v/>
      </c>
      <c r="P28" s="103" t="str">
        <f t="shared" si="6"/>
        <v/>
      </c>
      <c r="Q28" s="104" t="str">
        <f t="shared" si="7"/>
        <v/>
      </c>
      <c r="R28" s="107"/>
      <c r="S28" s="10"/>
      <c r="T28" s="3"/>
      <c r="U28" s="3"/>
      <c r="V28" s="3"/>
      <c r="W28" s="3"/>
      <c r="X28" s="3"/>
      <c r="Y28" s="3"/>
      <c r="Z28" s="3"/>
    </row>
    <row r="29" ht="15.75" customHeight="1">
      <c r="A29" s="10"/>
      <c r="B29" s="10"/>
      <c r="C29" s="10"/>
      <c r="D29" s="10"/>
      <c r="E29" s="10"/>
      <c r="F29" s="10"/>
      <c r="G29" s="106"/>
      <c r="H29" s="10"/>
      <c r="I29" s="103" t="str">
        <f t="shared" si="2"/>
        <v/>
      </c>
      <c r="J29" s="103" t="str">
        <f t="shared" si="3"/>
        <v/>
      </c>
      <c r="K29" s="104" t="str">
        <f t="shared" si="4"/>
        <v/>
      </c>
      <c r="L29" s="10"/>
      <c r="M29" s="10"/>
      <c r="N29" s="10"/>
      <c r="O29" s="104" t="str">
        <f t="shared" si="5"/>
        <v/>
      </c>
      <c r="P29" s="103" t="str">
        <f t="shared" si="6"/>
        <v/>
      </c>
      <c r="Q29" s="104" t="str">
        <f t="shared" si="7"/>
        <v/>
      </c>
      <c r="R29" s="107"/>
      <c r="S29" s="10"/>
      <c r="T29" s="3"/>
      <c r="U29" s="3"/>
      <c r="V29" s="3"/>
      <c r="W29" s="3"/>
      <c r="X29" s="3"/>
      <c r="Y29" s="3"/>
      <c r="Z29" s="3"/>
    </row>
    <row r="30" ht="15.75" customHeight="1">
      <c r="A30" s="10"/>
      <c r="B30" s="10"/>
      <c r="C30" s="10"/>
      <c r="D30" s="10"/>
      <c r="E30" s="10"/>
      <c r="F30" s="10"/>
      <c r="G30" s="106"/>
      <c r="H30" s="10"/>
      <c r="I30" s="103" t="str">
        <f t="shared" si="2"/>
        <v/>
      </c>
      <c r="J30" s="103" t="str">
        <f t="shared" si="3"/>
        <v/>
      </c>
      <c r="K30" s="104" t="str">
        <f t="shared" si="4"/>
        <v/>
      </c>
      <c r="L30" s="10"/>
      <c r="M30" s="10"/>
      <c r="N30" s="10"/>
      <c r="O30" s="104" t="str">
        <f t="shared" si="5"/>
        <v/>
      </c>
      <c r="P30" s="103" t="str">
        <f t="shared" si="6"/>
        <v/>
      </c>
      <c r="Q30" s="104" t="str">
        <f t="shared" si="7"/>
        <v/>
      </c>
      <c r="R30" s="107"/>
      <c r="S30" s="10"/>
      <c r="T30" s="3"/>
      <c r="U30" s="3"/>
      <c r="V30" s="3"/>
      <c r="W30" s="3"/>
      <c r="X30" s="3"/>
      <c r="Y30" s="3"/>
      <c r="Z30" s="3"/>
    </row>
    <row r="31" ht="15.75" customHeight="1">
      <c r="A31" s="10"/>
      <c r="B31" s="10"/>
      <c r="C31" s="10"/>
      <c r="D31" s="10"/>
      <c r="E31" s="10"/>
      <c r="F31" s="10"/>
      <c r="G31" s="106"/>
      <c r="H31" s="10"/>
      <c r="I31" s="103" t="str">
        <f t="shared" si="2"/>
        <v/>
      </c>
      <c r="J31" s="103" t="str">
        <f t="shared" si="3"/>
        <v/>
      </c>
      <c r="K31" s="104" t="str">
        <f t="shared" si="4"/>
        <v/>
      </c>
      <c r="L31" s="10"/>
      <c r="M31" s="10"/>
      <c r="N31" s="10"/>
      <c r="O31" s="104" t="str">
        <f t="shared" si="5"/>
        <v/>
      </c>
      <c r="P31" s="103" t="str">
        <f t="shared" si="6"/>
        <v/>
      </c>
      <c r="Q31" s="104" t="str">
        <f t="shared" si="7"/>
        <v/>
      </c>
      <c r="R31" s="107"/>
      <c r="S31" s="10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53" t="s">
        <v>285</v>
      </c>
      <c r="C32" s="3"/>
      <c r="D32" s="3"/>
      <c r="E32" s="3"/>
      <c r="F32" s="3"/>
      <c r="G32" s="3"/>
      <c r="H32" s="3"/>
      <c r="I32" s="94">
        <f t="shared" ref="I32:K32" si="8">SUM(I17:I31)</f>
        <v>837047857</v>
      </c>
      <c r="J32" s="94">
        <f t="shared" si="8"/>
        <v>1079147857</v>
      </c>
      <c r="K32" s="108">
        <f t="shared" si="8"/>
        <v>1.289230775</v>
      </c>
      <c r="L32" s="3"/>
      <c r="M32" s="3"/>
      <c r="N32" s="3"/>
      <c r="O32" s="109">
        <f>COUNTIF(O17:O31,"&gt;0")</f>
        <v>7</v>
      </c>
      <c r="P32" s="94">
        <f>SUM(P17:P31)</f>
        <v>14882271</v>
      </c>
      <c r="Q32" s="91" t="s">
        <v>286</v>
      </c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2" t="s">
        <v>287</v>
      </c>
      <c r="B34" s="20"/>
      <c r="C34" s="2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288</v>
      </c>
      <c r="B35" s="4" t="s">
        <v>289</v>
      </c>
      <c r="C35" s="4" t="s">
        <v>290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10" t="s">
        <v>291</v>
      </c>
      <c r="B36" s="111">
        <f>I32</f>
        <v>837047857</v>
      </c>
      <c r="C36" s="112" t="s">
        <v>292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10" t="s">
        <v>293</v>
      </c>
      <c r="B37" s="111">
        <f>J32</f>
        <v>1079147857</v>
      </c>
      <c r="C37" s="112" t="s">
        <v>294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10" t="s">
        <v>295</v>
      </c>
      <c r="B38" s="111">
        <f>B9</f>
        <v>2471304</v>
      </c>
      <c r="C38" s="112" t="s">
        <v>296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10" t="s">
        <v>297</v>
      </c>
      <c r="B39" s="111">
        <f>B36+B38</f>
        <v>839519161</v>
      </c>
      <c r="C39" s="112" t="s">
        <v>298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10" t="s">
        <v>299</v>
      </c>
      <c r="B40" s="111">
        <f>C9</f>
        <v>478436585</v>
      </c>
      <c r="C40" s="11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10" t="s">
        <v>300</v>
      </c>
      <c r="B41" s="111">
        <f>B39-B40</f>
        <v>361082576</v>
      </c>
      <c r="C41" s="112" t="s">
        <v>95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10" t="s">
        <v>197</v>
      </c>
      <c r="B42" s="111">
        <f>B12</f>
        <v>240000000</v>
      </c>
      <c r="C42" s="112" t="s">
        <v>301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10" t="s">
        <v>302</v>
      </c>
      <c r="B43" s="111">
        <f>B41-B42</f>
        <v>121082576</v>
      </c>
      <c r="C43" s="112" t="s">
        <v>303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10" t="s">
        <v>304</v>
      </c>
      <c r="B44" s="111">
        <f>B37-B36</f>
        <v>242100000</v>
      </c>
      <c r="C44" s="112" t="s">
        <v>305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10" t="s">
        <v>306</v>
      </c>
      <c r="B45" s="111">
        <f>B40+B44</f>
        <v>720536585</v>
      </c>
      <c r="C45" s="11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10" t="s">
        <v>307</v>
      </c>
      <c r="B46" s="111">
        <f>SUMIFS(I17:I31,C17:C31,"국장")+B6</f>
        <v>760373938</v>
      </c>
      <c r="C46" s="112" t="s">
        <v>308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10" t="s">
        <v>309</v>
      </c>
      <c r="B47" s="111">
        <f>SUMIFS(J17:J31,C17:C31,"국장")</f>
        <v>977860000</v>
      </c>
      <c r="C47" s="1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2" t="s">
        <v>310</v>
      </c>
      <c r="B49" s="20"/>
      <c r="C49" s="2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311</v>
      </c>
      <c r="B50" s="4" t="s">
        <v>289</v>
      </c>
      <c r="C50" s="4" t="s">
        <v>290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10" t="s">
        <v>312</v>
      </c>
      <c r="B51" s="113">
        <f>IFERROR($B$46/$C$6,"")</f>
        <v>1.589288867</v>
      </c>
      <c r="C51" s="112" t="s">
        <v>313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10" t="s">
        <v>314</v>
      </c>
      <c r="B52" s="114">
        <f>IFERROR(($B$46-$C$6*$B$13)/$B$47,"")</f>
        <v>0.09261317469</v>
      </c>
      <c r="C52" s="112" t="s">
        <v>315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10" t="s">
        <v>316</v>
      </c>
      <c r="B53" s="115">
        <f>IFERROR($B$37/$B$41,"")</f>
        <v>2.988645614</v>
      </c>
      <c r="C53" s="112" t="s">
        <v>317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10" t="s">
        <v>318</v>
      </c>
      <c r="B54" s="115">
        <f>IFERROR($B$37/$B$43,"")</f>
        <v>8.912495031</v>
      </c>
      <c r="C54" s="112" t="s">
        <v>319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10" t="s">
        <v>320</v>
      </c>
      <c r="B55" s="114">
        <f>IFERROR($B$45/$B$37,"")</f>
        <v>0.6676903265</v>
      </c>
      <c r="C55" s="112" t="s">
        <v>321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10" t="s">
        <v>84</v>
      </c>
      <c r="B56" s="114">
        <f>IFERROR($B$38/($B$37+$B$38),"")</f>
        <v>0.002284818991</v>
      </c>
      <c r="C56" s="112" t="s">
        <v>322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10" t="s">
        <v>323</v>
      </c>
      <c r="B57" s="116">
        <f>COUNTA(B17:B31)</f>
        <v>9</v>
      </c>
      <c r="C57" s="11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10" t="s">
        <v>324</v>
      </c>
      <c r="B58" s="114">
        <f>IFERROR(MAX(K17:K31),"")</f>
        <v>0.2835680159</v>
      </c>
      <c r="C58" s="11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10" t="s">
        <v>325</v>
      </c>
      <c r="B59" s="114">
        <f>IFERROR(MAX(B67:B77),"")</f>
        <v>0.9451048347</v>
      </c>
      <c r="C59" s="112" t="s">
        <v>326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10" t="s">
        <v>327</v>
      </c>
      <c r="B60" s="116">
        <f>COUNTA(B17:B31)-COUNT(N17:N31)</f>
        <v>0</v>
      </c>
      <c r="C60" s="11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10" t="s">
        <v>328</v>
      </c>
      <c r="B61" s="116">
        <f>O32</f>
        <v>7</v>
      </c>
      <c r="C61" s="112" t="s">
        <v>329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10" t="s">
        <v>330</v>
      </c>
      <c r="B62" s="116">
        <f>COUNTIF(M17:M31,"Y")</f>
        <v>6</v>
      </c>
      <c r="C62" s="11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10" t="s">
        <v>331</v>
      </c>
      <c r="B63" s="111">
        <f>IF($B$60&gt;0,"",IFERROR(P32,""))</f>
        <v>14882271</v>
      </c>
      <c r="C63" s="112" t="s">
        <v>332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10" t="s">
        <v>333</v>
      </c>
      <c r="B64" s="114">
        <f>IF($B$60&gt;0,"",IFERROR(P32/$B$43,""))</f>
        <v>0.1229100957</v>
      </c>
      <c r="C64" s="112" t="s">
        <v>335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10" t="s">
        <v>191</v>
      </c>
      <c r="B65" s="115">
        <f>IFERROR($B$45/$B$14,"")</f>
        <v>9.006707313</v>
      </c>
      <c r="C65" s="112" t="s">
        <v>336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2" t="s">
        <v>337</v>
      </c>
      <c r="B66" s="20"/>
      <c r="C66" s="2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10" t="s">
        <v>268</v>
      </c>
      <c r="B67" s="104">
        <f t="shared" ref="B67:B77" si="9">IFERROR(SUMIFS($J$17:$J$31,$L$17:$L$31,A67)/$B$37,"")</f>
        <v>0.9451048347</v>
      </c>
      <c r="C67" s="103">
        <f t="shared" ref="C67:C77" si="10">SUMIFS($J$17:$J$31,$L$17:$L$31,A67)</f>
        <v>1019907857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10" t="s">
        <v>283</v>
      </c>
      <c r="B68" s="104">
        <f t="shared" si="9"/>
        <v>0.0463328539</v>
      </c>
      <c r="C68" s="103">
        <f t="shared" si="10"/>
        <v>50000000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10" t="s">
        <v>284</v>
      </c>
      <c r="B69" s="104">
        <f t="shared" si="9"/>
        <v>0.008562311402</v>
      </c>
      <c r="C69" s="103">
        <f t="shared" si="10"/>
        <v>9240000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10" t="s">
        <v>338</v>
      </c>
      <c r="B70" s="104">
        <f t="shared" si="9"/>
        <v>0</v>
      </c>
      <c r="C70" s="103">
        <f t="shared" si="10"/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10" t="s">
        <v>339</v>
      </c>
      <c r="B71" s="104">
        <f t="shared" si="9"/>
        <v>0</v>
      </c>
      <c r="C71" s="103">
        <f t="shared" si="10"/>
        <v>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10" t="s">
        <v>340</v>
      </c>
      <c r="B72" s="104">
        <f t="shared" si="9"/>
        <v>0</v>
      </c>
      <c r="C72" s="103">
        <f t="shared" si="10"/>
        <v>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10" t="s">
        <v>341</v>
      </c>
      <c r="B73" s="104">
        <f t="shared" si="9"/>
        <v>0</v>
      </c>
      <c r="C73" s="103">
        <f t="shared" si="10"/>
        <v>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10" t="s">
        <v>342</v>
      </c>
      <c r="B74" s="104">
        <f t="shared" si="9"/>
        <v>0</v>
      </c>
      <c r="C74" s="103">
        <f t="shared" si="10"/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10" t="s">
        <v>343</v>
      </c>
      <c r="B75" s="104">
        <f t="shared" si="9"/>
        <v>0</v>
      </c>
      <c r="C75" s="103">
        <f t="shared" si="10"/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10" t="s">
        <v>344</v>
      </c>
      <c r="B76" s="104">
        <f t="shared" si="9"/>
        <v>0</v>
      </c>
      <c r="C76" s="103">
        <f t="shared" si="10"/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10" t="s">
        <v>345</v>
      </c>
      <c r="B77" s="104">
        <f t="shared" si="9"/>
        <v>0</v>
      </c>
      <c r="C77" s="103">
        <f t="shared" si="10"/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autoFilter ref="$A$16:$S$25">
    <sortState ref="A16:S25">
      <sortCondition descending="1" ref="I16:I25"/>
    </sortState>
  </autoFilter>
  <mergeCells count="7">
    <mergeCell ref="A1:S1"/>
    <mergeCell ref="A4:D4"/>
    <mergeCell ref="A11:D11"/>
    <mergeCell ref="A15:S15"/>
    <mergeCell ref="A34:C34"/>
    <mergeCell ref="A49:C49"/>
    <mergeCell ref="A66:C66"/>
  </mergeCells>
  <dataValidations>
    <dataValidation type="list" allowBlank="1" sqref="C17:C31">
      <formula1>"국장,미장,ISA"</formula1>
    </dataValidation>
    <dataValidation type="list" allowBlank="1" sqref="M17:M31 S17:S31">
      <formula1>"Y,N"</formula1>
    </dataValidation>
    <dataValidation type="list" allowBlank="1" sqref="D17:D31">
      <formula1>"KRW,USD"</formula1>
    </dataValidation>
    <dataValidation type="list" allowBlank="1" sqref="L17:L31">
      <formula1>"반도체/HW,로봇/피지컬AI,AI/데이터센터,금융/밸류업,에너지/전력,빅테크S/W,건설/재건,소비재/문화,방산,채권/현금성,기타"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6.0"/>
    <col customWidth="1" min="3" max="3" width="9.0"/>
    <col customWidth="1" min="4" max="4" width="11.0"/>
    <col customWidth="1" min="5" max="5" width="10.0"/>
    <col customWidth="1" min="6" max="6" width="12.0"/>
    <col customWidth="1" min="7" max="7" width="15.0"/>
    <col customWidth="1" min="8" max="8" width="9.0"/>
    <col customWidth="1" min="9" max="10" width="32.0"/>
    <col customWidth="1" min="11" max="11" width="14.0"/>
    <col customWidth="1" min="12" max="12" width="10.0"/>
    <col customWidth="1" min="13" max="13" width="15.0"/>
    <col customWidth="1" min="14" max="14" width="38.0"/>
  </cols>
  <sheetData>
    <row r="1">
      <c r="A1" s="19" t="s">
        <v>347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1" t="s">
        <v>348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</v>
      </c>
      <c r="B4" s="4" t="s">
        <v>349</v>
      </c>
      <c r="C4" s="4" t="s">
        <v>109</v>
      </c>
      <c r="D4" s="4" t="s">
        <v>288</v>
      </c>
      <c r="E4" s="4" t="s">
        <v>250</v>
      </c>
      <c r="F4" s="4" t="s">
        <v>350</v>
      </c>
      <c r="G4" s="4" t="s">
        <v>351</v>
      </c>
      <c r="H4" s="4" t="s">
        <v>352</v>
      </c>
      <c r="I4" s="4" t="s">
        <v>353</v>
      </c>
      <c r="J4" s="4" t="s">
        <v>354</v>
      </c>
      <c r="K4" s="4" t="s">
        <v>355</v>
      </c>
      <c r="L4" s="4" t="s">
        <v>356</v>
      </c>
      <c r="M4" s="4" t="s">
        <v>357</v>
      </c>
      <c r="N4" s="4" t="s">
        <v>358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117">
        <v>45985.0</v>
      </c>
      <c r="B5" s="118" t="s">
        <v>266</v>
      </c>
      <c r="C5" s="118" t="s">
        <v>117</v>
      </c>
      <c r="D5" s="118" t="s">
        <v>359</v>
      </c>
      <c r="E5" s="119">
        <v>150.0</v>
      </c>
      <c r="F5" s="120">
        <v>530000.0</v>
      </c>
      <c r="G5" s="121">
        <f t="shared" ref="G5:G204" si="1">IF(OR(E5="",F5=""),"",E5*F5)</f>
        <v>79500000</v>
      </c>
      <c r="H5" s="118" t="s">
        <v>280</v>
      </c>
      <c r="I5" s="122" t="s">
        <v>364</v>
      </c>
      <c r="J5" s="122" t="s">
        <v>367</v>
      </c>
      <c r="K5" s="118" t="s">
        <v>371</v>
      </c>
      <c r="L5" s="118" t="s">
        <v>372</v>
      </c>
      <c r="M5" s="123"/>
      <c r="N5" s="122" t="s">
        <v>373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3.75" customHeight="1">
      <c r="A6" s="117">
        <v>46234.0</v>
      </c>
      <c r="B6" s="118" t="s">
        <v>374</v>
      </c>
      <c r="C6" s="118" t="s">
        <v>117</v>
      </c>
      <c r="D6" s="118" t="s">
        <v>375</v>
      </c>
      <c r="E6" s="119">
        <v>100.0</v>
      </c>
      <c r="F6" s="120">
        <v>50000.0</v>
      </c>
      <c r="G6" s="121">
        <f t="shared" si="1"/>
        <v>5000000</v>
      </c>
      <c r="H6" s="118" t="s">
        <v>269</v>
      </c>
      <c r="I6" s="122" t="s">
        <v>376</v>
      </c>
      <c r="J6" s="122" t="s">
        <v>377</v>
      </c>
      <c r="K6" s="118" t="s">
        <v>378</v>
      </c>
      <c r="L6" s="118"/>
      <c r="M6" s="123">
        <v>-800000.0</v>
      </c>
      <c r="N6" s="122" t="s">
        <v>379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4"/>
      <c r="B7" s="125"/>
      <c r="C7" s="125"/>
      <c r="D7" s="125"/>
      <c r="E7" s="126"/>
      <c r="F7" s="127"/>
      <c r="G7" s="121" t="str">
        <f t="shared" si="1"/>
        <v/>
      </c>
      <c r="H7" s="125"/>
      <c r="I7" s="128"/>
      <c r="J7" s="128"/>
      <c r="K7" s="125"/>
      <c r="L7" s="125"/>
      <c r="M7" s="95"/>
      <c r="N7" s="128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4"/>
      <c r="B8" s="125"/>
      <c r="C8" s="125"/>
      <c r="D8" s="125"/>
      <c r="E8" s="126"/>
      <c r="F8" s="127"/>
      <c r="G8" s="121" t="str">
        <f t="shared" si="1"/>
        <v/>
      </c>
      <c r="H8" s="125"/>
      <c r="I8" s="128"/>
      <c r="J8" s="128"/>
      <c r="K8" s="125"/>
      <c r="L8" s="125"/>
      <c r="M8" s="95"/>
      <c r="N8" s="128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4"/>
      <c r="B9" s="125"/>
      <c r="C9" s="125"/>
      <c r="D9" s="125"/>
      <c r="E9" s="126"/>
      <c r="F9" s="127"/>
      <c r="G9" s="121" t="str">
        <f t="shared" si="1"/>
        <v/>
      </c>
      <c r="H9" s="125"/>
      <c r="I9" s="128"/>
      <c r="J9" s="128"/>
      <c r="K9" s="125"/>
      <c r="L9" s="125"/>
      <c r="M9" s="95"/>
      <c r="N9" s="128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4"/>
      <c r="B10" s="125"/>
      <c r="C10" s="125"/>
      <c r="D10" s="125"/>
      <c r="E10" s="126"/>
      <c r="F10" s="127"/>
      <c r="G10" s="121" t="str">
        <f t="shared" si="1"/>
        <v/>
      </c>
      <c r="H10" s="125"/>
      <c r="I10" s="128"/>
      <c r="J10" s="128"/>
      <c r="K10" s="125"/>
      <c r="L10" s="125"/>
      <c r="M10" s="95"/>
      <c r="N10" s="128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4"/>
      <c r="B11" s="125"/>
      <c r="C11" s="125"/>
      <c r="D11" s="125"/>
      <c r="E11" s="126"/>
      <c r="F11" s="127"/>
      <c r="G11" s="121" t="str">
        <f t="shared" si="1"/>
        <v/>
      </c>
      <c r="H11" s="125"/>
      <c r="I11" s="128"/>
      <c r="J11" s="128"/>
      <c r="K11" s="125"/>
      <c r="L11" s="125"/>
      <c r="M11" s="95"/>
      <c r="N11" s="128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4"/>
      <c r="B12" s="125"/>
      <c r="C12" s="125"/>
      <c r="D12" s="125"/>
      <c r="E12" s="126"/>
      <c r="F12" s="127"/>
      <c r="G12" s="121" t="str">
        <f t="shared" si="1"/>
        <v/>
      </c>
      <c r="H12" s="125"/>
      <c r="I12" s="128"/>
      <c r="J12" s="128"/>
      <c r="K12" s="125"/>
      <c r="L12" s="125"/>
      <c r="M12" s="95"/>
      <c r="N12" s="12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4"/>
      <c r="B13" s="125"/>
      <c r="C13" s="125"/>
      <c r="D13" s="125"/>
      <c r="E13" s="126"/>
      <c r="F13" s="127"/>
      <c r="G13" s="121" t="str">
        <f t="shared" si="1"/>
        <v/>
      </c>
      <c r="H13" s="125"/>
      <c r="I13" s="128"/>
      <c r="J13" s="128"/>
      <c r="K13" s="125"/>
      <c r="L13" s="125"/>
      <c r="M13" s="95"/>
      <c r="N13" s="128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4"/>
      <c r="B14" s="125"/>
      <c r="C14" s="125"/>
      <c r="D14" s="125"/>
      <c r="E14" s="126"/>
      <c r="F14" s="127"/>
      <c r="G14" s="121" t="str">
        <f t="shared" si="1"/>
        <v/>
      </c>
      <c r="H14" s="125"/>
      <c r="I14" s="128"/>
      <c r="J14" s="128"/>
      <c r="K14" s="125"/>
      <c r="L14" s="125"/>
      <c r="M14" s="95"/>
      <c r="N14" s="12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4"/>
      <c r="B15" s="125"/>
      <c r="C15" s="125"/>
      <c r="D15" s="125"/>
      <c r="E15" s="126"/>
      <c r="F15" s="127"/>
      <c r="G15" s="121" t="str">
        <f t="shared" si="1"/>
        <v/>
      </c>
      <c r="H15" s="125"/>
      <c r="I15" s="128"/>
      <c r="J15" s="128"/>
      <c r="K15" s="125"/>
      <c r="L15" s="125"/>
      <c r="M15" s="95"/>
      <c r="N15" s="128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4"/>
      <c r="B16" s="125"/>
      <c r="C16" s="125"/>
      <c r="D16" s="125"/>
      <c r="E16" s="126"/>
      <c r="F16" s="127"/>
      <c r="G16" s="121" t="str">
        <f t="shared" si="1"/>
        <v/>
      </c>
      <c r="H16" s="125"/>
      <c r="I16" s="128"/>
      <c r="J16" s="128"/>
      <c r="K16" s="125"/>
      <c r="L16" s="125"/>
      <c r="M16" s="95"/>
      <c r="N16" s="128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4"/>
      <c r="B17" s="125"/>
      <c r="C17" s="125"/>
      <c r="D17" s="125"/>
      <c r="E17" s="126"/>
      <c r="F17" s="127"/>
      <c r="G17" s="121" t="str">
        <f t="shared" si="1"/>
        <v/>
      </c>
      <c r="H17" s="125"/>
      <c r="I17" s="128"/>
      <c r="J17" s="128"/>
      <c r="K17" s="125"/>
      <c r="L17" s="125"/>
      <c r="M17" s="95"/>
      <c r="N17" s="128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4"/>
      <c r="B18" s="125"/>
      <c r="C18" s="125"/>
      <c r="D18" s="125"/>
      <c r="E18" s="126"/>
      <c r="F18" s="127"/>
      <c r="G18" s="121" t="str">
        <f t="shared" si="1"/>
        <v/>
      </c>
      <c r="H18" s="125"/>
      <c r="I18" s="128"/>
      <c r="J18" s="128"/>
      <c r="K18" s="125"/>
      <c r="L18" s="125"/>
      <c r="M18" s="95"/>
      <c r="N18" s="128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4"/>
      <c r="B19" s="125"/>
      <c r="C19" s="125"/>
      <c r="D19" s="125"/>
      <c r="E19" s="126"/>
      <c r="F19" s="127"/>
      <c r="G19" s="121" t="str">
        <f t="shared" si="1"/>
        <v/>
      </c>
      <c r="H19" s="125"/>
      <c r="I19" s="128"/>
      <c r="J19" s="128"/>
      <c r="K19" s="125"/>
      <c r="L19" s="125"/>
      <c r="M19" s="95"/>
      <c r="N19" s="128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4"/>
      <c r="B20" s="125"/>
      <c r="C20" s="125"/>
      <c r="D20" s="125"/>
      <c r="E20" s="126"/>
      <c r="F20" s="127"/>
      <c r="G20" s="121" t="str">
        <f t="shared" si="1"/>
        <v/>
      </c>
      <c r="H20" s="125"/>
      <c r="I20" s="128"/>
      <c r="J20" s="128"/>
      <c r="K20" s="125"/>
      <c r="L20" s="125"/>
      <c r="M20" s="95"/>
      <c r="N20" s="128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24"/>
      <c r="B21" s="125"/>
      <c r="C21" s="125"/>
      <c r="D21" s="125"/>
      <c r="E21" s="126"/>
      <c r="F21" s="127"/>
      <c r="G21" s="121" t="str">
        <f t="shared" si="1"/>
        <v/>
      </c>
      <c r="H21" s="125"/>
      <c r="I21" s="128"/>
      <c r="J21" s="128"/>
      <c r="K21" s="125"/>
      <c r="L21" s="125"/>
      <c r="M21" s="95"/>
      <c r="N21" s="128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24"/>
      <c r="B22" s="125"/>
      <c r="C22" s="125"/>
      <c r="D22" s="125"/>
      <c r="E22" s="126"/>
      <c r="F22" s="127"/>
      <c r="G22" s="121" t="str">
        <f t="shared" si="1"/>
        <v/>
      </c>
      <c r="H22" s="125"/>
      <c r="I22" s="128"/>
      <c r="J22" s="128"/>
      <c r="K22" s="125"/>
      <c r="L22" s="125"/>
      <c r="M22" s="95"/>
      <c r="N22" s="128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24"/>
      <c r="B23" s="125"/>
      <c r="C23" s="125"/>
      <c r="D23" s="125"/>
      <c r="E23" s="126"/>
      <c r="F23" s="127"/>
      <c r="G23" s="121" t="str">
        <f t="shared" si="1"/>
        <v/>
      </c>
      <c r="H23" s="125"/>
      <c r="I23" s="128"/>
      <c r="J23" s="128"/>
      <c r="K23" s="125"/>
      <c r="L23" s="125"/>
      <c r="M23" s="95"/>
      <c r="N23" s="128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24"/>
      <c r="B24" s="125"/>
      <c r="C24" s="125"/>
      <c r="D24" s="125"/>
      <c r="E24" s="126"/>
      <c r="F24" s="127"/>
      <c r="G24" s="121" t="str">
        <f t="shared" si="1"/>
        <v/>
      </c>
      <c r="H24" s="125"/>
      <c r="I24" s="128"/>
      <c r="J24" s="128"/>
      <c r="K24" s="125"/>
      <c r="L24" s="125"/>
      <c r="M24" s="95"/>
      <c r="N24" s="128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24"/>
      <c r="B25" s="125"/>
      <c r="C25" s="125"/>
      <c r="D25" s="125"/>
      <c r="E25" s="126"/>
      <c r="F25" s="127"/>
      <c r="G25" s="121" t="str">
        <f t="shared" si="1"/>
        <v/>
      </c>
      <c r="H25" s="125"/>
      <c r="I25" s="128"/>
      <c r="J25" s="128"/>
      <c r="K25" s="125"/>
      <c r="L25" s="125"/>
      <c r="M25" s="95"/>
      <c r="N25" s="128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24"/>
      <c r="B26" s="125"/>
      <c r="C26" s="125"/>
      <c r="D26" s="125"/>
      <c r="E26" s="126"/>
      <c r="F26" s="127"/>
      <c r="G26" s="121" t="str">
        <f t="shared" si="1"/>
        <v/>
      </c>
      <c r="H26" s="125"/>
      <c r="I26" s="128"/>
      <c r="J26" s="128"/>
      <c r="K26" s="125"/>
      <c r="L26" s="125"/>
      <c r="M26" s="95"/>
      <c r="N26" s="128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24"/>
      <c r="B27" s="125"/>
      <c r="C27" s="125"/>
      <c r="D27" s="125"/>
      <c r="E27" s="126"/>
      <c r="F27" s="127"/>
      <c r="G27" s="121" t="str">
        <f t="shared" si="1"/>
        <v/>
      </c>
      <c r="H27" s="125"/>
      <c r="I27" s="128"/>
      <c r="J27" s="128"/>
      <c r="K27" s="125"/>
      <c r="L27" s="125"/>
      <c r="M27" s="95"/>
      <c r="N27" s="12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24"/>
      <c r="B28" s="125"/>
      <c r="C28" s="125"/>
      <c r="D28" s="125"/>
      <c r="E28" s="126"/>
      <c r="F28" s="127"/>
      <c r="G28" s="121" t="str">
        <f t="shared" si="1"/>
        <v/>
      </c>
      <c r="H28" s="125"/>
      <c r="I28" s="128"/>
      <c r="J28" s="128"/>
      <c r="K28" s="125"/>
      <c r="L28" s="125"/>
      <c r="M28" s="95"/>
      <c r="N28" s="128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24"/>
      <c r="B29" s="125"/>
      <c r="C29" s="125"/>
      <c r="D29" s="125"/>
      <c r="E29" s="126"/>
      <c r="F29" s="127"/>
      <c r="G29" s="121" t="str">
        <f t="shared" si="1"/>
        <v/>
      </c>
      <c r="H29" s="125"/>
      <c r="I29" s="128"/>
      <c r="J29" s="128"/>
      <c r="K29" s="125"/>
      <c r="L29" s="125"/>
      <c r="M29" s="95"/>
      <c r="N29" s="128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24"/>
      <c r="B30" s="125"/>
      <c r="C30" s="125"/>
      <c r="D30" s="125"/>
      <c r="E30" s="126"/>
      <c r="F30" s="127"/>
      <c r="G30" s="121" t="str">
        <f t="shared" si="1"/>
        <v/>
      </c>
      <c r="H30" s="125"/>
      <c r="I30" s="128"/>
      <c r="J30" s="128"/>
      <c r="K30" s="125"/>
      <c r="L30" s="125"/>
      <c r="M30" s="95"/>
      <c r="N30" s="128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24"/>
      <c r="B31" s="125"/>
      <c r="C31" s="125"/>
      <c r="D31" s="125"/>
      <c r="E31" s="126"/>
      <c r="F31" s="127"/>
      <c r="G31" s="121" t="str">
        <f t="shared" si="1"/>
        <v/>
      </c>
      <c r="H31" s="125"/>
      <c r="I31" s="128"/>
      <c r="J31" s="128"/>
      <c r="K31" s="125"/>
      <c r="L31" s="125"/>
      <c r="M31" s="95"/>
      <c r="N31" s="128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24"/>
      <c r="B32" s="125"/>
      <c r="C32" s="125"/>
      <c r="D32" s="125"/>
      <c r="E32" s="126"/>
      <c r="F32" s="127"/>
      <c r="G32" s="121" t="str">
        <f t="shared" si="1"/>
        <v/>
      </c>
      <c r="H32" s="125"/>
      <c r="I32" s="128"/>
      <c r="J32" s="128"/>
      <c r="K32" s="125"/>
      <c r="L32" s="125"/>
      <c r="M32" s="95"/>
      <c r="N32" s="128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24"/>
      <c r="B33" s="125"/>
      <c r="C33" s="125"/>
      <c r="D33" s="125"/>
      <c r="E33" s="126"/>
      <c r="F33" s="127"/>
      <c r="G33" s="121" t="str">
        <f t="shared" si="1"/>
        <v/>
      </c>
      <c r="H33" s="125"/>
      <c r="I33" s="128"/>
      <c r="J33" s="128"/>
      <c r="K33" s="125"/>
      <c r="L33" s="125"/>
      <c r="M33" s="95"/>
      <c r="N33" s="128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24"/>
      <c r="B34" s="125"/>
      <c r="C34" s="125"/>
      <c r="D34" s="125"/>
      <c r="E34" s="126"/>
      <c r="F34" s="127"/>
      <c r="G34" s="121" t="str">
        <f t="shared" si="1"/>
        <v/>
      </c>
      <c r="H34" s="125"/>
      <c r="I34" s="128"/>
      <c r="J34" s="128"/>
      <c r="K34" s="125"/>
      <c r="L34" s="125"/>
      <c r="M34" s="95"/>
      <c r="N34" s="128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24"/>
      <c r="B35" s="125"/>
      <c r="C35" s="125"/>
      <c r="D35" s="125"/>
      <c r="E35" s="126"/>
      <c r="F35" s="127"/>
      <c r="G35" s="121" t="str">
        <f t="shared" si="1"/>
        <v/>
      </c>
      <c r="H35" s="125"/>
      <c r="I35" s="128"/>
      <c r="J35" s="128"/>
      <c r="K35" s="125"/>
      <c r="L35" s="125"/>
      <c r="M35" s="95"/>
      <c r="N35" s="128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24"/>
      <c r="B36" s="125"/>
      <c r="C36" s="125"/>
      <c r="D36" s="125"/>
      <c r="E36" s="126"/>
      <c r="F36" s="127"/>
      <c r="G36" s="121" t="str">
        <f t="shared" si="1"/>
        <v/>
      </c>
      <c r="H36" s="125"/>
      <c r="I36" s="128"/>
      <c r="J36" s="128"/>
      <c r="K36" s="125"/>
      <c r="L36" s="125"/>
      <c r="M36" s="95"/>
      <c r="N36" s="128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24"/>
      <c r="B37" s="125"/>
      <c r="C37" s="125"/>
      <c r="D37" s="125"/>
      <c r="E37" s="126"/>
      <c r="F37" s="127"/>
      <c r="G37" s="121" t="str">
        <f t="shared" si="1"/>
        <v/>
      </c>
      <c r="H37" s="125"/>
      <c r="I37" s="128"/>
      <c r="J37" s="128"/>
      <c r="K37" s="125"/>
      <c r="L37" s="125"/>
      <c r="M37" s="95"/>
      <c r="N37" s="128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24"/>
      <c r="B38" s="125"/>
      <c r="C38" s="125"/>
      <c r="D38" s="125"/>
      <c r="E38" s="126"/>
      <c r="F38" s="127"/>
      <c r="G38" s="121" t="str">
        <f t="shared" si="1"/>
        <v/>
      </c>
      <c r="H38" s="125"/>
      <c r="I38" s="128"/>
      <c r="J38" s="128"/>
      <c r="K38" s="125"/>
      <c r="L38" s="125"/>
      <c r="M38" s="95"/>
      <c r="N38" s="128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24"/>
      <c r="B39" s="125"/>
      <c r="C39" s="125"/>
      <c r="D39" s="125"/>
      <c r="E39" s="126"/>
      <c r="F39" s="127"/>
      <c r="G39" s="121" t="str">
        <f t="shared" si="1"/>
        <v/>
      </c>
      <c r="H39" s="125"/>
      <c r="I39" s="128"/>
      <c r="J39" s="128"/>
      <c r="K39" s="125"/>
      <c r="L39" s="125"/>
      <c r="M39" s="95"/>
      <c r="N39" s="128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24"/>
      <c r="B40" s="125"/>
      <c r="C40" s="125"/>
      <c r="D40" s="125"/>
      <c r="E40" s="126"/>
      <c r="F40" s="127"/>
      <c r="G40" s="121" t="str">
        <f t="shared" si="1"/>
        <v/>
      </c>
      <c r="H40" s="125"/>
      <c r="I40" s="128"/>
      <c r="J40" s="128"/>
      <c r="K40" s="125"/>
      <c r="L40" s="125"/>
      <c r="M40" s="95"/>
      <c r="N40" s="128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24"/>
      <c r="B41" s="125"/>
      <c r="C41" s="125"/>
      <c r="D41" s="125"/>
      <c r="E41" s="126"/>
      <c r="F41" s="127"/>
      <c r="G41" s="121" t="str">
        <f t="shared" si="1"/>
        <v/>
      </c>
      <c r="H41" s="125"/>
      <c r="I41" s="128"/>
      <c r="J41" s="128"/>
      <c r="K41" s="125"/>
      <c r="L41" s="125"/>
      <c r="M41" s="95"/>
      <c r="N41" s="128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24"/>
      <c r="B42" s="125"/>
      <c r="C42" s="125"/>
      <c r="D42" s="125"/>
      <c r="E42" s="126"/>
      <c r="F42" s="127"/>
      <c r="G42" s="121" t="str">
        <f t="shared" si="1"/>
        <v/>
      </c>
      <c r="H42" s="125"/>
      <c r="I42" s="128"/>
      <c r="J42" s="128"/>
      <c r="K42" s="125"/>
      <c r="L42" s="125"/>
      <c r="M42" s="95"/>
      <c r="N42" s="128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24"/>
      <c r="B43" s="125"/>
      <c r="C43" s="125"/>
      <c r="D43" s="125"/>
      <c r="E43" s="126"/>
      <c r="F43" s="127"/>
      <c r="G43" s="121" t="str">
        <f t="shared" si="1"/>
        <v/>
      </c>
      <c r="H43" s="125"/>
      <c r="I43" s="128"/>
      <c r="J43" s="128"/>
      <c r="K43" s="125"/>
      <c r="L43" s="125"/>
      <c r="M43" s="95"/>
      <c r="N43" s="128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24"/>
      <c r="B44" s="125"/>
      <c r="C44" s="125"/>
      <c r="D44" s="125"/>
      <c r="E44" s="126"/>
      <c r="F44" s="127"/>
      <c r="G44" s="121" t="str">
        <f t="shared" si="1"/>
        <v/>
      </c>
      <c r="H44" s="125"/>
      <c r="I44" s="128"/>
      <c r="J44" s="128"/>
      <c r="K44" s="125"/>
      <c r="L44" s="125"/>
      <c r="M44" s="95"/>
      <c r="N44" s="128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24"/>
      <c r="B45" s="125"/>
      <c r="C45" s="125"/>
      <c r="D45" s="125"/>
      <c r="E45" s="126"/>
      <c r="F45" s="127"/>
      <c r="G45" s="121" t="str">
        <f t="shared" si="1"/>
        <v/>
      </c>
      <c r="H45" s="125"/>
      <c r="I45" s="128"/>
      <c r="J45" s="128"/>
      <c r="K45" s="125"/>
      <c r="L45" s="125"/>
      <c r="M45" s="95"/>
      <c r="N45" s="128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24"/>
      <c r="B46" s="125"/>
      <c r="C46" s="125"/>
      <c r="D46" s="125"/>
      <c r="E46" s="126"/>
      <c r="F46" s="127"/>
      <c r="G46" s="121" t="str">
        <f t="shared" si="1"/>
        <v/>
      </c>
      <c r="H46" s="125"/>
      <c r="I46" s="128"/>
      <c r="J46" s="128"/>
      <c r="K46" s="125"/>
      <c r="L46" s="125"/>
      <c r="M46" s="95"/>
      <c r="N46" s="128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24"/>
      <c r="B47" s="125"/>
      <c r="C47" s="125"/>
      <c r="D47" s="125"/>
      <c r="E47" s="126"/>
      <c r="F47" s="127"/>
      <c r="G47" s="121" t="str">
        <f t="shared" si="1"/>
        <v/>
      </c>
      <c r="H47" s="125"/>
      <c r="I47" s="128"/>
      <c r="J47" s="128"/>
      <c r="K47" s="125"/>
      <c r="L47" s="125"/>
      <c r="M47" s="95"/>
      <c r="N47" s="128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24"/>
      <c r="B48" s="125"/>
      <c r="C48" s="125"/>
      <c r="D48" s="125"/>
      <c r="E48" s="126"/>
      <c r="F48" s="127"/>
      <c r="G48" s="121" t="str">
        <f t="shared" si="1"/>
        <v/>
      </c>
      <c r="H48" s="125"/>
      <c r="I48" s="128"/>
      <c r="J48" s="128"/>
      <c r="K48" s="125"/>
      <c r="L48" s="125"/>
      <c r="M48" s="95"/>
      <c r="N48" s="128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24"/>
      <c r="B49" s="125"/>
      <c r="C49" s="125"/>
      <c r="D49" s="125"/>
      <c r="E49" s="126"/>
      <c r="F49" s="127"/>
      <c r="G49" s="121" t="str">
        <f t="shared" si="1"/>
        <v/>
      </c>
      <c r="H49" s="125"/>
      <c r="I49" s="128"/>
      <c r="J49" s="128"/>
      <c r="K49" s="125"/>
      <c r="L49" s="125"/>
      <c r="M49" s="95"/>
      <c r="N49" s="128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24"/>
      <c r="B50" s="125"/>
      <c r="C50" s="125"/>
      <c r="D50" s="125"/>
      <c r="E50" s="126"/>
      <c r="F50" s="127"/>
      <c r="G50" s="121" t="str">
        <f t="shared" si="1"/>
        <v/>
      </c>
      <c r="H50" s="125"/>
      <c r="I50" s="128"/>
      <c r="J50" s="128"/>
      <c r="K50" s="125"/>
      <c r="L50" s="125"/>
      <c r="M50" s="95"/>
      <c r="N50" s="128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24"/>
      <c r="B51" s="125"/>
      <c r="C51" s="125"/>
      <c r="D51" s="125"/>
      <c r="E51" s="126"/>
      <c r="F51" s="127"/>
      <c r="G51" s="121" t="str">
        <f t="shared" si="1"/>
        <v/>
      </c>
      <c r="H51" s="125"/>
      <c r="I51" s="128"/>
      <c r="J51" s="128"/>
      <c r="K51" s="125"/>
      <c r="L51" s="125"/>
      <c r="M51" s="95"/>
      <c r="N51" s="128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24"/>
      <c r="B52" s="125"/>
      <c r="C52" s="125"/>
      <c r="D52" s="125"/>
      <c r="E52" s="126"/>
      <c r="F52" s="127"/>
      <c r="G52" s="121" t="str">
        <f t="shared" si="1"/>
        <v/>
      </c>
      <c r="H52" s="125"/>
      <c r="I52" s="128"/>
      <c r="J52" s="128"/>
      <c r="K52" s="125"/>
      <c r="L52" s="125"/>
      <c r="M52" s="95"/>
      <c r="N52" s="128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24"/>
      <c r="B53" s="125"/>
      <c r="C53" s="125"/>
      <c r="D53" s="125"/>
      <c r="E53" s="126"/>
      <c r="F53" s="127"/>
      <c r="G53" s="121" t="str">
        <f t="shared" si="1"/>
        <v/>
      </c>
      <c r="H53" s="125"/>
      <c r="I53" s="128"/>
      <c r="J53" s="128"/>
      <c r="K53" s="125"/>
      <c r="L53" s="125"/>
      <c r="M53" s="95"/>
      <c r="N53" s="128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24"/>
      <c r="B54" s="125"/>
      <c r="C54" s="125"/>
      <c r="D54" s="125"/>
      <c r="E54" s="126"/>
      <c r="F54" s="127"/>
      <c r="G54" s="121" t="str">
        <f t="shared" si="1"/>
        <v/>
      </c>
      <c r="H54" s="125"/>
      <c r="I54" s="128"/>
      <c r="J54" s="128"/>
      <c r="K54" s="125"/>
      <c r="L54" s="125"/>
      <c r="M54" s="95"/>
      <c r="N54" s="128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24"/>
      <c r="B55" s="125"/>
      <c r="C55" s="125"/>
      <c r="D55" s="125"/>
      <c r="E55" s="126"/>
      <c r="F55" s="127"/>
      <c r="G55" s="121" t="str">
        <f t="shared" si="1"/>
        <v/>
      </c>
      <c r="H55" s="125"/>
      <c r="I55" s="128"/>
      <c r="J55" s="128"/>
      <c r="K55" s="125"/>
      <c r="L55" s="125"/>
      <c r="M55" s="95"/>
      <c r="N55" s="128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24"/>
      <c r="B56" s="125"/>
      <c r="C56" s="125"/>
      <c r="D56" s="125"/>
      <c r="E56" s="126"/>
      <c r="F56" s="127"/>
      <c r="G56" s="121" t="str">
        <f t="shared" si="1"/>
        <v/>
      </c>
      <c r="H56" s="125"/>
      <c r="I56" s="128"/>
      <c r="J56" s="128"/>
      <c r="K56" s="125"/>
      <c r="L56" s="125"/>
      <c r="M56" s="95"/>
      <c r="N56" s="128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24"/>
      <c r="B57" s="125"/>
      <c r="C57" s="125"/>
      <c r="D57" s="125"/>
      <c r="E57" s="126"/>
      <c r="F57" s="127"/>
      <c r="G57" s="121" t="str">
        <f t="shared" si="1"/>
        <v/>
      </c>
      <c r="H57" s="125"/>
      <c r="I57" s="128"/>
      <c r="J57" s="128"/>
      <c r="K57" s="125"/>
      <c r="L57" s="125"/>
      <c r="M57" s="95"/>
      <c r="N57" s="128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24"/>
      <c r="B58" s="125"/>
      <c r="C58" s="125"/>
      <c r="D58" s="125"/>
      <c r="E58" s="126"/>
      <c r="F58" s="127"/>
      <c r="G58" s="121" t="str">
        <f t="shared" si="1"/>
        <v/>
      </c>
      <c r="H58" s="125"/>
      <c r="I58" s="128"/>
      <c r="J58" s="128"/>
      <c r="K58" s="125"/>
      <c r="L58" s="125"/>
      <c r="M58" s="95"/>
      <c r="N58" s="128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24"/>
      <c r="B59" s="125"/>
      <c r="C59" s="125"/>
      <c r="D59" s="125"/>
      <c r="E59" s="126"/>
      <c r="F59" s="127"/>
      <c r="G59" s="121" t="str">
        <f t="shared" si="1"/>
        <v/>
      </c>
      <c r="H59" s="125"/>
      <c r="I59" s="128"/>
      <c r="J59" s="128"/>
      <c r="K59" s="125"/>
      <c r="L59" s="125"/>
      <c r="M59" s="95"/>
      <c r="N59" s="128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24"/>
      <c r="B60" s="125"/>
      <c r="C60" s="125"/>
      <c r="D60" s="125"/>
      <c r="E60" s="126"/>
      <c r="F60" s="127"/>
      <c r="G60" s="121" t="str">
        <f t="shared" si="1"/>
        <v/>
      </c>
      <c r="H60" s="125"/>
      <c r="I60" s="128"/>
      <c r="J60" s="128"/>
      <c r="K60" s="125"/>
      <c r="L60" s="125"/>
      <c r="M60" s="95"/>
      <c r="N60" s="128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24"/>
      <c r="B61" s="125"/>
      <c r="C61" s="125"/>
      <c r="D61" s="125"/>
      <c r="E61" s="126"/>
      <c r="F61" s="127"/>
      <c r="G61" s="121" t="str">
        <f t="shared" si="1"/>
        <v/>
      </c>
      <c r="H61" s="125"/>
      <c r="I61" s="128"/>
      <c r="J61" s="128"/>
      <c r="K61" s="125"/>
      <c r="L61" s="125"/>
      <c r="M61" s="95"/>
      <c r="N61" s="128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24"/>
      <c r="B62" s="125"/>
      <c r="C62" s="125"/>
      <c r="D62" s="125"/>
      <c r="E62" s="126"/>
      <c r="F62" s="127"/>
      <c r="G62" s="121" t="str">
        <f t="shared" si="1"/>
        <v/>
      </c>
      <c r="H62" s="125"/>
      <c r="I62" s="128"/>
      <c r="J62" s="128"/>
      <c r="K62" s="125"/>
      <c r="L62" s="125"/>
      <c r="M62" s="95"/>
      <c r="N62" s="128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24"/>
      <c r="B63" s="125"/>
      <c r="C63" s="125"/>
      <c r="D63" s="125"/>
      <c r="E63" s="126"/>
      <c r="F63" s="127"/>
      <c r="G63" s="121" t="str">
        <f t="shared" si="1"/>
        <v/>
      </c>
      <c r="H63" s="125"/>
      <c r="I63" s="128"/>
      <c r="J63" s="128"/>
      <c r="K63" s="125"/>
      <c r="L63" s="125"/>
      <c r="M63" s="95"/>
      <c r="N63" s="128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24"/>
      <c r="B64" s="125"/>
      <c r="C64" s="125"/>
      <c r="D64" s="125"/>
      <c r="E64" s="126"/>
      <c r="F64" s="127"/>
      <c r="G64" s="121" t="str">
        <f t="shared" si="1"/>
        <v/>
      </c>
      <c r="H64" s="125"/>
      <c r="I64" s="128"/>
      <c r="J64" s="128"/>
      <c r="K64" s="125"/>
      <c r="L64" s="125"/>
      <c r="M64" s="95"/>
      <c r="N64" s="128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24"/>
      <c r="B65" s="125"/>
      <c r="C65" s="125"/>
      <c r="D65" s="125"/>
      <c r="E65" s="126"/>
      <c r="F65" s="127"/>
      <c r="G65" s="121" t="str">
        <f t="shared" si="1"/>
        <v/>
      </c>
      <c r="H65" s="125"/>
      <c r="I65" s="128"/>
      <c r="J65" s="128"/>
      <c r="K65" s="125"/>
      <c r="L65" s="125"/>
      <c r="M65" s="95"/>
      <c r="N65" s="128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24"/>
      <c r="B66" s="125"/>
      <c r="C66" s="125"/>
      <c r="D66" s="125"/>
      <c r="E66" s="126"/>
      <c r="F66" s="127"/>
      <c r="G66" s="121" t="str">
        <f t="shared" si="1"/>
        <v/>
      </c>
      <c r="H66" s="125"/>
      <c r="I66" s="128"/>
      <c r="J66" s="128"/>
      <c r="K66" s="125"/>
      <c r="L66" s="125"/>
      <c r="M66" s="95"/>
      <c r="N66" s="128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24"/>
      <c r="B67" s="125"/>
      <c r="C67" s="125"/>
      <c r="D67" s="125"/>
      <c r="E67" s="126"/>
      <c r="F67" s="127"/>
      <c r="G67" s="121" t="str">
        <f t="shared" si="1"/>
        <v/>
      </c>
      <c r="H67" s="125"/>
      <c r="I67" s="128"/>
      <c r="J67" s="128"/>
      <c r="K67" s="125"/>
      <c r="L67" s="125"/>
      <c r="M67" s="95"/>
      <c r="N67" s="128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24"/>
      <c r="B68" s="125"/>
      <c r="C68" s="125"/>
      <c r="D68" s="125"/>
      <c r="E68" s="126"/>
      <c r="F68" s="127"/>
      <c r="G68" s="121" t="str">
        <f t="shared" si="1"/>
        <v/>
      </c>
      <c r="H68" s="125"/>
      <c r="I68" s="128"/>
      <c r="J68" s="128"/>
      <c r="K68" s="125"/>
      <c r="L68" s="125"/>
      <c r="M68" s="95"/>
      <c r="N68" s="128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24"/>
      <c r="B69" s="125"/>
      <c r="C69" s="125"/>
      <c r="D69" s="125"/>
      <c r="E69" s="126"/>
      <c r="F69" s="127"/>
      <c r="G69" s="121" t="str">
        <f t="shared" si="1"/>
        <v/>
      </c>
      <c r="H69" s="125"/>
      <c r="I69" s="128"/>
      <c r="J69" s="128"/>
      <c r="K69" s="125"/>
      <c r="L69" s="125"/>
      <c r="M69" s="95"/>
      <c r="N69" s="128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24"/>
      <c r="B70" s="125"/>
      <c r="C70" s="125"/>
      <c r="D70" s="125"/>
      <c r="E70" s="126"/>
      <c r="F70" s="127"/>
      <c r="G70" s="121" t="str">
        <f t="shared" si="1"/>
        <v/>
      </c>
      <c r="H70" s="125"/>
      <c r="I70" s="128"/>
      <c r="J70" s="128"/>
      <c r="K70" s="125"/>
      <c r="L70" s="125"/>
      <c r="M70" s="95"/>
      <c r="N70" s="128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24"/>
      <c r="B71" s="125"/>
      <c r="C71" s="125"/>
      <c r="D71" s="125"/>
      <c r="E71" s="126"/>
      <c r="F71" s="127"/>
      <c r="G71" s="121" t="str">
        <f t="shared" si="1"/>
        <v/>
      </c>
      <c r="H71" s="125"/>
      <c r="I71" s="128"/>
      <c r="J71" s="128"/>
      <c r="K71" s="125"/>
      <c r="L71" s="125"/>
      <c r="M71" s="95"/>
      <c r="N71" s="128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24"/>
      <c r="B72" s="125"/>
      <c r="C72" s="125"/>
      <c r="D72" s="125"/>
      <c r="E72" s="126"/>
      <c r="F72" s="127"/>
      <c r="G72" s="121" t="str">
        <f t="shared" si="1"/>
        <v/>
      </c>
      <c r="H72" s="125"/>
      <c r="I72" s="128"/>
      <c r="J72" s="128"/>
      <c r="K72" s="125"/>
      <c r="L72" s="125"/>
      <c r="M72" s="95"/>
      <c r="N72" s="128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24"/>
      <c r="B73" s="125"/>
      <c r="C73" s="125"/>
      <c r="D73" s="125"/>
      <c r="E73" s="126"/>
      <c r="F73" s="127"/>
      <c r="G73" s="121" t="str">
        <f t="shared" si="1"/>
        <v/>
      </c>
      <c r="H73" s="125"/>
      <c r="I73" s="128"/>
      <c r="J73" s="128"/>
      <c r="K73" s="125"/>
      <c r="L73" s="125"/>
      <c r="M73" s="95"/>
      <c r="N73" s="128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24"/>
      <c r="B74" s="125"/>
      <c r="C74" s="125"/>
      <c r="D74" s="125"/>
      <c r="E74" s="126"/>
      <c r="F74" s="127"/>
      <c r="G74" s="121" t="str">
        <f t="shared" si="1"/>
        <v/>
      </c>
      <c r="H74" s="125"/>
      <c r="I74" s="128"/>
      <c r="J74" s="128"/>
      <c r="K74" s="125"/>
      <c r="L74" s="125"/>
      <c r="M74" s="95"/>
      <c r="N74" s="128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24"/>
      <c r="B75" s="125"/>
      <c r="C75" s="125"/>
      <c r="D75" s="125"/>
      <c r="E75" s="126"/>
      <c r="F75" s="127"/>
      <c r="G75" s="121" t="str">
        <f t="shared" si="1"/>
        <v/>
      </c>
      <c r="H75" s="125"/>
      <c r="I75" s="128"/>
      <c r="J75" s="128"/>
      <c r="K75" s="125"/>
      <c r="L75" s="125"/>
      <c r="M75" s="95"/>
      <c r="N75" s="128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24"/>
      <c r="B76" s="125"/>
      <c r="C76" s="125"/>
      <c r="D76" s="125"/>
      <c r="E76" s="126"/>
      <c r="F76" s="127"/>
      <c r="G76" s="121" t="str">
        <f t="shared" si="1"/>
        <v/>
      </c>
      <c r="H76" s="125"/>
      <c r="I76" s="128"/>
      <c r="J76" s="128"/>
      <c r="K76" s="125"/>
      <c r="L76" s="125"/>
      <c r="M76" s="95"/>
      <c r="N76" s="128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24"/>
      <c r="B77" s="125"/>
      <c r="C77" s="125"/>
      <c r="D77" s="125"/>
      <c r="E77" s="126"/>
      <c r="F77" s="127"/>
      <c r="G77" s="121" t="str">
        <f t="shared" si="1"/>
        <v/>
      </c>
      <c r="H77" s="125"/>
      <c r="I77" s="128"/>
      <c r="J77" s="128"/>
      <c r="K77" s="125"/>
      <c r="L77" s="125"/>
      <c r="M77" s="95"/>
      <c r="N77" s="128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24"/>
      <c r="B78" s="125"/>
      <c r="C78" s="125"/>
      <c r="D78" s="125"/>
      <c r="E78" s="126"/>
      <c r="F78" s="127"/>
      <c r="G78" s="121" t="str">
        <f t="shared" si="1"/>
        <v/>
      </c>
      <c r="H78" s="125"/>
      <c r="I78" s="128"/>
      <c r="J78" s="128"/>
      <c r="K78" s="125"/>
      <c r="L78" s="125"/>
      <c r="M78" s="95"/>
      <c r="N78" s="128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24"/>
      <c r="B79" s="125"/>
      <c r="C79" s="125"/>
      <c r="D79" s="125"/>
      <c r="E79" s="126"/>
      <c r="F79" s="127"/>
      <c r="G79" s="121" t="str">
        <f t="shared" si="1"/>
        <v/>
      </c>
      <c r="H79" s="125"/>
      <c r="I79" s="128"/>
      <c r="J79" s="128"/>
      <c r="K79" s="125"/>
      <c r="L79" s="125"/>
      <c r="M79" s="95"/>
      <c r="N79" s="128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24"/>
      <c r="B80" s="125"/>
      <c r="C80" s="125"/>
      <c r="D80" s="125"/>
      <c r="E80" s="126"/>
      <c r="F80" s="127"/>
      <c r="G80" s="121" t="str">
        <f t="shared" si="1"/>
        <v/>
      </c>
      <c r="H80" s="125"/>
      <c r="I80" s="128"/>
      <c r="J80" s="128"/>
      <c r="K80" s="125"/>
      <c r="L80" s="125"/>
      <c r="M80" s="95"/>
      <c r="N80" s="128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24"/>
      <c r="B81" s="125"/>
      <c r="C81" s="125"/>
      <c r="D81" s="125"/>
      <c r="E81" s="126"/>
      <c r="F81" s="127"/>
      <c r="G81" s="121" t="str">
        <f t="shared" si="1"/>
        <v/>
      </c>
      <c r="H81" s="125"/>
      <c r="I81" s="128"/>
      <c r="J81" s="128"/>
      <c r="K81" s="125"/>
      <c r="L81" s="125"/>
      <c r="M81" s="95"/>
      <c r="N81" s="128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24"/>
      <c r="B82" s="125"/>
      <c r="C82" s="125"/>
      <c r="D82" s="125"/>
      <c r="E82" s="126"/>
      <c r="F82" s="127"/>
      <c r="G82" s="121" t="str">
        <f t="shared" si="1"/>
        <v/>
      </c>
      <c r="H82" s="125"/>
      <c r="I82" s="128"/>
      <c r="J82" s="128"/>
      <c r="K82" s="125"/>
      <c r="L82" s="125"/>
      <c r="M82" s="95"/>
      <c r="N82" s="128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24"/>
      <c r="B83" s="125"/>
      <c r="C83" s="125"/>
      <c r="D83" s="125"/>
      <c r="E83" s="126"/>
      <c r="F83" s="127"/>
      <c r="G83" s="121" t="str">
        <f t="shared" si="1"/>
        <v/>
      </c>
      <c r="H83" s="125"/>
      <c r="I83" s="128"/>
      <c r="J83" s="128"/>
      <c r="K83" s="125"/>
      <c r="L83" s="125"/>
      <c r="M83" s="95"/>
      <c r="N83" s="128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24"/>
      <c r="B84" s="125"/>
      <c r="C84" s="125"/>
      <c r="D84" s="125"/>
      <c r="E84" s="126"/>
      <c r="F84" s="127"/>
      <c r="G84" s="121" t="str">
        <f t="shared" si="1"/>
        <v/>
      </c>
      <c r="H84" s="125"/>
      <c r="I84" s="128"/>
      <c r="J84" s="128"/>
      <c r="K84" s="125"/>
      <c r="L84" s="125"/>
      <c r="M84" s="95"/>
      <c r="N84" s="128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24"/>
      <c r="B85" s="125"/>
      <c r="C85" s="125"/>
      <c r="D85" s="125"/>
      <c r="E85" s="126"/>
      <c r="F85" s="127"/>
      <c r="G85" s="121" t="str">
        <f t="shared" si="1"/>
        <v/>
      </c>
      <c r="H85" s="125"/>
      <c r="I85" s="128"/>
      <c r="J85" s="128"/>
      <c r="K85" s="125"/>
      <c r="L85" s="125"/>
      <c r="M85" s="95"/>
      <c r="N85" s="128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24"/>
      <c r="B86" s="125"/>
      <c r="C86" s="125"/>
      <c r="D86" s="125"/>
      <c r="E86" s="126"/>
      <c r="F86" s="127"/>
      <c r="G86" s="121" t="str">
        <f t="shared" si="1"/>
        <v/>
      </c>
      <c r="H86" s="125"/>
      <c r="I86" s="128"/>
      <c r="J86" s="128"/>
      <c r="K86" s="125"/>
      <c r="L86" s="125"/>
      <c r="M86" s="95"/>
      <c r="N86" s="128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24"/>
      <c r="B87" s="125"/>
      <c r="C87" s="125"/>
      <c r="D87" s="125"/>
      <c r="E87" s="126"/>
      <c r="F87" s="127"/>
      <c r="G87" s="121" t="str">
        <f t="shared" si="1"/>
        <v/>
      </c>
      <c r="H87" s="125"/>
      <c r="I87" s="128"/>
      <c r="J87" s="128"/>
      <c r="K87" s="125"/>
      <c r="L87" s="125"/>
      <c r="M87" s="95"/>
      <c r="N87" s="128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24"/>
      <c r="B88" s="125"/>
      <c r="C88" s="125"/>
      <c r="D88" s="125"/>
      <c r="E88" s="126"/>
      <c r="F88" s="127"/>
      <c r="G88" s="121" t="str">
        <f t="shared" si="1"/>
        <v/>
      </c>
      <c r="H88" s="125"/>
      <c r="I88" s="128"/>
      <c r="J88" s="128"/>
      <c r="K88" s="125"/>
      <c r="L88" s="125"/>
      <c r="M88" s="95"/>
      <c r="N88" s="128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24"/>
      <c r="B89" s="125"/>
      <c r="C89" s="125"/>
      <c r="D89" s="125"/>
      <c r="E89" s="126"/>
      <c r="F89" s="127"/>
      <c r="G89" s="121" t="str">
        <f t="shared" si="1"/>
        <v/>
      </c>
      <c r="H89" s="125"/>
      <c r="I89" s="128"/>
      <c r="J89" s="128"/>
      <c r="K89" s="125"/>
      <c r="L89" s="125"/>
      <c r="M89" s="95"/>
      <c r="N89" s="128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24"/>
      <c r="B90" s="125"/>
      <c r="C90" s="125"/>
      <c r="D90" s="125"/>
      <c r="E90" s="126"/>
      <c r="F90" s="127"/>
      <c r="G90" s="121" t="str">
        <f t="shared" si="1"/>
        <v/>
      </c>
      <c r="H90" s="125"/>
      <c r="I90" s="128"/>
      <c r="J90" s="128"/>
      <c r="K90" s="125"/>
      <c r="L90" s="125"/>
      <c r="M90" s="95"/>
      <c r="N90" s="128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24"/>
      <c r="B91" s="125"/>
      <c r="C91" s="125"/>
      <c r="D91" s="125"/>
      <c r="E91" s="126"/>
      <c r="F91" s="127"/>
      <c r="G91" s="121" t="str">
        <f t="shared" si="1"/>
        <v/>
      </c>
      <c r="H91" s="125"/>
      <c r="I91" s="128"/>
      <c r="J91" s="128"/>
      <c r="K91" s="125"/>
      <c r="L91" s="125"/>
      <c r="M91" s="95"/>
      <c r="N91" s="128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24"/>
      <c r="B92" s="125"/>
      <c r="C92" s="125"/>
      <c r="D92" s="125"/>
      <c r="E92" s="126"/>
      <c r="F92" s="127"/>
      <c r="G92" s="121" t="str">
        <f t="shared" si="1"/>
        <v/>
      </c>
      <c r="H92" s="125"/>
      <c r="I92" s="128"/>
      <c r="J92" s="128"/>
      <c r="K92" s="125"/>
      <c r="L92" s="125"/>
      <c r="M92" s="95"/>
      <c r="N92" s="128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24"/>
      <c r="B93" s="125"/>
      <c r="C93" s="125"/>
      <c r="D93" s="125"/>
      <c r="E93" s="126"/>
      <c r="F93" s="127"/>
      <c r="G93" s="121" t="str">
        <f t="shared" si="1"/>
        <v/>
      </c>
      <c r="H93" s="125"/>
      <c r="I93" s="128"/>
      <c r="J93" s="128"/>
      <c r="K93" s="125"/>
      <c r="L93" s="125"/>
      <c r="M93" s="95"/>
      <c r="N93" s="128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24"/>
      <c r="B94" s="125"/>
      <c r="C94" s="125"/>
      <c r="D94" s="125"/>
      <c r="E94" s="126"/>
      <c r="F94" s="127"/>
      <c r="G94" s="121" t="str">
        <f t="shared" si="1"/>
        <v/>
      </c>
      <c r="H94" s="125"/>
      <c r="I94" s="128"/>
      <c r="J94" s="128"/>
      <c r="K94" s="125"/>
      <c r="L94" s="125"/>
      <c r="M94" s="95"/>
      <c r="N94" s="128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24"/>
      <c r="B95" s="125"/>
      <c r="C95" s="125"/>
      <c r="D95" s="125"/>
      <c r="E95" s="126"/>
      <c r="F95" s="127"/>
      <c r="G95" s="121" t="str">
        <f t="shared" si="1"/>
        <v/>
      </c>
      <c r="H95" s="125"/>
      <c r="I95" s="128"/>
      <c r="J95" s="128"/>
      <c r="K95" s="125"/>
      <c r="L95" s="125"/>
      <c r="M95" s="95"/>
      <c r="N95" s="128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24"/>
      <c r="B96" s="125"/>
      <c r="C96" s="125"/>
      <c r="D96" s="125"/>
      <c r="E96" s="126"/>
      <c r="F96" s="127"/>
      <c r="G96" s="121" t="str">
        <f t="shared" si="1"/>
        <v/>
      </c>
      <c r="H96" s="125"/>
      <c r="I96" s="128"/>
      <c r="J96" s="128"/>
      <c r="K96" s="125"/>
      <c r="L96" s="125"/>
      <c r="M96" s="95"/>
      <c r="N96" s="128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24"/>
      <c r="B97" s="125"/>
      <c r="C97" s="125"/>
      <c r="D97" s="125"/>
      <c r="E97" s="126"/>
      <c r="F97" s="127"/>
      <c r="G97" s="121" t="str">
        <f t="shared" si="1"/>
        <v/>
      </c>
      <c r="H97" s="125"/>
      <c r="I97" s="128"/>
      <c r="J97" s="128"/>
      <c r="K97" s="125"/>
      <c r="L97" s="125"/>
      <c r="M97" s="95"/>
      <c r="N97" s="128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24"/>
      <c r="B98" s="125"/>
      <c r="C98" s="125"/>
      <c r="D98" s="125"/>
      <c r="E98" s="126"/>
      <c r="F98" s="127"/>
      <c r="G98" s="121" t="str">
        <f t="shared" si="1"/>
        <v/>
      </c>
      <c r="H98" s="125"/>
      <c r="I98" s="128"/>
      <c r="J98" s="128"/>
      <c r="K98" s="125"/>
      <c r="L98" s="125"/>
      <c r="M98" s="95"/>
      <c r="N98" s="128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24"/>
      <c r="B99" s="125"/>
      <c r="C99" s="125"/>
      <c r="D99" s="125"/>
      <c r="E99" s="126"/>
      <c r="F99" s="127"/>
      <c r="G99" s="121" t="str">
        <f t="shared" si="1"/>
        <v/>
      </c>
      <c r="H99" s="125"/>
      <c r="I99" s="128"/>
      <c r="J99" s="128"/>
      <c r="K99" s="125"/>
      <c r="L99" s="125"/>
      <c r="M99" s="95"/>
      <c r="N99" s="128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24"/>
      <c r="B100" s="125"/>
      <c r="C100" s="125"/>
      <c r="D100" s="125"/>
      <c r="E100" s="126"/>
      <c r="F100" s="127"/>
      <c r="G100" s="121" t="str">
        <f t="shared" si="1"/>
        <v/>
      </c>
      <c r="H100" s="125"/>
      <c r="I100" s="128"/>
      <c r="J100" s="128"/>
      <c r="K100" s="125"/>
      <c r="L100" s="125"/>
      <c r="M100" s="95"/>
      <c r="N100" s="128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24"/>
      <c r="B101" s="125"/>
      <c r="C101" s="125"/>
      <c r="D101" s="125"/>
      <c r="E101" s="126"/>
      <c r="F101" s="127"/>
      <c r="G101" s="121" t="str">
        <f t="shared" si="1"/>
        <v/>
      </c>
      <c r="H101" s="125"/>
      <c r="I101" s="128"/>
      <c r="J101" s="128"/>
      <c r="K101" s="125"/>
      <c r="L101" s="125"/>
      <c r="M101" s="95"/>
      <c r="N101" s="128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24"/>
      <c r="B102" s="125"/>
      <c r="C102" s="125"/>
      <c r="D102" s="125"/>
      <c r="E102" s="126"/>
      <c r="F102" s="127"/>
      <c r="G102" s="121" t="str">
        <f t="shared" si="1"/>
        <v/>
      </c>
      <c r="H102" s="125"/>
      <c r="I102" s="128"/>
      <c r="J102" s="128"/>
      <c r="K102" s="125"/>
      <c r="L102" s="125"/>
      <c r="M102" s="95"/>
      <c r="N102" s="128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24"/>
      <c r="B103" s="125"/>
      <c r="C103" s="125"/>
      <c r="D103" s="125"/>
      <c r="E103" s="126"/>
      <c r="F103" s="127"/>
      <c r="G103" s="121" t="str">
        <f t="shared" si="1"/>
        <v/>
      </c>
      <c r="H103" s="125"/>
      <c r="I103" s="128"/>
      <c r="J103" s="128"/>
      <c r="K103" s="125"/>
      <c r="L103" s="125"/>
      <c r="M103" s="95"/>
      <c r="N103" s="128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24"/>
      <c r="B104" s="125"/>
      <c r="C104" s="125"/>
      <c r="D104" s="125"/>
      <c r="E104" s="126"/>
      <c r="F104" s="127"/>
      <c r="G104" s="121" t="str">
        <f t="shared" si="1"/>
        <v/>
      </c>
      <c r="H104" s="125"/>
      <c r="I104" s="128"/>
      <c r="J104" s="128"/>
      <c r="K104" s="125"/>
      <c r="L104" s="125"/>
      <c r="M104" s="95"/>
      <c r="N104" s="128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24"/>
      <c r="B105" s="125"/>
      <c r="C105" s="125"/>
      <c r="D105" s="125"/>
      <c r="E105" s="126"/>
      <c r="F105" s="127"/>
      <c r="G105" s="121" t="str">
        <f t="shared" si="1"/>
        <v/>
      </c>
      <c r="H105" s="125"/>
      <c r="I105" s="128"/>
      <c r="J105" s="128"/>
      <c r="K105" s="125"/>
      <c r="L105" s="125"/>
      <c r="M105" s="95"/>
      <c r="N105" s="128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24"/>
      <c r="B106" s="125"/>
      <c r="C106" s="125"/>
      <c r="D106" s="125"/>
      <c r="E106" s="126"/>
      <c r="F106" s="127"/>
      <c r="G106" s="121" t="str">
        <f t="shared" si="1"/>
        <v/>
      </c>
      <c r="H106" s="125"/>
      <c r="I106" s="128"/>
      <c r="J106" s="128"/>
      <c r="K106" s="125"/>
      <c r="L106" s="125"/>
      <c r="M106" s="95"/>
      <c r="N106" s="128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24"/>
      <c r="B107" s="125"/>
      <c r="C107" s="125"/>
      <c r="D107" s="125"/>
      <c r="E107" s="126"/>
      <c r="F107" s="127"/>
      <c r="G107" s="121" t="str">
        <f t="shared" si="1"/>
        <v/>
      </c>
      <c r="H107" s="125"/>
      <c r="I107" s="128"/>
      <c r="J107" s="128"/>
      <c r="K107" s="125"/>
      <c r="L107" s="125"/>
      <c r="M107" s="95"/>
      <c r="N107" s="128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24"/>
      <c r="B108" s="125"/>
      <c r="C108" s="125"/>
      <c r="D108" s="125"/>
      <c r="E108" s="126"/>
      <c r="F108" s="127"/>
      <c r="G108" s="121" t="str">
        <f t="shared" si="1"/>
        <v/>
      </c>
      <c r="H108" s="125"/>
      <c r="I108" s="128"/>
      <c r="J108" s="128"/>
      <c r="K108" s="125"/>
      <c r="L108" s="125"/>
      <c r="M108" s="95"/>
      <c r="N108" s="128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24"/>
      <c r="B109" s="125"/>
      <c r="C109" s="125"/>
      <c r="D109" s="125"/>
      <c r="E109" s="126"/>
      <c r="F109" s="127"/>
      <c r="G109" s="121" t="str">
        <f t="shared" si="1"/>
        <v/>
      </c>
      <c r="H109" s="125"/>
      <c r="I109" s="128"/>
      <c r="J109" s="128"/>
      <c r="K109" s="125"/>
      <c r="L109" s="125"/>
      <c r="M109" s="95"/>
      <c r="N109" s="128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24"/>
      <c r="B110" s="125"/>
      <c r="C110" s="125"/>
      <c r="D110" s="125"/>
      <c r="E110" s="126"/>
      <c r="F110" s="127"/>
      <c r="G110" s="121" t="str">
        <f t="shared" si="1"/>
        <v/>
      </c>
      <c r="H110" s="125"/>
      <c r="I110" s="128"/>
      <c r="J110" s="128"/>
      <c r="K110" s="125"/>
      <c r="L110" s="125"/>
      <c r="M110" s="95"/>
      <c r="N110" s="128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24"/>
      <c r="B111" s="125"/>
      <c r="C111" s="125"/>
      <c r="D111" s="125"/>
      <c r="E111" s="126"/>
      <c r="F111" s="127"/>
      <c r="G111" s="121" t="str">
        <f t="shared" si="1"/>
        <v/>
      </c>
      <c r="H111" s="125"/>
      <c r="I111" s="128"/>
      <c r="J111" s="128"/>
      <c r="K111" s="125"/>
      <c r="L111" s="125"/>
      <c r="M111" s="95"/>
      <c r="N111" s="128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24"/>
      <c r="B112" s="125"/>
      <c r="C112" s="125"/>
      <c r="D112" s="125"/>
      <c r="E112" s="126"/>
      <c r="F112" s="127"/>
      <c r="G112" s="121" t="str">
        <f t="shared" si="1"/>
        <v/>
      </c>
      <c r="H112" s="125"/>
      <c r="I112" s="128"/>
      <c r="J112" s="128"/>
      <c r="K112" s="125"/>
      <c r="L112" s="125"/>
      <c r="M112" s="95"/>
      <c r="N112" s="128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24"/>
      <c r="B113" s="125"/>
      <c r="C113" s="125"/>
      <c r="D113" s="125"/>
      <c r="E113" s="126"/>
      <c r="F113" s="127"/>
      <c r="G113" s="121" t="str">
        <f t="shared" si="1"/>
        <v/>
      </c>
      <c r="H113" s="125"/>
      <c r="I113" s="128"/>
      <c r="J113" s="128"/>
      <c r="K113" s="125"/>
      <c r="L113" s="125"/>
      <c r="M113" s="95"/>
      <c r="N113" s="128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24"/>
      <c r="B114" s="125"/>
      <c r="C114" s="125"/>
      <c r="D114" s="125"/>
      <c r="E114" s="126"/>
      <c r="F114" s="127"/>
      <c r="G114" s="121" t="str">
        <f t="shared" si="1"/>
        <v/>
      </c>
      <c r="H114" s="125"/>
      <c r="I114" s="128"/>
      <c r="J114" s="128"/>
      <c r="K114" s="125"/>
      <c r="L114" s="125"/>
      <c r="M114" s="95"/>
      <c r="N114" s="128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24"/>
      <c r="B115" s="125"/>
      <c r="C115" s="125"/>
      <c r="D115" s="125"/>
      <c r="E115" s="126"/>
      <c r="F115" s="127"/>
      <c r="G115" s="121" t="str">
        <f t="shared" si="1"/>
        <v/>
      </c>
      <c r="H115" s="125"/>
      <c r="I115" s="128"/>
      <c r="J115" s="128"/>
      <c r="K115" s="125"/>
      <c r="L115" s="125"/>
      <c r="M115" s="95"/>
      <c r="N115" s="128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24"/>
      <c r="B116" s="125"/>
      <c r="C116" s="125"/>
      <c r="D116" s="125"/>
      <c r="E116" s="126"/>
      <c r="F116" s="127"/>
      <c r="G116" s="121" t="str">
        <f t="shared" si="1"/>
        <v/>
      </c>
      <c r="H116" s="125"/>
      <c r="I116" s="128"/>
      <c r="J116" s="128"/>
      <c r="K116" s="125"/>
      <c r="L116" s="125"/>
      <c r="M116" s="95"/>
      <c r="N116" s="128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24"/>
      <c r="B117" s="125"/>
      <c r="C117" s="125"/>
      <c r="D117" s="125"/>
      <c r="E117" s="126"/>
      <c r="F117" s="127"/>
      <c r="G117" s="121" t="str">
        <f t="shared" si="1"/>
        <v/>
      </c>
      <c r="H117" s="125"/>
      <c r="I117" s="128"/>
      <c r="J117" s="128"/>
      <c r="K117" s="125"/>
      <c r="L117" s="125"/>
      <c r="M117" s="95"/>
      <c r="N117" s="128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24"/>
      <c r="B118" s="125"/>
      <c r="C118" s="125"/>
      <c r="D118" s="125"/>
      <c r="E118" s="126"/>
      <c r="F118" s="127"/>
      <c r="G118" s="121" t="str">
        <f t="shared" si="1"/>
        <v/>
      </c>
      <c r="H118" s="125"/>
      <c r="I118" s="128"/>
      <c r="J118" s="128"/>
      <c r="K118" s="125"/>
      <c r="L118" s="125"/>
      <c r="M118" s="95"/>
      <c r="N118" s="128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24"/>
      <c r="B119" s="125"/>
      <c r="C119" s="125"/>
      <c r="D119" s="125"/>
      <c r="E119" s="126"/>
      <c r="F119" s="127"/>
      <c r="G119" s="121" t="str">
        <f t="shared" si="1"/>
        <v/>
      </c>
      <c r="H119" s="125"/>
      <c r="I119" s="128"/>
      <c r="J119" s="128"/>
      <c r="K119" s="125"/>
      <c r="L119" s="125"/>
      <c r="M119" s="95"/>
      <c r="N119" s="128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24"/>
      <c r="B120" s="125"/>
      <c r="C120" s="125"/>
      <c r="D120" s="125"/>
      <c r="E120" s="126"/>
      <c r="F120" s="127"/>
      <c r="G120" s="121" t="str">
        <f t="shared" si="1"/>
        <v/>
      </c>
      <c r="H120" s="125"/>
      <c r="I120" s="128"/>
      <c r="J120" s="128"/>
      <c r="K120" s="125"/>
      <c r="L120" s="125"/>
      <c r="M120" s="95"/>
      <c r="N120" s="128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24"/>
      <c r="B121" s="125"/>
      <c r="C121" s="125"/>
      <c r="D121" s="125"/>
      <c r="E121" s="126"/>
      <c r="F121" s="127"/>
      <c r="G121" s="121" t="str">
        <f t="shared" si="1"/>
        <v/>
      </c>
      <c r="H121" s="125"/>
      <c r="I121" s="128"/>
      <c r="J121" s="128"/>
      <c r="K121" s="125"/>
      <c r="L121" s="125"/>
      <c r="M121" s="95"/>
      <c r="N121" s="128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24"/>
      <c r="B122" s="125"/>
      <c r="C122" s="125"/>
      <c r="D122" s="125"/>
      <c r="E122" s="126"/>
      <c r="F122" s="127"/>
      <c r="G122" s="121" t="str">
        <f t="shared" si="1"/>
        <v/>
      </c>
      <c r="H122" s="125"/>
      <c r="I122" s="128"/>
      <c r="J122" s="128"/>
      <c r="K122" s="125"/>
      <c r="L122" s="125"/>
      <c r="M122" s="95"/>
      <c r="N122" s="128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24"/>
      <c r="B123" s="125"/>
      <c r="C123" s="125"/>
      <c r="D123" s="125"/>
      <c r="E123" s="126"/>
      <c r="F123" s="127"/>
      <c r="G123" s="121" t="str">
        <f t="shared" si="1"/>
        <v/>
      </c>
      <c r="H123" s="125"/>
      <c r="I123" s="128"/>
      <c r="J123" s="128"/>
      <c r="K123" s="125"/>
      <c r="L123" s="125"/>
      <c r="M123" s="95"/>
      <c r="N123" s="128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24"/>
      <c r="B124" s="125"/>
      <c r="C124" s="125"/>
      <c r="D124" s="125"/>
      <c r="E124" s="126"/>
      <c r="F124" s="127"/>
      <c r="G124" s="121" t="str">
        <f t="shared" si="1"/>
        <v/>
      </c>
      <c r="H124" s="125"/>
      <c r="I124" s="128"/>
      <c r="J124" s="128"/>
      <c r="K124" s="125"/>
      <c r="L124" s="125"/>
      <c r="M124" s="95"/>
      <c r="N124" s="128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24"/>
      <c r="B125" s="125"/>
      <c r="C125" s="125"/>
      <c r="D125" s="125"/>
      <c r="E125" s="126"/>
      <c r="F125" s="127"/>
      <c r="G125" s="121" t="str">
        <f t="shared" si="1"/>
        <v/>
      </c>
      <c r="H125" s="125"/>
      <c r="I125" s="128"/>
      <c r="J125" s="128"/>
      <c r="K125" s="125"/>
      <c r="L125" s="125"/>
      <c r="M125" s="95"/>
      <c r="N125" s="128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24"/>
      <c r="B126" s="125"/>
      <c r="C126" s="125"/>
      <c r="D126" s="125"/>
      <c r="E126" s="126"/>
      <c r="F126" s="127"/>
      <c r="G126" s="121" t="str">
        <f t="shared" si="1"/>
        <v/>
      </c>
      <c r="H126" s="125"/>
      <c r="I126" s="128"/>
      <c r="J126" s="128"/>
      <c r="K126" s="125"/>
      <c r="L126" s="125"/>
      <c r="M126" s="95"/>
      <c r="N126" s="128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24"/>
      <c r="B127" s="125"/>
      <c r="C127" s="125"/>
      <c r="D127" s="125"/>
      <c r="E127" s="126"/>
      <c r="F127" s="127"/>
      <c r="G127" s="121" t="str">
        <f t="shared" si="1"/>
        <v/>
      </c>
      <c r="H127" s="125"/>
      <c r="I127" s="128"/>
      <c r="J127" s="128"/>
      <c r="K127" s="125"/>
      <c r="L127" s="125"/>
      <c r="M127" s="95"/>
      <c r="N127" s="128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24"/>
      <c r="B128" s="125"/>
      <c r="C128" s="125"/>
      <c r="D128" s="125"/>
      <c r="E128" s="126"/>
      <c r="F128" s="127"/>
      <c r="G128" s="121" t="str">
        <f t="shared" si="1"/>
        <v/>
      </c>
      <c r="H128" s="125"/>
      <c r="I128" s="128"/>
      <c r="J128" s="128"/>
      <c r="K128" s="125"/>
      <c r="L128" s="125"/>
      <c r="M128" s="95"/>
      <c r="N128" s="128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24"/>
      <c r="B129" s="125"/>
      <c r="C129" s="125"/>
      <c r="D129" s="125"/>
      <c r="E129" s="126"/>
      <c r="F129" s="127"/>
      <c r="G129" s="121" t="str">
        <f t="shared" si="1"/>
        <v/>
      </c>
      <c r="H129" s="125"/>
      <c r="I129" s="128"/>
      <c r="J129" s="128"/>
      <c r="K129" s="125"/>
      <c r="L129" s="125"/>
      <c r="M129" s="95"/>
      <c r="N129" s="128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24"/>
      <c r="B130" s="125"/>
      <c r="C130" s="125"/>
      <c r="D130" s="125"/>
      <c r="E130" s="126"/>
      <c r="F130" s="127"/>
      <c r="G130" s="121" t="str">
        <f t="shared" si="1"/>
        <v/>
      </c>
      <c r="H130" s="125"/>
      <c r="I130" s="128"/>
      <c r="J130" s="128"/>
      <c r="K130" s="125"/>
      <c r="L130" s="125"/>
      <c r="M130" s="95"/>
      <c r="N130" s="128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24"/>
      <c r="B131" s="125"/>
      <c r="C131" s="125"/>
      <c r="D131" s="125"/>
      <c r="E131" s="126"/>
      <c r="F131" s="127"/>
      <c r="G131" s="121" t="str">
        <f t="shared" si="1"/>
        <v/>
      </c>
      <c r="H131" s="125"/>
      <c r="I131" s="128"/>
      <c r="J131" s="128"/>
      <c r="K131" s="125"/>
      <c r="L131" s="125"/>
      <c r="M131" s="95"/>
      <c r="N131" s="128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24"/>
      <c r="B132" s="125"/>
      <c r="C132" s="125"/>
      <c r="D132" s="125"/>
      <c r="E132" s="126"/>
      <c r="F132" s="127"/>
      <c r="G132" s="121" t="str">
        <f t="shared" si="1"/>
        <v/>
      </c>
      <c r="H132" s="125"/>
      <c r="I132" s="128"/>
      <c r="J132" s="128"/>
      <c r="K132" s="125"/>
      <c r="L132" s="125"/>
      <c r="M132" s="95"/>
      <c r="N132" s="128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24"/>
      <c r="B133" s="125"/>
      <c r="C133" s="125"/>
      <c r="D133" s="125"/>
      <c r="E133" s="126"/>
      <c r="F133" s="127"/>
      <c r="G133" s="121" t="str">
        <f t="shared" si="1"/>
        <v/>
      </c>
      <c r="H133" s="125"/>
      <c r="I133" s="128"/>
      <c r="J133" s="128"/>
      <c r="K133" s="125"/>
      <c r="L133" s="125"/>
      <c r="M133" s="95"/>
      <c r="N133" s="128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24"/>
      <c r="B134" s="125"/>
      <c r="C134" s="125"/>
      <c r="D134" s="125"/>
      <c r="E134" s="126"/>
      <c r="F134" s="127"/>
      <c r="G134" s="121" t="str">
        <f t="shared" si="1"/>
        <v/>
      </c>
      <c r="H134" s="125"/>
      <c r="I134" s="128"/>
      <c r="J134" s="128"/>
      <c r="K134" s="125"/>
      <c r="L134" s="125"/>
      <c r="M134" s="95"/>
      <c r="N134" s="128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24"/>
      <c r="B135" s="125"/>
      <c r="C135" s="125"/>
      <c r="D135" s="125"/>
      <c r="E135" s="126"/>
      <c r="F135" s="127"/>
      <c r="G135" s="121" t="str">
        <f t="shared" si="1"/>
        <v/>
      </c>
      <c r="H135" s="125"/>
      <c r="I135" s="128"/>
      <c r="J135" s="128"/>
      <c r="K135" s="125"/>
      <c r="L135" s="125"/>
      <c r="M135" s="95"/>
      <c r="N135" s="128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24"/>
      <c r="B136" s="125"/>
      <c r="C136" s="125"/>
      <c r="D136" s="125"/>
      <c r="E136" s="126"/>
      <c r="F136" s="127"/>
      <c r="G136" s="121" t="str">
        <f t="shared" si="1"/>
        <v/>
      </c>
      <c r="H136" s="125"/>
      <c r="I136" s="128"/>
      <c r="J136" s="128"/>
      <c r="K136" s="125"/>
      <c r="L136" s="125"/>
      <c r="M136" s="95"/>
      <c r="N136" s="128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24"/>
      <c r="B137" s="125"/>
      <c r="C137" s="125"/>
      <c r="D137" s="125"/>
      <c r="E137" s="126"/>
      <c r="F137" s="127"/>
      <c r="G137" s="121" t="str">
        <f t="shared" si="1"/>
        <v/>
      </c>
      <c r="H137" s="125"/>
      <c r="I137" s="128"/>
      <c r="J137" s="128"/>
      <c r="K137" s="125"/>
      <c r="L137" s="125"/>
      <c r="M137" s="95"/>
      <c r="N137" s="128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24"/>
      <c r="B138" s="125"/>
      <c r="C138" s="125"/>
      <c r="D138" s="125"/>
      <c r="E138" s="126"/>
      <c r="F138" s="127"/>
      <c r="G138" s="121" t="str">
        <f t="shared" si="1"/>
        <v/>
      </c>
      <c r="H138" s="125"/>
      <c r="I138" s="128"/>
      <c r="J138" s="128"/>
      <c r="K138" s="125"/>
      <c r="L138" s="125"/>
      <c r="M138" s="95"/>
      <c r="N138" s="128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24"/>
      <c r="B139" s="125"/>
      <c r="C139" s="125"/>
      <c r="D139" s="125"/>
      <c r="E139" s="126"/>
      <c r="F139" s="127"/>
      <c r="G139" s="121" t="str">
        <f t="shared" si="1"/>
        <v/>
      </c>
      <c r="H139" s="125"/>
      <c r="I139" s="128"/>
      <c r="J139" s="128"/>
      <c r="K139" s="125"/>
      <c r="L139" s="125"/>
      <c r="M139" s="95"/>
      <c r="N139" s="128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24"/>
      <c r="B140" s="125"/>
      <c r="C140" s="125"/>
      <c r="D140" s="125"/>
      <c r="E140" s="126"/>
      <c r="F140" s="127"/>
      <c r="G140" s="121" t="str">
        <f t="shared" si="1"/>
        <v/>
      </c>
      <c r="H140" s="125"/>
      <c r="I140" s="128"/>
      <c r="J140" s="128"/>
      <c r="K140" s="125"/>
      <c r="L140" s="125"/>
      <c r="M140" s="95"/>
      <c r="N140" s="128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24"/>
      <c r="B141" s="125"/>
      <c r="C141" s="125"/>
      <c r="D141" s="125"/>
      <c r="E141" s="126"/>
      <c r="F141" s="127"/>
      <c r="G141" s="121" t="str">
        <f t="shared" si="1"/>
        <v/>
      </c>
      <c r="H141" s="125"/>
      <c r="I141" s="128"/>
      <c r="J141" s="128"/>
      <c r="K141" s="125"/>
      <c r="L141" s="125"/>
      <c r="M141" s="95"/>
      <c r="N141" s="128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24"/>
      <c r="B142" s="125"/>
      <c r="C142" s="125"/>
      <c r="D142" s="125"/>
      <c r="E142" s="126"/>
      <c r="F142" s="127"/>
      <c r="G142" s="121" t="str">
        <f t="shared" si="1"/>
        <v/>
      </c>
      <c r="H142" s="125"/>
      <c r="I142" s="128"/>
      <c r="J142" s="128"/>
      <c r="K142" s="125"/>
      <c r="L142" s="125"/>
      <c r="M142" s="95"/>
      <c r="N142" s="128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24"/>
      <c r="B143" s="125"/>
      <c r="C143" s="125"/>
      <c r="D143" s="125"/>
      <c r="E143" s="126"/>
      <c r="F143" s="127"/>
      <c r="G143" s="121" t="str">
        <f t="shared" si="1"/>
        <v/>
      </c>
      <c r="H143" s="125"/>
      <c r="I143" s="128"/>
      <c r="J143" s="128"/>
      <c r="K143" s="125"/>
      <c r="L143" s="125"/>
      <c r="M143" s="95"/>
      <c r="N143" s="128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24"/>
      <c r="B144" s="125"/>
      <c r="C144" s="125"/>
      <c r="D144" s="125"/>
      <c r="E144" s="126"/>
      <c r="F144" s="127"/>
      <c r="G144" s="121" t="str">
        <f t="shared" si="1"/>
        <v/>
      </c>
      <c r="H144" s="125"/>
      <c r="I144" s="128"/>
      <c r="J144" s="128"/>
      <c r="K144" s="125"/>
      <c r="L144" s="125"/>
      <c r="M144" s="95"/>
      <c r="N144" s="128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24"/>
      <c r="B145" s="125"/>
      <c r="C145" s="125"/>
      <c r="D145" s="125"/>
      <c r="E145" s="126"/>
      <c r="F145" s="127"/>
      <c r="G145" s="121" t="str">
        <f t="shared" si="1"/>
        <v/>
      </c>
      <c r="H145" s="125"/>
      <c r="I145" s="128"/>
      <c r="J145" s="128"/>
      <c r="K145" s="125"/>
      <c r="L145" s="125"/>
      <c r="M145" s="95"/>
      <c r="N145" s="128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24"/>
      <c r="B146" s="125"/>
      <c r="C146" s="125"/>
      <c r="D146" s="125"/>
      <c r="E146" s="126"/>
      <c r="F146" s="127"/>
      <c r="G146" s="121" t="str">
        <f t="shared" si="1"/>
        <v/>
      </c>
      <c r="H146" s="125"/>
      <c r="I146" s="128"/>
      <c r="J146" s="128"/>
      <c r="K146" s="125"/>
      <c r="L146" s="125"/>
      <c r="M146" s="95"/>
      <c r="N146" s="128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24"/>
      <c r="B147" s="125"/>
      <c r="C147" s="125"/>
      <c r="D147" s="125"/>
      <c r="E147" s="126"/>
      <c r="F147" s="127"/>
      <c r="G147" s="121" t="str">
        <f t="shared" si="1"/>
        <v/>
      </c>
      <c r="H147" s="125"/>
      <c r="I147" s="128"/>
      <c r="J147" s="128"/>
      <c r="K147" s="125"/>
      <c r="L147" s="125"/>
      <c r="M147" s="95"/>
      <c r="N147" s="128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24"/>
      <c r="B148" s="125"/>
      <c r="C148" s="125"/>
      <c r="D148" s="125"/>
      <c r="E148" s="126"/>
      <c r="F148" s="127"/>
      <c r="G148" s="121" t="str">
        <f t="shared" si="1"/>
        <v/>
      </c>
      <c r="H148" s="125"/>
      <c r="I148" s="128"/>
      <c r="J148" s="128"/>
      <c r="K148" s="125"/>
      <c r="L148" s="125"/>
      <c r="M148" s="95"/>
      <c r="N148" s="128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24"/>
      <c r="B149" s="125"/>
      <c r="C149" s="125"/>
      <c r="D149" s="125"/>
      <c r="E149" s="126"/>
      <c r="F149" s="127"/>
      <c r="G149" s="121" t="str">
        <f t="shared" si="1"/>
        <v/>
      </c>
      <c r="H149" s="125"/>
      <c r="I149" s="128"/>
      <c r="J149" s="128"/>
      <c r="K149" s="125"/>
      <c r="L149" s="125"/>
      <c r="M149" s="95"/>
      <c r="N149" s="128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24"/>
      <c r="B150" s="125"/>
      <c r="C150" s="125"/>
      <c r="D150" s="125"/>
      <c r="E150" s="126"/>
      <c r="F150" s="127"/>
      <c r="G150" s="121" t="str">
        <f t="shared" si="1"/>
        <v/>
      </c>
      <c r="H150" s="125"/>
      <c r="I150" s="128"/>
      <c r="J150" s="128"/>
      <c r="K150" s="125"/>
      <c r="L150" s="125"/>
      <c r="M150" s="95"/>
      <c r="N150" s="128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24"/>
      <c r="B151" s="125"/>
      <c r="C151" s="125"/>
      <c r="D151" s="125"/>
      <c r="E151" s="126"/>
      <c r="F151" s="127"/>
      <c r="G151" s="121" t="str">
        <f t="shared" si="1"/>
        <v/>
      </c>
      <c r="H151" s="125"/>
      <c r="I151" s="128"/>
      <c r="J151" s="128"/>
      <c r="K151" s="125"/>
      <c r="L151" s="125"/>
      <c r="M151" s="95"/>
      <c r="N151" s="128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24"/>
      <c r="B152" s="125"/>
      <c r="C152" s="125"/>
      <c r="D152" s="125"/>
      <c r="E152" s="126"/>
      <c r="F152" s="127"/>
      <c r="G152" s="121" t="str">
        <f t="shared" si="1"/>
        <v/>
      </c>
      <c r="H152" s="125"/>
      <c r="I152" s="128"/>
      <c r="J152" s="128"/>
      <c r="K152" s="125"/>
      <c r="L152" s="125"/>
      <c r="M152" s="95"/>
      <c r="N152" s="128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24"/>
      <c r="B153" s="125"/>
      <c r="C153" s="125"/>
      <c r="D153" s="125"/>
      <c r="E153" s="126"/>
      <c r="F153" s="127"/>
      <c r="G153" s="121" t="str">
        <f t="shared" si="1"/>
        <v/>
      </c>
      <c r="H153" s="125"/>
      <c r="I153" s="128"/>
      <c r="J153" s="128"/>
      <c r="K153" s="125"/>
      <c r="L153" s="125"/>
      <c r="M153" s="95"/>
      <c r="N153" s="128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24"/>
      <c r="B154" s="125"/>
      <c r="C154" s="125"/>
      <c r="D154" s="125"/>
      <c r="E154" s="126"/>
      <c r="F154" s="127"/>
      <c r="G154" s="121" t="str">
        <f t="shared" si="1"/>
        <v/>
      </c>
      <c r="H154" s="125"/>
      <c r="I154" s="128"/>
      <c r="J154" s="128"/>
      <c r="K154" s="125"/>
      <c r="L154" s="125"/>
      <c r="M154" s="95"/>
      <c r="N154" s="128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24"/>
      <c r="B155" s="125"/>
      <c r="C155" s="125"/>
      <c r="D155" s="125"/>
      <c r="E155" s="126"/>
      <c r="F155" s="127"/>
      <c r="G155" s="121" t="str">
        <f t="shared" si="1"/>
        <v/>
      </c>
      <c r="H155" s="125"/>
      <c r="I155" s="128"/>
      <c r="J155" s="128"/>
      <c r="K155" s="125"/>
      <c r="L155" s="125"/>
      <c r="M155" s="95"/>
      <c r="N155" s="128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24"/>
      <c r="B156" s="125"/>
      <c r="C156" s="125"/>
      <c r="D156" s="125"/>
      <c r="E156" s="126"/>
      <c r="F156" s="127"/>
      <c r="G156" s="121" t="str">
        <f t="shared" si="1"/>
        <v/>
      </c>
      <c r="H156" s="125"/>
      <c r="I156" s="128"/>
      <c r="J156" s="128"/>
      <c r="K156" s="125"/>
      <c r="L156" s="125"/>
      <c r="M156" s="95"/>
      <c r="N156" s="128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24"/>
      <c r="B157" s="125"/>
      <c r="C157" s="125"/>
      <c r="D157" s="125"/>
      <c r="E157" s="126"/>
      <c r="F157" s="127"/>
      <c r="G157" s="121" t="str">
        <f t="shared" si="1"/>
        <v/>
      </c>
      <c r="H157" s="125"/>
      <c r="I157" s="128"/>
      <c r="J157" s="128"/>
      <c r="K157" s="125"/>
      <c r="L157" s="125"/>
      <c r="M157" s="95"/>
      <c r="N157" s="128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24"/>
      <c r="B158" s="125"/>
      <c r="C158" s="125"/>
      <c r="D158" s="125"/>
      <c r="E158" s="126"/>
      <c r="F158" s="127"/>
      <c r="G158" s="121" t="str">
        <f t="shared" si="1"/>
        <v/>
      </c>
      <c r="H158" s="125"/>
      <c r="I158" s="128"/>
      <c r="J158" s="128"/>
      <c r="K158" s="125"/>
      <c r="L158" s="125"/>
      <c r="M158" s="95"/>
      <c r="N158" s="128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24"/>
      <c r="B159" s="125"/>
      <c r="C159" s="125"/>
      <c r="D159" s="125"/>
      <c r="E159" s="126"/>
      <c r="F159" s="127"/>
      <c r="G159" s="121" t="str">
        <f t="shared" si="1"/>
        <v/>
      </c>
      <c r="H159" s="125"/>
      <c r="I159" s="128"/>
      <c r="J159" s="128"/>
      <c r="K159" s="125"/>
      <c r="L159" s="125"/>
      <c r="M159" s="95"/>
      <c r="N159" s="128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24"/>
      <c r="B160" s="125"/>
      <c r="C160" s="125"/>
      <c r="D160" s="125"/>
      <c r="E160" s="126"/>
      <c r="F160" s="127"/>
      <c r="G160" s="121" t="str">
        <f t="shared" si="1"/>
        <v/>
      </c>
      <c r="H160" s="125"/>
      <c r="I160" s="128"/>
      <c r="J160" s="128"/>
      <c r="K160" s="125"/>
      <c r="L160" s="125"/>
      <c r="M160" s="95"/>
      <c r="N160" s="128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24"/>
      <c r="B161" s="125"/>
      <c r="C161" s="125"/>
      <c r="D161" s="125"/>
      <c r="E161" s="126"/>
      <c r="F161" s="127"/>
      <c r="G161" s="121" t="str">
        <f t="shared" si="1"/>
        <v/>
      </c>
      <c r="H161" s="125"/>
      <c r="I161" s="128"/>
      <c r="J161" s="128"/>
      <c r="K161" s="125"/>
      <c r="L161" s="125"/>
      <c r="M161" s="95"/>
      <c r="N161" s="128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24"/>
      <c r="B162" s="125"/>
      <c r="C162" s="125"/>
      <c r="D162" s="125"/>
      <c r="E162" s="126"/>
      <c r="F162" s="127"/>
      <c r="G162" s="121" t="str">
        <f t="shared" si="1"/>
        <v/>
      </c>
      <c r="H162" s="125"/>
      <c r="I162" s="128"/>
      <c r="J162" s="128"/>
      <c r="K162" s="125"/>
      <c r="L162" s="125"/>
      <c r="M162" s="95"/>
      <c r="N162" s="128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24"/>
      <c r="B163" s="125"/>
      <c r="C163" s="125"/>
      <c r="D163" s="125"/>
      <c r="E163" s="126"/>
      <c r="F163" s="127"/>
      <c r="G163" s="121" t="str">
        <f t="shared" si="1"/>
        <v/>
      </c>
      <c r="H163" s="125"/>
      <c r="I163" s="128"/>
      <c r="J163" s="128"/>
      <c r="K163" s="125"/>
      <c r="L163" s="125"/>
      <c r="M163" s="95"/>
      <c r="N163" s="128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24"/>
      <c r="B164" s="125"/>
      <c r="C164" s="125"/>
      <c r="D164" s="125"/>
      <c r="E164" s="126"/>
      <c r="F164" s="127"/>
      <c r="G164" s="121" t="str">
        <f t="shared" si="1"/>
        <v/>
      </c>
      <c r="H164" s="125"/>
      <c r="I164" s="128"/>
      <c r="J164" s="128"/>
      <c r="K164" s="125"/>
      <c r="L164" s="125"/>
      <c r="M164" s="95"/>
      <c r="N164" s="128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24"/>
      <c r="B165" s="125"/>
      <c r="C165" s="125"/>
      <c r="D165" s="125"/>
      <c r="E165" s="126"/>
      <c r="F165" s="127"/>
      <c r="G165" s="121" t="str">
        <f t="shared" si="1"/>
        <v/>
      </c>
      <c r="H165" s="125"/>
      <c r="I165" s="128"/>
      <c r="J165" s="128"/>
      <c r="K165" s="125"/>
      <c r="L165" s="125"/>
      <c r="M165" s="95"/>
      <c r="N165" s="128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24"/>
      <c r="B166" s="125"/>
      <c r="C166" s="125"/>
      <c r="D166" s="125"/>
      <c r="E166" s="126"/>
      <c r="F166" s="127"/>
      <c r="G166" s="121" t="str">
        <f t="shared" si="1"/>
        <v/>
      </c>
      <c r="H166" s="125"/>
      <c r="I166" s="128"/>
      <c r="J166" s="128"/>
      <c r="K166" s="125"/>
      <c r="L166" s="125"/>
      <c r="M166" s="95"/>
      <c r="N166" s="128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24"/>
      <c r="B167" s="125"/>
      <c r="C167" s="125"/>
      <c r="D167" s="125"/>
      <c r="E167" s="126"/>
      <c r="F167" s="127"/>
      <c r="G167" s="121" t="str">
        <f t="shared" si="1"/>
        <v/>
      </c>
      <c r="H167" s="125"/>
      <c r="I167" s="128"/>
      <c r="J167" s="128"/>
      <c r="K167" s="125"/>
      <c r="L167" s="125"/>
      <c r="M167" s="95"/>
      <c r="N167" s="128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24"/>
      <c r="B168" s="125"/>
      <c r="C168" s="125"/>
      <c r="D168" s="125"/>
      <c r="E168" s="126"/>
      <c r="F168" s="127"/>
      <c r="G168" s="121" t="str">
        <f t="shared" si="1"/>
        <v/>
      </c>
      <c r="H168" s="125"/>
      <c r="I168" s="128"/>
      <c r="J168" s="128"/>
      <c r="K168" s="125"/>
      <c r="L168" s="125"/>
      <c r="M168" s="95"/>
      <c r="N168" s="128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24"/>
      <c r="B169" s="125"/>
      <c r="C169" s="125"/>
      <c r="D169" s="125"/>
      <c r="E169" s="126"/>
      <c r="F169" s="127"/>
      <c r="G169" s="121" t="str">
        <f t="shared" si="1"/>
        <v/>
      </c>
      <c r="H169" s="125"/>
      <c r="I169" s="128"/>
      <c r="J169" s="128"/>
      <c r="K169" s="125"/>
      <c r="L169" s="125"/>
      <c r="M169" s="95"/>
      <c r="N169" s="128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24"/>
      <c r="B170" s="125"/>
      <c r="C170" s="125"/>
      <c r="D170" s="125"/>
      <c r="E170" s="126"/>
      <c r="F170" s="127"/>
      <c r="G170" s="121" t="str">
        <f t="shared" si="1"/>
        <v/>
      </c>
      <c r="H170" s="125"/>
      <c r="I170" s="128"/>
      <c r="J170" s="128"/>
      <c r="K170" s="125"/>
      <c r="L170" s="125"/>
      <c r="M170" s="95"/>
      <c r="N170" s="128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24"/>
      <c r="B171" s="125"/>
      <c r="C171" s="125"/>
      <c r="D171" s="125"/>
      <c r="E171" s="126"/>
      <c r="F171" s="127"/>
      <c r="G171" s="121" t="str">
        <f t="shared" si="1"/>
        <v/>
      </c>
      <c r="H171" s="125"/>
      <c r="I171" s="128"/>
      <c r="J171" s="128"/>
      <c r="K171" s="125"/>
      <c r="L171" s="125"/>
      <c r="M171" s="95"/>
      <c r="N171" s="128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24"/>
      <c r="B172" s="125"/>
      <c r="C172" s="125"/>
      <c r="D172" s="125"/>
      <c r="E172" s="126"/>
      <c r="F172" s="127"/>
      <c r="G172" s="121" t="str">
        <f t="shared" si="1"/>
        <v/>
      </c>
      <c r="H172" s="125"/>
      <c r="I172" s="128"/>
      <c r="J172" s="128"/>
      <c r="K172" s="125"/>
      <c r="L172" s="125"/>
      <c r="M172" s="95"/>
      <c r="N172" s="128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24"/>
      <c r="B173" s="125"/>
      <c r="C173" s="125"/>
      <c r="D173" s="125"/>
      <c r="E173" s="126"/>
      <c r="F173" s="127"/>
      <c r="G173" s="121" t="str">
        <f t="shared" si="1"/>
        <v/>
      </c>
      <c r="H173" s="125"/>
      <c r="I173" s="128"/>
      <c r="J173" s="128"/>
      <c r="K173" s="125"/>
      <c r="L173" s="125"/>
      <c r="M173" s="95"/>
      <c r="N173" s="128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24"/>
      <c r="B174" s="125"/>
      <c r="C174" s="125"/>
      <c r="D174" s="125"/>
      <c r="E174" s="126"/>
      <c r="F174" s="127"/>
      <c r="G174" s="121" t="str">
        <f t="shared" si="1"/>
        <v/>
      </c>
      <c r="H174" s="125"/>
      <c r="I174" s="128"/>
      <c r="J174" s="128"/>
      <c r="K174" s="125"/>
      <c r="L174" s="125"/>
      <c r="M174" s="95"/>
      <c r="N174" s="128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24"/>
      <c r="B175" s="125"/>
      <c r="C175" s="125"/>
      <c r="D175" s="125"/>
      <c r="E175" s="126"/>
      <c r="F175" s="127"/>
      <c r="G175" s="121" t="str">
        <f t="shared" si="1"/>
        <v/>
      </c>
      <c r="H175" s="125"/>
      <c r="I175" s="128"/>
      <c r="J175" s="128"/>
      <c r="K175" s="125"/>
      <c r="L175" s="125"/>
      <c r="M175" s="95"/>
      <c r="N175" s="128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24"/>
      <c r="B176" s="125"/>
      <c r="C176" s="125"/>
      <c r="D176" s="125"/>
      <c r="E176" s="126"/>
      <c r="F176" s="127"/>
      <c r="G176" s="121" t="str">
        <f t="shared" si="1"/>
        <v/>
      </c>
      <c r="H176" s="125"/>
      <c r="I176" s="128"/>
      <c r="J176" s="128"/>
      <c r="K176" s="125"/>
      <c r="L176" s="125"/>
      <c r="M176" s="95"/>
      <c r="N176" s="128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24"/>
      <c r="B177" s="125"/>
      <c r="C177" s="125"/>
      <c r="D177" s="125"/>
      <c r="E177" s="126"/>
      <c r="F177" s="127"/>
      <c r="G177" s="121" t="str">
        <f t="shared" si="1"/>
        <v/>
      </c>
      <c r="H177" s="125"/>
      <c r="I177" s="128"/>
      <c r="J177" s="128"/>
      <c r="K177" s="125"/>
      <c r="L177" s="125"/>
      <c r="M177" s="95"/>
      <c r="N177" s="128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24"/>
      <c r="B178" s="125"/>
      <c r="C178" s="125"/>
      <c r="D178" s="125"/>
      <c r="E178" s="126"/>
      <c r="F178" s="127"/>
      <c r="G178" s="121" t="str">
        <f t="shared" si="1"/>
        <v/>
      </c>
      <c r="H178" s="125"/>
      <c r="I178" s="128"/>
      <c r="J178" s="128"/>
      <c r="K178" s="125"/>
      <c r="L178" s="125"/>
      <c r="M178" s="95"/>
      <c r="N178" s="128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24"/>
      <c r="B179" s="125"/>
      <c r="C179" s="125"/>
      <c r="D179" s="125"/>
      <c r="E179" s="126"/>
      <c r="F179" s="127"/>
      <c r="G179" s="121" t="str">
        <f t="shared" si="1"/>
        <v/>
      </c>
      <c r="H179" s="125"/>
      <c r="I179" s="128"/>
      <c r="J179" s="128"/>
      <c r="K179" s="125"/>
      <c r="L179" s="125"/>
      <c r="M179" s="95"/>
      <c r="N179" s="128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24"/>
      <c r="B180" s="125"/>
      <c r="C180" s="125"/>
      <c r="D180" s="125"/>
      <c r="E180" s="126"/>
      <c r="F180" s="127"/>
      <c r="G180" s="121" t="str">
        <f t="shared" si="1"/>
        <v/>
      </c>
      <c r="H180" s="125"/>
      <c r="I180" s="128"/>
      <c r="J180" s="128"/>
      <c r="K180" s="125"/>
      <c r="L180" s="125"/>
      <c r="M180" s="95"/>
      <c r="N180" s="128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24"/>
      <c r="B181" s="125"/>
      <c r="C181" s="125"/>
      <c r="D181" s="125"/>
      <c r="E181" s="126"/>
      <c r="F181" s="127"/>
      <c r="G181" s="121" t="str">
        <f t="shared" si="1"/>
        <v/>
      </c>
      <c r="H181" s="125"/>
      <c r="I181" s="128"/>
      <c r="J181" s="128"/>
      <c r="K181" s="125"/>
      <c r="L181" s="125"/>
      <c r="M181" s="95"/>
      <c r="N181" s="128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24"/>
      <c r="B182" s="125"/>
      <c r="C182" s="125"/>
      <c r="D182" s="125"/>
      <c r="E182" s="126"/>
      <c r="F182" s="127"/>
      <c r="G182" s="121" t="str">
        <f t="shared" si="1"/>
        <v/>
      </c>
      <c r="H182" s="125"/>
      <c r="I182" s="128"/>
      <c r="J182" s="128"/>
      <c r="K182" s="125"/>
      <c r="L182" s="125"/>
      <c r="M182" s="95"/>
      <c r="N182" s="128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24"/>
      <c r="B183" s="125"/>
      <c r="C183" s="125"/>
      <c r="D183" s="125"/>
      <c r="E183" s="126"/>
      <c r="F183" s="127"/>
      <c r="G183" s="121" t="str">
        <f t="shared" si="1"/>
        <v/>
      </c>
      <c r="H183" s="125"/>
      <c r="I183" s="128"/>
      <c r="J183" s="128"/>
      <c r="K183" s="125"/>
      <c r="L183" s="125"/>
      <c r="M183" s="95"/>
      <c r="N183" s="128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24"/>
      <c r="B184" s="125"/>
      <c r="C184" s="125"/>
      <c r="D184" s="125"/>
      <c r="E184" s="126"/>
      <c r="F184" s="127"/>
      <c r="G184" s="121" t="str">
        <f t="shared" si="1"/>
        <v/>
      </c>
      <c r="H184" s="125"/>
      <c r="I184" s="128"/>
      <c r="J184" s="128"/>
      <c r="K184" s="125"/>
      <c r="L184" s="125"/>
      <c r="M184" s="95"/>
      <c r="N184" s="128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24"/>
      <c r="B185" s="125"/>
      <c r="C185" s="125"/>
      <c r="D185" s="125"/>
      <c r="E185" s="126"/>
      <c r="F185" s="127"/>
      <c r="G185" s="121" t="str">
        <f t="shared" si="1"/>
        <v/>
      </c>
      <c r="H185" s="125"/>
      <c r="I185" s="128"/>
      <c r="J185" s="128"/>
      <c r="K185" s="125"/>
      <c r="L185" s="125"/>
      <c r="M185" s="95"/>
      <c r="N185" s="128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24"/>
      <c r="B186" s="125"/>
      <c r="C186" s="125"/>
      <c r="D186" s="125"/>
      <c r="E186" s="126"/>
      <c r="F186" s="127"/>
      <c r="G186" s="121" t="str">
        <f t="shared" si="1"/>
        <v/>
      </c>
      <c r="H186" s="125"/>
      <c r="I186" s="128"/>
      <c r="J186" s="128"/>
      <c r="K186" s="125"/>
      <c r="L186" s="125"/>
      <c r="M186" s="95"/>
      <c r="N186" s="128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24"/>
      <c r="B187" s="125"/>
      <c r="C187" s="125"/>
      <c r="D187" s="125"/>
      <c r="E187" s="126"/>
      <c r="F187" s="127"/>
      <c r="G187" s="121" t="str">
        <f t="shared" si="1"/>
        <v/>
      </c>
      <c r="H187" s="125"/>
      <c r="I187" s="128"/>
      <c r="J187" s="128"/>
      <c r="K187" s="125"/>
      <c r="L187" s="125"/>
      <c r="M187" s="95"/>
      <c r="N187" s="128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24"/>
      <c r="B188" s="125"/>
      <c r="C188" s="125"/>
      <c r="D188" s="125"/>
      <c r="E188" s="126"/>
      <c r="F188" s="127"/>
      <c r="G188" s="121" t="str">
        <f t="shared" si="1"/>
        <v/>
      </c>
      <c r="H188" s="125"/>
      <c r="I188" s="128"/>
      <c r="J188" s="128"/>
      <c r="K188" s="125"/>
      <c r="L188" s="125"/>
      <c r="M188" s="95"/>
      <c r="N188" s="128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24"/>
      <c r="B189" s="125"/>
      <c r="C189" s="125"/>
      <c r="D189" s="125"/>
      <c r="E189" s="126"/>
      <c r="F189" s="127"/>
      <c r="G189" s="121" t="str">
        <f t="shared" si="1"/>
        <v/>
      </c>
      <c r="H189" s="125"/>
      <c r="I189" s="128"/>
      <c r="J189" s="128"/>
      <c r="K189" s="125"/>
      <c r="L189" s="125"/>
      <c r="M189" s="95"/>
      <c r="N189" s="128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24"/>
      <c r="B190" s="125"/>
      <c r="C190" s="125"/>
      <c r="D190" s="125"/>
      <c r="E190" s="126"/>
      <c r="F190" s="127"/>
      <c r="G190" s="121" t="str">
        <f t="shared" si="1"/>
        <v/>
      </c>
      <c r="H190" s="125"/>
      <c r="I190" s="128"/>
      <c r="J190" s="128"/>
      <c r="K190" s="125"/>
      <c r="L190" s="125"/>
      <c r="M190" s="95"/>
      <c r="N190" s="128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24"/>
      <c r="B191" s="125"/>
      <c r="C191" s="125"/>
      <c r="D191" s="125"/>
      <c r="E191" s="126"/>
      <c r="F191" s="127"/>
      <c r="G191" s="121" t="str">
        <f t="shared" si="1"/>
        <v/>
      </c>
      <c r="H191" s="125"/>
      <c r="I191" s="128"/>
      <c r="J191" s="128"/>
      <c r="K191" s="125"/>
      <c r="L191" s="125"/>
      <c r="M191" s="95"/>
      <c r="N191" s="128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24"/>
      <c r="B192" s="125"/>
      <c r="C192" s="125"/>
      <c r="D192" s="125"/>
      <c r="E192" s="126"/>
      <c r="F192" s="127"/>
      <c r="G192" s="121" t="str">
        <f t="shared" si="1"/>
        <v/>
      </c>
      <c r="H192" s="125"/>
      <c r="I192" s="128"/>
      <c r="J192" s="128"/>
      <c r="K192" s="125"/>
      <c r="L192" s="125"/>
      <c r="M192" s="95"/>
      <c r="N192" s="128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24"/>
      <c r="B193" s="125"/>
      <c r="C193" s="125"/>
      <c r="D193" s="125"/>
      <c r="E193" s="126"/>
      <c r="F193" s="127"/>
      <c r="G193" s="121" t="str">
        <f t="shared" si="1"/>
        <v/>
      </c>
      <c r="H193" s="125"/>
      <c r="I193" s="128"/>
      <c r="J193" s="128"/>
      <c r="K193" s="125"/>
      <c r="L193" s="125"/>
      <c r="M193" s="95"/>
      <c r="N193" s="128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24"/>
      <c r="B194" s="125"/>
      <c r="C194" s="125"/>
      <c r="D194" s="125"/>
      <c r="E194" s="126"/>
      <c r="F194" s="127"/>
      <c r="G194" s="121" t="str">
        <f t="shared" si="1"/>
        <v/>
      </c>
      <c r="H194" s="125"/>
      <c r="I194" s="128"/>
      <c r="J194" s="128"/>
      <c r="K194" s="125"/>
      <c r="L194" s="125"/>
      <c r="M194" s="95"/>
      <c r="N194" s="128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24"/>
      <c r="B195" s="125"/>
      <c r="C195" s="125"/>
      <c r="D195" s="125"/>
      <c r="E195" s="126"/>
      <c r="F195" s="127"/>
      <c r="G195" s="121" t="str">
        <f t="shared" si="1"/>
        <v/>
      </c>
      <c r="H195" s="125"/>
      <c r="I195" s="128"/>
      <c r="J195" s="128"/>
      <c r="K195" s="125"/>
      <c r="L195" s="125"/>
      <c r="M195" s="95"/>
      <c r="N195" s="128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24"/>
      <c r="B196" s="125"/>
      <c r="C196" s="125"/>
      <c r="D196" s="125"/>
      <c r="E196" s="126"/>
      <c r="F196" s="127"/>
      <c r="G196" s="121" t="str">
        <f t="shared" si="1"/>
        <v/>
      </c>
      <c r="H196" s="125"/>
      <c r="I196" s="128"/>
      <c r="J196" s="128"/>
      <c r="K196" s="125"/>
      <c r="L196" s="125"/>
      <c r="M196" s="95"/>
      <c r="N196" s="128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24"/>
      <c r="B197" s="125"/>
      <c r="C197" s="125"/>
      <c r="D197" s="125"/>
      <c r="E197" s="126"/>
      <c r="F197" s="127"/>
      <c r="G197" s="121" t="str">
        <f t="shared" si="1"/>
        <v/>
      </c>
      <c r="H197" s="125"/>
      <c r="I197" s="128"/>
      <c r="J197" s="128"/>
      <c r="K197" s="125"/>
      <c r="L197" s="125"/>
      <c r="M197" s="95"/>
      <c r="N197" s="128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24"/>
      <c r="B198" s="125"/>
      <c r="C198" s="125"/>
      <c r="D198" s="125"/>
      <c r="E198" s="126"/>
      <c r="F198" s="127"/>
      <c r="G198" s="121" t="str">
        <f t="shared" si="1"/>
        <v/>
      </c>
      <c r="H198" s="125"/>
      <c r="I198" s="128"/>
      <c r="J198" s="128"/>
      <c r="K198" s="125"/>
      <c r="L198" s="125"/>
      <c r="M198" s="95"/>
      <c r="N198" s="128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24"/>
      <c r="B199" s="125"/>
      <c r="C199" s="125"/>
      <c r="D199" s="125"/>
      <c r="E199" s="126"/>
      <c r="F199" s="127"/>
      <c r="G199" s="121" t="str">
        <f t="shared" si="1"/>
        <v/>
      </c>
      <c r="H199" s="125"/>
      <c r="I199" s="128"/>
      <c r="J199" s="128"/>
      <c r="K199" s="125"/>
      <c r="L199" s="125"/>
      <c r="M199" s="95"/>
      <c r="N199" s="128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24"/>
      <c r="B200" s="125"/>
      <c r="C200" s="125"/>
      <c r="D200" s="125"/>
      <c r="E200" s="126"/>
      <c r="F200" s="127"/>
      <c r="G200" s="121" t="str">
        <f t="shared" si="1"/>
        <v/>
      </c>
      <c r="H200" s="125"/>
      <c r="I200" s="128"/>
      <c r="J200" s="128"/>
      <c r="K200" s="125"/>
      <c r="L200" s="125"/>
      <c r="M200" s="95"/>
      <c r="N200" s="128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24"/>
      <c r="B201" s="125"/>
      <c r="C201" s="125"/>
      <c r="D201" s="125"/>
      <c r="E201" s="126"/>
      <c r="F201" s="127"/>
      <c r="G201" s="121" t="str">
        <f t="shared" si="1"/>
        <v/>
      </c>
      <c r="H201" s="125"/>
      <c r="I201" s="128"/>
      <c r="J201" s="128"/>
      <c r="K201" s="125"/>
      <c r="L201" s="125"/>
      <c r="M201" s="95"/>
      <c r="N201" s="128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24"/>
      <c r="B202" s="125"/>
      <c r="C202" s="125"/>
      <c r="D202" s="125"/>
      <c r="E202" s="126"/>
      <c r="F202" s="127"/>
      <c r="G202" s="121" t="str">
        <f t="shared" si="1"/>
        <v/>
      </c>
      <c r="H202" s="125"/>
      <c r="I202" s="128"/>
      <c r="J202" s="128"/>
      <c r="K202" s="125"/>
      <c r="L202" s="125"/>
      <c r="M202" s="95"/>
      <c r="N202" s="128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24"/>
      <c r="B203" s="125"/>
      <c r="C203" s="125"/>
      <c r="D203" s="125"/>
      <c r="E203" s="126"/>
      <c r="F203" s="127"/>
      <c r="G203" s="121" t="str">
        <f t="shared" si="1"/>
        <v/>
      </c>
      <c r="H203" s="125"/>
      <c r="I203" s="128"/>
      <c r="J203" s="128"/>
      <c r="K203" s="125"/>
      <c r="L203" s="125"/>
      <c r="M203" s="95"/>
      <c r="N203" s="128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24"/>
      <c r="B204" s="125"/>
      <c r="C204" s="125"/>
      <c r="D204" s="125"/>
      <c r="E204" s="126"/>
      <c r="F204" s="127"/>
      <c r="G204" s="121" t="str">
        <f t="shared" si="1"/>
        <v/>
      </c>
      <c r="H204" s="125"/>
      <c r="I204" s="128"/>
      <c r="J204" s="128"/>
      <c r="K204" s="125"/>
      <c r="L204" s="125"/>
      <c r="M204" s="95"/>
      <c r="N204" s="128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2" t="s">
        <v>407</v>
      </c>
      <c r="B207" s="20"/>
      <c r="C207" s="20"/>
      <c r="D207" s="2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355</v>
      </c>
      <c r="B208" s="4" t="s">
        <v>408</v>
      </c>
      <c r="C208" s="4" t="s">
        <v>409</v>
      </c>
      <c r="D208" s="4" t="s">
        <v>410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3" t="s">
        <v>378</v>
      </c>
      <c r="B209" s="140">
        <f t="shared" ref="B209:B216" si="2">COUNTIF($K$5:$K$204,A209)</f>
        <v>1</v>
      </c>
      <c r="C209" s="111">
        <f t="shared" ref="C209:C216" si="3">SUMIFS($M$5:$M$204,$K$5:$K$204,A209)</f>
        <v>-800000</v>
      </c>
      <c r="D209" s="103">
        <f t="shared" ref="D209:D218" si="4">IFERROR(C209/B209,"-")</f>
        <v>-800000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3" t="s">
        <v>371</v>
      </c>
      <c r="B210" s="140">
        <f t="shared" si="2"/>
        <v>1</v>
      </c>
      <c r="C210" s="111">
        <f t="shared" si="3"/>
        <v>0</v>
      </c>
      <c r="D210" s="103">
        <f t="shared" si="4"/>
        <v>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3" t="s">
        <v>411</v>
      </c>
      <c r="B211" s="140">
        <f t="shared" si="2"/>
        <v>0</v>
      </c>
      <c r="C211" s="111">
        <f t="shared" si="3"/>
        <v>0</v>
      </c>
      <c r="D211" s="103" t="str">
        <f t="shared" si="4"/>
        <v>-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3" t="s">
        <v>412</v>
      </c>
      <c r="B212" s="140">
        <f t="shared" si="2"/>
        <v>0</v>
      </c>
      <c r="C212" s="111">
        <f t="shared" si="3"/>
        <v>0</v>
      </c>
      <c r="D212" s="103" t="str">
        <f t="shared" si="4"/>
        <v>-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3" t="s">
        <v>413</v>
      </c>
      <c r="B213" s="140">
        <f t="shared" si="2"/>
        <v>0</v>
      </c>
      <c r="C213" s="111">
        <f t="shared" si="3"/>
        <v>0</v>
      </c>
      <c r="D213" s="103" t="str">
        <f t="shared" si="4"/>
        <v>-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3" t="s">
        <v>414</v>
      </c>
      <c r="B214" s="140">
        <f t="shared" si="2"/>
        <v>0</v>
      </c>
      <c r="C214" s="111">
        <f t="shared" si="3"/>
        <v>0</v>
      </c>
      <c r="D214" s="103" t="str">
        <f t="shared" si="4"/>
        <v>-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3" t="s">
        <v>415</v>
      </c>
      <c r="B215" s="140">
        <f t="shared" si="2"/>
        <v>0</v>
      </c>
      <c r="C215" s="111">
        <f t="shared" si="3"/>
        <v>0</v>
      </c>
      <c r="D215" s="103" t="str">
        <f t="shared" si="4"/>
        <v>-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3" t="s">
        <v>416</v>
      </c>
      <c r="B216" s="140">
        <f t="shared" si="2"/>
        <v>0</v>
      </c>
      <c r="C216" s="111">
        <f t="shared" si="3"/>
        <v>0</v>
      </c>
      <c r="D216" s="103" t="str">
        <f t="shared" si="4"/>
        <v>-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3" t="s">
        <v>417</v>
      </c>
      <c r="B217" s="140">
        <f>COUNTIF($H$5:$H$204,"Y")</f>
        <v>1</v>
      </c>
      <c r="C217" s="111">
        <f>SUMIFS($M$5:$M$204,$H$5:$H$204,"Y")</f>
        <v>-800000</v>
      </c>
      <c r="D217" s="103">
        <f t="shared" si="4"/>
        <v>-800000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3" t="s">
        <v>418</v>
      </c>
      <c r="B218" s="140">
        <f>COUNTIF($H$5:$H$204,"N")</f>
        <v>1</v>
      </c>
      <c r="C218" s="111">
        <f>SUMIFS($M$5:$M$204,$H$5:$H$204,"N")</f>
        <v>0</v>
      </c>
      <c r="D218" s="103">
        <f t="shared" si="4"/>
        <v>0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1" t="s">
        <v>419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41" t="s">
        <v>2</v>
      </c>
      <c r="B222" s="141" t="s">
        <v>420</v>
      </c>
      <c r="C222" s="141" t="s">
        <v>421</v>
      </c>
      <c r="D222" s="141" t="s">
        <v>422</v>
      </c>
      <c r="E222" s="141" t="s">
        <v>423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0.0" customHeight="1">
      <c r="A223" s="24" t="s">
        <v>424</v>
      </c>
      <c r="B223" s="24" t="s">
        <v>425</v>
      </c>
      <c r="C223" s="24" t="s">
        <v>426</v>
      </c>
      <c r="D223" s="24" t="s">
        <v>427</v>
      </c>
      <c r="E223" s="142" t="s">
        <v>428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0.0" customHeight="1">
      <c r="A224" s="24" t="s">
        <v>429</v>
      </c>
      <c r="B224" s="24" t="s">
        <v>430</v>
      </c>
      <c r="C224" s="24" t="s">
        <v>431</v>
      </c>
      <c r="D224" s="24" t="s">
        <v>432</v>
      </c>
      <c r="E224" s="142" t="s">
        <v>433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0.0" customHeight="1">
      <c r="A225" s="24" t="s">
        <v>434</v>
      </c>
      <c r="B225" s="24" t="s">
        <v>435</v>
      </c>
      <c r="C225" s="24" t="s">
        <v>436</v>
      </c>
      <c r="D225" s="24" t="s">
        <v>437</v>
      </c>
      <c r="E225" s="142" t="s">
        <v>438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0.0" customHeight="1">
      <c r="A226" s="24" t="s">
        <v>439</v>
      </c>
      <c r="B226" s="24" t="s">
        <v>440</v>
      </c>
      <c r="C226" s="24" t="s">
        <v>441</v>
      </c>
      <c r="D226" s="24" t="s">
        <v>442</v>
      </c>
      <c r="E226" s="142" t="s">
        <v>443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0.0" customHeight="1">
      <c r="A227" s="24" t="s">
        <v>444</v>
      </c>
      <c r="B227" s="24" t="s">
        <v>445</v>
      </c>
      <c r="C227" s="24" t="s">
        <v>446</v>
      </c>
      <c r="D227" s="24" t="s">
        <v>447</v>
      </c>
      <c r="E227" s="142" t="s">
        <v>448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0.0" customHeight="1">
      <c r="A228" s="24" t="s">
        <v>449</v>
      </c>
      <c r="B228" s="24" t="s">
        <v>450</v>
      </c>
      <c r="C228" s="24" t="s">
        <v>451</v>
      </c>
      <c r="D228" s="24" t="s">
        <v>452</v>
      </c>
      <c r="E228" s="142" t="s">
        <v>453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0.0" customHeight="1">
      <c r="A229" s="24" t="s">
        <v>454</v>
      </c>
      <c r="B229" s="24" t="s">
        <v>455</v>
      </c>
      <c r="C229" s="24" t="s">
        <v>456</v>
      </c>
      <c r="D229" s="24" t="s">
        <v>457</v>
      </c>
      <c r="E229" s="142" t="s">
        <v>458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mergeCells count="3">
    <mergeCell ref="A1:N1"/>
    <mergeCell ref="A207:D207"/>
    <mergeCell ref="A221:E221"/>
  </mergeCells>
  <dataValidations>
    <dataValidation type="list" allowBlank="1" sqref="C5:C204">
      <formula1>"국장,미장,ISA"</formula1>
    </dataValidation>
    <dataValidation type="list" allowBlank="1" sqref="H5:H204">
      <formula1>"Y,N"</formula1>
    </dataValidation>
    <dataValidation type="list" allowBlank="1" sqref="K5:K204">
      <formula1>"원칙준수,FOMO,패닉바잉,패닉셀,조급/복구욕구,과잉확신,분노,체념"</formula1>
    </dataValidation>
    <dataValidation type="list" allowBlank="1" sqref="D5:D204">
      <formula1>"매수,분할매수,매도,부분익절,손절,반대매매"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14.0"/>
    <col customWidth="1" min="2" max="3" width="17.0"/>
    <col customWidth="1" min="4" max="4" width="14.0"/>
    <col customWidth="1" min="5" max="6" width="15.0"/>
    <col customWidth="1" min="7" max="7" width="52.0"/>
    <col customWidth="1" min="8" max="8" width="22.0"/>
    <col customWidth="1" min="9" max="9" width="8.71"/>
    <col customWidth="1" hidden="1" min="10" max="17" width="12.0"/>
    <col customWidth="1" min="18" max="26" width="8.71"/>
  </cols>
  <sheetData>
    <row r="1" ht="24.0" customHeight="1">
      <c r="A1" s="1" t="s">
        <v>360</v>
      </c>
      <c r="J1" s="3"/>
      <c r="K1" s="3"/>
      <c r="L1" s="3"/>
      <c r="M1" s="3"/>
      <c r="N1" s="3"/>
      <c r="O1" s="3"/>
      <c r="P1" s="3"/>
      <c r="Q1" s="3"/>
    </row>
    <row r="2">
      <c r="A2" s="2" t="s">
        <v>361</v>
      </c>
      <c r="J2" s="3"/>
      <c r="K2" s="3"/>
      <c r="L2" s="3"/>
      <c r="M2" s="3"/>
      <c r="N2" s="3"/>
      <c r="O2" s="3"/>
      <c r="P2" s="3"/>
      <c r="Q2" s="3"/>
    </row>
    <row r="3">
      <c r="A3" s="30" t="s">
        <v>362</v>
      </c>
      <c r="J3" s="3"/>
      <c r="K3" s="3"/>
      <c r="L3" s="3"/>
      <c r="M3" s="3"/>
      <c r="N3" s="3"/>
      <c r="O3" s="3"/>
      <c r="P3" s="3"/>
      <c r="Q3" s="3"/>
    </row>
    <row r="4" ht="31.5" customHeight="1">
      <c r="A4" s="4" t="s">
        <v>363</v>
      </c>
      <c r="B4" s="4" t="s">
        <v>147</v>
      </c>
      <c r="C4" s="4" t="s">
        <v>365</v>
      </c>
      <c r="D4" s="4" t="s">
        <v>366</v>
      </c>
      <c r="E4" s="4" t="s">
        <v>368</v>
      </c>
      <c r="F4" s="4" t="s">
        <v>214</v>
      </c>
      <c r="G4" s="4" t="s">
        <v>369</v>
      </c>
      <c r="H4" s="4" t="s">
        <v>370</v>
      </c>
      <c r="J4" s="3"/>
      <c r="K4" s="3"/>
      <c r="L4" s="3"/>
      <c r="M4" s="3"/>
      <c r="N4" s="3"/>
      <c r="O4" s="3"/>
      <c r="P4" s="3"/>
      <c r="Q4" s="3"/>
    </row>
    <row r="5" ht="30.0" customHeight="1">
      <c r="A5" s="69"/>
      <c r="B5" s="82" t="str">
        <f>IF($A$5="","⚪ 미설정",IF(TODAY()-$A$5&gt;7,"🔴 "&amp;TEXT(TODAY()-$A$5-7,"0")&amp;"일 지남 — 갱신 필요",IF(TODAY()-$A$5&gt;=6,"🟡 갱신임박","🟢 갱신완료 (D-"&amp;TEXT(7-(TODAY()-$A$5),"0")&amp;")")))</f>
        <v>⚪ 미설정</v>
      </c>
      <c r="C5" s="10"/>
      <c r="D5" s="8" t="str">
        <f>IF($C$5="","",IF($C$5="🔴 Strong Bear",0.3,IF($C$5="🟠 Bear",0.4,IF($C$5="⚪ Neutral",0.5,IF($C$5="🟢 Bull",0.6,IF($C$5="🔵 Strong Bull",0.7,""))))))</f>
        <v/>
      </c>
      <c r="E5" s="8">
        <f>IFERROR(SUMIFS('03_포지션'!$I$17:$I$31,'03_포지션'!$H$17:$H$31,"&gt;1")/'03_포지션'!$B$41,"")</f>
        <v>0.6704837511</v>
      </c>
      <c r="F5" s="82" t="str">
        <f>IF(OR($D$5="",$E$5=""),"⚪ 기조 미설정",IF($E$5&gt;$D$5,"🔴 초과 "&amp;TEXT($E$5-$D$5,"0.0%"),"🟢 여유 "&amp;TEXT($D$5-$E$5,"0.0%")))</f>
        <v>⚪ 기조 미설정</v>
      </c>
      <c r="G5" s="99"/>
      <c r="H5" s="17" t="str">
        <f>IF($C$5="","",IF($C$5="🔴 Strong Bear",-2,IF($C$5="🟠 Bear",-1,IF($C$5="⚪ Neutral",0,IF($C$5="🟢 Bull",1,IF($C$5="🔵 Strong Bull",2,""))))))</f>
        <v/>
      </c>
      <c r="J5" s="3"/>
      <c r="K5" s="3"/>
      <c r="L5" s="3"/>
      <c r="M5" s="3"/>
      <c r="N5" s="3"/>
      <c r="O5" s="3"/>
      <c r="P5" s="3"/>
      <c r="Q5" s="3"/>
    </row>
    <row r="6" ht="25.5" customHeight="1">
      <c r="A6" s="2" t="s">
        <v>380</v>
      </c>
      <c r="J6" s="3"/>
      <c r="K6" s="3"/>
      <c r="L6" s="3"/>
      <c r="M6" s="3"/>
      <c r="N6" s="3"/>
      <c r="O6" s="3"/>
      <c r="P6" s="3"/>
      <c r="Q6" s="3"/>
    </row>
    <row r="7">
      <c r="A7" s="30" t="s">
        <v>381</v>
      </c>
      <c r="J7" s="3"/>
      <c r="K7" s="3"/>
      <c r="L7" s="3"/>
      <c r="M7" s="3"/>
      <c r="N7" s="3"/>
      <c r="O7" s="3"/>
      <c r="P7" s="3"/>
      <c r="Q7" s="3"/>
    </row>
    <row r="8" ht="27.75" customHeight="1">
      <c r="A8" s="4" t="s">
        <v>382</v>
      </c>
      <c r="B8" s="4" t="s">
        <v>383</v>
      </c>
      <c r="C8" s="4" t="s">
        <v>384</v>
      </c>
      <c r="D8" s="4" t="s">
        <v>385</v>
      </c>
      <c r="E8" s="4" t="s">
        <v>386</v>
      </c>
      <c r="F8" s="4" t="s">
        <v>387</v>
      </c>
      <c r="G8" s="4" t="s">
        <v>388</v>
      </c>
      <c r="H8" s="4" t="s">
        <v>389</v>
      </c>
      <c r="J8" s="3"/>
      <c r="K8" s="3"/>
      <c r="L8" s="3"/>
      <c r="M8" s="3"/>
      <c r="N8" s="3"/>
      <c r="O8" s="3"/>
      <c r="P8" s="3"/>
      <c r="Q8" s="3"/>
    </row>
    <row r="9">
      <c r="A9" s="44" t="s">
        <v>390</v>
      </c>
      <c r="B9" s="82" t="str">
        <f t="shared" ref="B9:B14" si="1">IF($M9="","—",$M9)</f>
        <v>—</v>
      </c>
      <c r="C9" s="82" t="str">
        <f t="shared" ref="C9:C14" si="2">IF($A9="기타","—",IF($N9="","—",$N9))</f>
        <v>—</v>
      </c>
      <c r="D9" s="129" t="str">
        <f t="shared" ref="D9:D14" si="3">IF($J9="","",IF($B$16&lt;=1,$J9,IF($B$16=2,AVERAGE($J9:$K9),AVERAGE($J9:$L9))))</f>
        <v/>
      </c>
      <c r="E9" s="82" t="str">
        <f t="shared" ref="E9:E14" si="4">IF($A9="기타","—",IF(OR($J9="",$K9=""),"— 기록 부족",IF($J9-$K9=0,"— 유지",IF($J9-$K9=1,"🔼 상향",IF($J9-$K9=-1,"🔽 하향",IF($J9-$K9&gt;=2,"⏫ 급반전","⏬ 급반전"))))))</f>
        <v>— 기록 부족</v>
      </c>
      <c r="F9" s="130" t="str">
        <f t="shared" ref="F9:F14" si="5">IF($P9="","—",$P9)</f>
        <v>—</v>
      </c>
      <c r="G9" s="85" t="str">
        <f t="shared" ref="G9:G14" si="6">$Q9</f>
        <v/>
      </c>
      <c r="H9" s="131" t="str">
        <f t="shared" ref="H9:H14" si="7">IF($P9="","—",TODAY()-$P9)</f>
        <v>—</v>
      </c>
      <c r="J9" s="132" t="str">
        <f t="shared" ref="J9:J14" si="8">IFERROR(INDEX($F$19:$F$218,MOD(AGGREGATE(14,6,($A$19:$A$218*10000+ROW($A$19:$A$218))/(($C$19:$C$218=$A9)*($A$19:$A$218&lt;&gt;"")),1),10000)-18),"")</f>
        <v/>
      </c>
      <c r="K9" s="132" t="str">
        <f t="shared" ref="K9:K14" si="9">IFERROR(INDEX($F$19:$F$218,MOD(AGGREGATE(14,6,($A$19:$A$218*10000+ROW($A$19:$A$218))/(($C$19:$C$218=$A9)*($A$19:$A$218&lt;&gt;"")),2),10000)-18),"")</f>
        <v/>
      </c>
      <c r="L9" s="132" t="str">
        <f t="shared" ref="L9:L14" si="10">IFERROR(INDEX($F$19:$F$218,MOD(AGGREGATE(14,6,($A$19:$A$218*10000+ROW($A$19:$A$218))/(($C$19:$C$218=$A9)*($A$19:$A$218&lt;&gt;"")),3),10000)-18),"")</f>
        <v/>
      </c>
      <c r="M9" s="132" t="str">
        <f t="shared" ref="M9:M14" si="11">IFERROR(INDEX($E$19:$E$218,MOD(AGGREGATE(14,6,($A$19:$A$218*10000+ROW($A$19:$A$218))/(($C$19:$C$218=$A9)*($A$19:$A$218&lt;&gt;"")),1),10000)-18),"")</f>
        <v/>
      </c>
      <c r="N9" s="132" t="str">
        <f t="shared" ref="N9:N14" si="12">IFERROR(INDEX($E$19:$E$218,MOD(AGGREGATE(14,6,($A$19:$A$218*10000+ROW($A$19:$A$218))/(($C$19:$C$218=$A9)*($A$19:$A$218&lt;&gt;"")),2),10000)-18),"")</f>
        <v/>
      </c>
      <c r="O9" s="132" t="str">
        <f t="shared" ref="O9:O14" si="13">IFERROR(INDEX($E$19:$E$218,MOD(AGGREGATE(14,6,($A$19:$A$218*10000+ROW($A$19:$A$218))/(($C$19:$C$218=$A9)*($A$19:$A$218&lt;&gt;"")),3),10000)-18),"")</f>
        <v/>
      </c>
      <c r="P9" s="133" t="str">
        <f t="shared" ref="P9:P14" si="14">IFERROR(INT(AGGREGATE(14,6,($A$19:$A$218*10000+ROW($A$19:$A$218))/(($C$19:$C$218=$A9)*($A$19:$A$218&lt;&gt;"")),1)/10000),"")</f>
        <v/>
      </c>
      <c r="Q9" s="132" t="str">
        <f t="shared" ref="Q9:Q14" si="15">IFERROR(INDEX($G$19:$G$218,MOD(AGGREGATE(14,6,($A$19:$A$218*10000+ROW($A$19:$A$218))/(($C$19:$C$218=$A9)*($A$19:$A$218&lt;&gt;"")),1),10000)-18),"")</f>
        <v/>
      </c>
    </row>
    <row r="10">
      <c r="A10" s="44" t="s">
        <v>391</v>
      </c>
      <c r="B10" s="82" t="str">
        <f t="shared" si="1"/>
        <v>—</v>
      </c>
      <c r="C10" s="82" t="str">
        <f t="shared" si="2"/>
        <v>—</v>
      </c>
      <c r="D10" s="129" t="str">
        <f t="shared" si="3"/>
        <v/>
      </c>
      <c r="E10" s="82" t="str">
        <f t="shared" si="4"/>
        <v>— 기록 부족</v>
      </c>
      <c r="F10" s="130" t="str">
        <f t="shared" si="5"/>
        <v>—</v>
      </c>
      <c r="G10" s="85" t="str">
        <f t="shared" si="6"/>
        <v/>
      </c>
      <c r="H10" s="131" t="str">
        <f t="shared" si="7"/>
        <v>—</v>
      </c>
      <c r="J10" s="132" t="str">
        <f t="shared" si="8"/>
        <v/>
      </c>
      <c r="K10" s="132" t="str">
        <f t="shared" si="9"/>
        <v/>
      </c>
      <c r="L10" s="132" t="str">
        <f t="shared" si="10"/>
        <v/>
      </c>
      <c r="M10" s="132" t="str">
        <f t="shared" si="11"/>
        <v/>
      </c>
      <c r="N10" s="132" t="str">
        <f t="shared" si="12"/>
        <v/>
      </c>
      <c r="O10" s="132" t="str">
        <f t="shared" si="13"/>
        <v/>
      </c>
      <c r="P10" s="133" t="str">
        <f t="shared" si="14"/>
        <v/>
      </c>
      <c r="Q10" s="132" t="str">
        <f t="shared" si="15"/>
        <v/>
      </c>
    </row>
    <row r="11">
      <c r="A11" s="44" t="s">
        <v>392</v>
      </c>
      <c r="B11" s="82" t="str">
        <f t="shared" si="1"/>
        <v>—</v>
      </c>
      <c r="C11" s="82" t="str">
        <f t="shared" si="2"/>
        <v>—</v>
      </c>
      <c r="D11" s="129" t="str">
        <f t="shared" si="3"/>
        <v/>
      </c>
      <c r="E11" s="82" t="str">
        <f t="shared" si="4"/>
        <v>— 기록 부족</v>
      </c>
      <c r="F11" s="130" t="str">
        <f t="shared" si="5"/>
        <v>—</v>
      </c>
      <c r="G11" s="85" t="str">
        <f t="shared" si="6"/>
        <v/>
      </c>
      <c r="H11" s="131" t="str">
        <f t="shared" si="7"/>
        <v>—</v>
      </c>
      <c r="J11" s="132" t="str">
        <f t="shared" si="8"/>
        <v/>
      </c>
      <c r="K11" s="132" t="str">
        <f t="shared" si="9"/>
        <v/>
      </c>
      <c r="L11" s="132" t="str">
        <f t="shared" si="10"/>
        <v/>
      </c>
      <c r="M11" s="132" t="str">
        <f t="shared" si="11"/>
        <v/>
      </c>
      <c r="N11" s="132" t="str">
        <f t="shared" si="12"/>
        <v/>
      </c>
      <c r="O11" s="132" t="str">
        <f t="shared" si="13"/>
        <v/>
      </c>
      <c r="P11" s="133" t="str">
        <f t="shared" si="14"/>
        <v/>
      </c>
      <c r="Q11" s="132" t="str">
        <f t="shared" si="15"/>
        <v/>
      </c>
    </row>
    <row r="12">
      <c r="A12" s="44" t="s">
        <v>393</v>
      </c>
      <c r="B12" s="82" t="str">
        <f t="shared" si="1"/>
        <v>—</v>
      </c>
      <c r="C12" s="82" t="str">
        <f t="shared" si="2"/>
        <v>—</v>
      </c>
      <c r="D12" s="129" t="str">
        <f t="shared" si="3"/>
        <v/>
      </c>
      <c r="E12" s="82" t="str">
        <f t="shared" si="4"/>
        <v>— 기록 부족</v>
      </c>
      <c r="F12" s="130" t="str">
        <f t="shared" si="5"/>
        <v>—</v>
      </c>
      <c r="G12" s="85" t="str">
        <f t="shared" si="6"/>
        <v/>
      </c>
      <c r="H12" s="131" t="str">
        <f t="shared" si="7"/>
        <v>—</v>
      </c>
      <c r="J12" s="132" t="str">
        <f t="shared" si="8"/>
        <v/>
      </c>
      <c r="K12" s="132" t="str">
        <f t="shared" si="9"/>
        <v/>
      </c>
      <c r="L12" s="132" t="str">
        <f t="shared" si="10"/>
        <v/>
      </c>
      <c r="M12" s="132" t="str">
        <f t="shared" si="11"/>
        <v/>
      </c>
      <c r="N12" s="132" t="str">
        <f t="shared" si="12"/>
        <v/>
      </c>
      <c r="O12" s="132" t="str">
        <f t="shared" si="13"/>
        <v/>
      </c>
      <c r="P12" s="133" t="str">
        <f t="shared" si="14"/>
        <v/>
      </c>
      <c r="Q12" s="132" t="str">
        <f t="shared" si="15"/>
        <v/>
      </c>
    </row>
    <row r="13">
      <c r="A13" s="44" t="s">
        <v>394</v>
      </c>
      <c r="B13" s="82" t="str">
        <f t="shared" si="1"/>
        <v>—</v>
      </c>
      <c r="C13" s="82" t="str">
        <f t="shared" si="2"/>
        <v>—</v>
      </c>
      <c r="D13" s="129" t="str">
        <f t="shared" si="3"/>
        <v/>
      </c>
      <c r="E13" s="82" t="str">
        <f t="shared" si="4"/>
        <v>— 기록 부족</v>
      </c>
      <c r="F13" s="130" t="str">
        <f t="shared" si="5"/>
        <v>—</v>
      </c>
      <c r="G13" s="85" t="str">
        <f t="shared" si="6"/>
        <v/>
      </c>
      <c r="H13" s="131" t="str">
        <f t="shared" si="7"/>
        <v>—</v>
      </c>
      <c r="J13" s="132" t="str">
        <f t="shared" si="8"/>
        <v/>
      </c>
      <c r="K13" s="132" t="str">
        <f t="shared" si="9"/>
        <v/>
      </c>
      <c r="L13" s="132" t="str">
        <f t="shared" si="10"/>
        <v/>
      </c>
      <c r="M13" s="132" t="str">
        <f t="shared" si="11"/>
        <v/>
      </c>
      <c r="N13" s="132" t="str">
        <f t="shared" si="12"/>
        <v/>
      </c>
      <c r="O13" s="132" t="str">
        <f t="shared" si="13"/>
        <v/>
      </c>
      <c r="P13" s="133" t="str">
        <f t="shared" si="14"/>
        <v/>
      </c>
      <c r="Q13" s="132" t="str">
        <f t="shared" si="15"/>
        <v/>
      </c>
    </row>
    <row r="14">
      <c r="A14" s="44" t="s">
        <v>345</v>
      </c>
      <c r="B14" s="82" t="str">
        <f t="shared" si="1"/>
        <v>—</v>
      </c>
      <c r="C14" s="82" t="str">
        <f t="shared" si="2"/>
        <v>—</v>
      </c>
      <c r="D14" s="129" t="str">
        <f t="shared" si="3"/>
        <v/>
      </c>
      <c r="E14" s="82" t="str">
        <f t="shared" si="4"/>
        <v>—</v>
      </c>
      <c r="F14" s="130" t="str">
        <f t="shared" si="5"/>
        <v>—</v>
      </c>
      <c r="G14" s="85" t="str">
        <f t="shared" si="6"/>
        <v/>
      </c>
      <c r="H14" s="131" t="str">
        <f t="shared" si="7"/>
        <v>—</v>
      </c>
      <c r="J14" s="132" t="str">
        <f t="shared" si="8"/>
        <v/>
      </c>
      <c r="K14" s="132" t="str">
        <f t="shared" si="9"/>
        <v/>
      </c>
      <c r="L14" s="132" t="str">
        <f t="shared" si="10"/>
        <v/>
      </c>
      <c r="M14" s="132" t="str">
        <f t="shared" si="11"/>
        <v/>
      </c>
      <c r="N14" s="132" t="str">
        <f t="shared" si="12"/>
        <v/>
      </c>
      <c r="O14" s="132" t="str">
        <f t="shared" si="13"/>
        <v/>
      </c>
      <c r="P14" s="133" t="str">
        <f t="shared" si="14"/>
        <v/>
      </c>
      <c r="Q14" s="132" t="str">
        <f t="shared" si="15"/>
        <v/>
      </c>
    </row>
    <row r="15">
      <c r="A15" s="44" t="s">
        <v>395</v>
      </c>
      <c r="B15" s="134">
        <f>SUMPRODUCT(--ISNUMBER($D$9:$D$14))</f>
        <v>0</v>
      </c>
      <c r="C15" s="135">
        <f>IFERROR(IF('03_포지션'!$B$54&lt;3,-2,IF('03_포지션'!$B$54&lt;5,-1,IF('03_포지션'!$B$54&lt;7,0,IF('03_포지션'!$B$54&lt;9,1,2)))),"")</f>
        <v>1</v>
      </c>
      <c r="D15" s="129" t="str">
        <f>IFERROR(AVERAGE($D$9:$D$14),"")</f>
        <v/>
      </c>
      <c r="E15" s="82" t="str">
        <f>IF($B$15=0,"⚪ 기록 없음",IF($B$15&lt;3,"⚪ 표본 부족",IF($D$15&lt;=-1.2,"🔴 Strong Bear",IF($D$15&lt;=-0.4,"🟠 Bear",IF($D$15&lt;0.4,"⚪ Neutral",IF($D$15&lt;1.2,"🟢 Bull","🔵 Strong Bull"))))))</f>
        <v>⚪ 기록 없음</v>
      </c>
      <c r="F15" s="136" t="str">
        <f>IF(OR($B$15&lt;3,$D$15="",$C$15=""),"",ABS($D$15-$C$15))</f>
        <v/>
      </c>
      <c r="G15" s="85" t="str">
        <f>IF(TRIM(IF(AND($A9&lt;&gt;"기타",ISNUMBER($J9),ISNUMBER($K9),$J9&lt;&gt;$K9),$A9&amp;IF($J9&gt;$K9," 🔼"," 🔽")&amp;"   ","")&amp;IF(AND($A10&lt;&gt;"기타",ISNUMBER($J10),ISNUMBER($K10),$J10&lt;&gt;$K10),$A10&amp;IF($J10&gt;$K10," 🔼"," 🔽")&amp;"   ","")&amp;IF(AND($A11&lt;&gt;"기타",ISNUMBER($J11),ISNUMBER($K11),$J11&lt;&gt;$K11),$A11&amp;IF($J11&gt;$K11," 🔼"," 🔽")&amp;"   ","")&amp;IF(AND($A12&lt;&gt;"기타",ISNUMBER($J12),ISNUMBER($K12),$J12&lt;&gt;$K12),$A12&amp;IF($J12&gt;$K12," 🔼"," 🔽")&amp;"   ","")&amp;IF(AND($A13&lt;&gt;"기타",ISNUMBER($J13),ISNUMBER($K13),$J13&lt;&gt;$K13),$A13&amp;IF($J13&gt;$K13," 🔼"," 🔽")&amp;"   ","")&amp;IF(AND($A14&lt;&gt;"기타",ISNUMBER($J14),ISNUMBER($K14),$J14&lt;&gt;$K14),$A14&amp;IF($J14&gt;$K14," 🔼"," 🔽")&amp;"   ",""))="","— 이번 주 뷰 변화 없음","뷰 변경: "&amp;TRIM(IF(AND($A9&lt;&gt;"기타",ISNUMBER($J9),ISNUMBER($K9),$J9&lt;&gt;$K9),$A9&amp;IF($J9&gt;$K9," 🔼"," 🔽")&amp;"   ","")&amp;IF(AND($A10&lt;&gt;"기타",ISNUMBER($J10),ISNUMBER($K10),$J10&lt;&gt;$K10),$A10&amp;IF($J10&gt;$K10," 🔼"," 🔽")&amp;"   ","")&amp;IF(AND($A11&lt;&gt;"기타",ISNUMBER($J11),ISNUMBER($K11),$J11&lt;&gt;$K11),$A11&amp;IF($J11&gt;$K11," 🔼"," 🔽")&amp;"   ","")&amp;IF(AND($A12&lt;&gt;"기타",ISNUMBER($J12),ISNUMBER($K12),$J12&lt;&gt;$K12),$A12&amp;IF($J12&gt;$K12," 🔼"," 🔽")&amp;"   ","")&amp;IF(AND($A13&lt;&gt;"기타",ISNUMBER($J13),ISNUMBER($K13),$J13&lt;&gt;$K13),$A13&amp;IF($J13&gt;$K13," 🔼"," 🔽")&amp;"   ","")&amp;IF(AND($A14&lt;&gt;"기타",ISNUMBER($J14),ISNUMBER($K14),$J14&lt;&gt;$K14),$A14&amp;IF($J14&gt;$K14," 🔼"," 🔽")&amp;"   ","")))</f>
        <v>— 이번 주 뷰 변화 없음</v>
      </c>
      <c r="H15" s="82" t="str">
        <f>IF($F$15="","⚪ 표본 부족",IF($F$15&lt;=1,"🟢 일치",IF($F$15&lt;=2,"🟡 이견","🔴 역행")))</f>
        <v>⚪ 표본 부족</v>
      </c>
      <c r="J15" s="3"/>
      <c r="K15" s="3"/>
      <c r="L15" s="3"/>
      <c r="M15" s="3"/>
      <c r="N15" s="3"/>
      <c r="O15" s="3"/>
      <c r="P15" s="3"/>
      <c r="Q15" s="3"/>
    </row>
    <row r="16" ht="25.5" customHeight="1">
      <c r="A16" s="21" t="s">
        <v>396</v>
      </c>
      <c r="B16" s="51">
        <v>2.0</v>
      </c>
      <c r="C16" s="137" t="s">
        <v>397</v>
      </c>
      <c r="J16" s="3"/>
      <c r="K16" s="3"/>
      <c r="L16" s="3"/>
      <c r="M16" s="3"/>
      <c r="N16" s="3"/>
      <c r="O16" s="3"/>
      <c r="P16" s="3"/>
      <c r="Q16" s="3"/>
    </row>
    <row r="17">
      <c r="A17" s="30" t="s">
        <v>398</v>
      </c>
      <c r="J17" s="3"/>
      <c r="K17" s="3"/>
      <c r="L17" s="3"/>
      <c r="M17" s="3"/>
      <c r="N17" s="3"/>
      <c r="O17" s="3"/>
      <c r="P17" s="3"/>
      <c r="Q17" s="3"/>
    </row>
    <row r="18" ht="30.0" customHeight="1">
      <c r="A18" s="4" t="s">
        <v>399</v>
      </c>
      <c r="B18" s="4" t="s">
        <v>400</v>
      </c>
      <c r="C18" s="4" t="s">
        <v>401</v>
      </c>
      <c r="D18" s="4" t="s">
        <v>402</v>
      </c>
      <c r="E18" s="4" t="s">
        <v>403</v>
      </c>
      <c r="F18" s="4" t="s">
        <v>404</v>
      </c>
      <c r="G18" s="4" t="s">
        <v>405</v>
      </c>
      <c r="H18" s="4" t="s">
        <v>406</v>
      </c>
      <c r="J18" s="3"/>
      <c r="K18" s="3"/>
      <c r="L18" s="3"/>
      <c r="M18" s="3"/>
      <c r="N18" s="3"/>
      <c r="O18" s="3"/>
      <c r="P18" s="3"/>
      <c r="Q18" s="3"/>
    </row>
    <row r="19">
      <c r="A19" s="6"/>
      <c r="B19" s="138" t="str">
        <f t="shared" ref="B19:B218" si="16">IF($A19="","",$A19-WEEKDAY($A19,3))</f>
        <v/>
      </c>
      <c r="C19" s="139"/>
      <c r="D19" s="139"/>
      <c r="E19" s="139"/>
      <c r="F19" s="17" t="str">
        <f t="shared" ref="F19:F218" si="17">IF($E19="","",IF($E19="🔴 Strong Bear",-2,IF($E19="🟠 Bear",-1,IF($E19="⚪ Neutral",0,IF($E19="🟢 Bull",1,IF($E19="🔵 Strong Bull",2,""))))))</f>
        <v/>
      </c>
      <c r="G19" s="11"/>
      <c r="H19" s="11"/>
      <c r="J19" s="3"/>
      <c r="K19" s="3"/>
      <c r="L19" s="3"/>
      <c r="M19" s="3"/>
      <c r="N19" s="3"/>
      <c r="O19" s="3"/>
      <c r="P19" s="3"/>
      <c r="Q19" s="3"/>
    </row>
    <row r="20">
      <c r="A20" s="6"/>
      <c r="B20" s="138" t="str">
        <f t="shared" si="16"/>
        <v/>
      </c>
      <c r="C20" s="139"/>
      <c r="D20" s="139"/>
      <c r="E20" s="139"/>
      <c r="F20" s="17" t="str">
        <f t="shared" si="17"/>
        <v/>
      </c>
      <c r="G20" s="11"/>
      <c r="H20" s="11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6"/>
      <c r="B21" s="138" t="str">
        <f t="shared" si="16"/>
        <v/>
      </c>
      <c r="C21" s="139"/>
      <c r="D21" s="139"/>
      <c r="E21" s="139"/>
      <c r="F21" s="17" t="str">
        <f t="shared" si="17"/>
        <v/>
      </c>
      <c r="G21" s="11"/>
      <c r="H21" s="11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6"/>
      <c r="B22" s="138" t="str">
        <f t="shared" si="16"/>
        <v/>
      </c>
      <c r="C22" s="139"/>
      <c r="D22" s="139"/>
      <c r="E22" s="139"/>
      <c r="F22" s="17" t="str">
        <f t="shared" si="17"/>
        <v/>
      </c>
      <c r="G22" s="11"/>
      <c r="H22" s="11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6"/>
      <c r="B23" s="138" t="str">
        <f t="shared" si="16"/>
        <v/>
      </c>
      <c r="C23" s="139"/>
      <c r="D23" s="139"/>
      <c r="E23" s="139"/>
      <c r="F23" s="17" t="str">
        <f t="shared" si="17"/>
        <v/>
      </c>
      <c r="G23" s="11"/>
      <c r="H23" s="11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6"/>
      <c r="B24" s="138" t="str">
        <f t="shared" si="16"/>
        <v/>
      </c>
      <c r="C24" s="139"/>
      <c r="D24" s="139"/>
      <c r="E24" s="139"/>
      <c r="F24" s="17" t="str">
        <f t="shared" si="17"/>
        <v/>
      </c>
      <c r="G24" s="11"/>
      <c r="H24" s="11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6"/>
      <c r="B25" s="138" t="str">
        <f t="shared" si="16"/>
        <v/>
      </c>
      <c r="C25" s="139"/>
      <c r="D25" s="139"/>
      <c r="E25" s="139"/>
      <c r="F25" s="17" t="str">
        <f t="shared" si="17"/>
        <v/>
      </c>
      <c r="G25" s="11"/>
      <c r="H25" s="11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6"/>
      <c r="B26" s="138" t="str">
        <f t="shared" si="16"/>
        <v/>
      </c>
      <c r="C26" s="139"/>
      <c r="D26" s="139"/>
      <c r="E26" s="139"/>
      <c r="F26" s="17" t="str">
        <f t="shared" si="17"/>
        <v/>
      </c>
      <c r="G26" s="11"/>
      <c r="H26" s="11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6"/>
      <c r="B27" s="138" t="str">
        <f t="shared" si="16"/>
        <v/>
      </c>
      <c r="C27" s="139"/>
      <c r="D27" s="139"/>
      <c r="E27" s="139"/>
      <c r="F27" s="17" t="str">
        <f t="shared" si="17"/>
        <v/>
      </c>
      <c r="G27" s="11"/>
      <c r="H27" s="11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6"/>
      <c r="B28" s="138" t="str">
        <f t="shared" si="16"/>
        <v/>
      </c>
      <c r="C28" s="139"/>
      <c r="D28" s="139"/>
      <c r="E28" s="139"/>
      <c r="F28" s="17" t="str">
        <f t="shared" si="17"/>
        <v/>
      </c>
      <c r="G28" s="11"/>
      <c r="H28" s="11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6"/>
      <c r="B29" s="138" t="str">
        <f t="shared" si="16"/>
        <v/>
      </c>
      <c r="C29" s="139"/>
      <c r="D29" s="139"/>
      <c r="E29" s="139"/>
      <c r="F29" s="17" t="str">
        <f t="shared" si="17"/>
        <v/>
      </c>
      <c r="G29" s="11"/>
      <c r="H29" s="11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6"/>
      <c r="B30" s="138" t="str">
        <f t="shared" si="16"/>
        <v/>
      </c>
      <c r="C30" s="139"/>
      <c r="D30" s="139"/>
      <c r="E30" s="139"/>
      <c r="F30" s="17" t="str">
        <f t="shared" si="17"/>
        <v/>
      </c>
      <c r="G30" s="11"/>
      <c r="H30" s="11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6"/>
      <c r="B31" s="138" t="str">
        <f t="shared" si="16"/>
        <v/>
      </c>
      <c r="C31" s="139"/>
      <c r="D31" s="139"/>
      <c r="E31" s="139"/>
      <c r="F31" s="17" t="str">
        <f t="shared" si="17"/>
        <v/>
      </c>
      <c r="G31" s="11"/>
      <c r="H31" s="11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6"/>
      <c r="B32" s="138" t="str">
        <f t="shared" si="16"/>
        <v/>
      </c>
      <c r="C32" s="139"/>
      <c r="D32" s="139"/>
      <c r="E32" s="139"/>
      <c r="F32" s="17" t="str">
        <f t="shared" si="17"/>
        <v/>
      </c>
      <c r="G32" s="11"/>
      <c r="H32" s="11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6"/>
      <c r="B33" s="138" t="str">
        <f t="shared" si="16"/>
        <v/>
      </c>
      <c r="C33" s="139"/>
      <c r="D33" s="139"/>
      <c r="E33" s="139"/>
      <c r="F33" s="17" t="str">
        <f t="shared" si="17"/>
        <v/>
      </c>
      <c r="G33" s="11"/>
      <c r="H33" s="11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6"/>
      <c r="B34" s="138" t="str">
        <f t="shared" si="16"/>
        <v/>
      </c>
      <c r="C34" s="139"/>
      <c r="D34" s="139"/>
      <c r="E34" s="139"/>
      <c r="F34" s="17" t="str">
        <f t="shared" si="17"/>
        <v/>
      </c>
      <c r="G34" s="11"/>
      <c r="H34" s="11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6"/>
      <c r="B35" s="138" t="str">
        <f t="shared" si="16"/>
        <v/>
      </c>
      <c r="C35" s="139"/>
      <c r="D35" s="139"/>
      <c r="E35" s="139"/>
      <c r="F35" s="17" t="str">
        <f t="shared" si="17"/>
        <v/>
      </c>
      <c r="G35" s="11"/>
      <c r="H35" s="11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6"/>
      <c r="B36" s="138" t="str">
        <f t="shared" si="16"/>
        <v/>
      </c>
      <c r="C36" s="139"/>
      <c r="D36" s="139"/>
      <c r="E36" s="139"/>
      <c r="F36" s="17" t="str">
        <f t="shared" si="17"/>
        <v/>
      </c>
      <c r="G36" s="11"/>
      <c r="H36" s="11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6"/>
      <c r="B37" s="138" t="str">
        <f t="shared" si="16"/>
        <v/>
      </c>
      <c r="C37" s="139"/>
      <c r="D37" s="139"/>
      <c r="E37" s="139"/>
      <c r="F37" s="17" t="str">
        <f t="shared" si="17"/>
        <v/>
      </c>
      <c r="G37" s="11"/>
      <c r="H37" s="11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6"/>
      <c r="B38" s="138" t="str">
        <f t="shared" si="16"/>
        <v/>
      </c>
      <c r="C38" s="139"/>
      <c r="D38" s="139"/>
      <c r="E38" s="139"/>
      <c r="F38" s="17" t="str">
        <f t="shared" si="17"/>
        <v/>
      </c>
      <c r="G38" s="11"/>
      <c r="H38" s="11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6"/>
      <c r="B39" s="138" t="str">
        <f t="shared" si="16"/>
        <v/>
      </c>
      <c r="C39" s="139"/>
      <c r="D39" s="139"/>
      <c r="E39" s="139"/>
      <c r="F39" s="17" t="str">
        <f t="shared" si="17"/>
        <v/>
      </c>
      <c r="G39" s="11"/>
      <c r="H39" s="11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6"/>
      <c r="B40" s="138" t="str">
        <f t="shared" si="16"/>
        <v/>
      </c>
      <c r="C40" s="139"/>
      <c r="D40" s="139"/>
      <c r="E40" s="139"/>
      <c r="F40" s="17" t="str">
        <f t="shared" si="17"/>
        <v/>
      </c>
      <c r="G40" s="11"/>
      <c r="H40" s="11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6"/>
      <c r="B41" s="138" t="str">
        <f t="shared" si="16"/>
        <v/>
      </c>
      <c r="C41" s="139"/>
      <c r="D41" s="139"/>
      <c r="E41" s="139"/>
      <c r="F41" s="17" t="str">
        <f t="shared" si="17"/>
        <v/>
      </c>
      <c r="G41" s="11"/>
      <c r="H41" s="11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6"/>
      <c r="B42" s="138" t="str">
        <f t="shared" si="16"/>
        <v/>
      </c>
      <c r="C42" s="139"/>
      <c r="D42" s="139"/>
      <c r="E42" s="139"/>
      <c r="F42" s="17" t="str">
        <f t="shared" si="17"/>
        <v/>
      </c>
      <c r="G42" s="11"/>
      <c r="H42" s="11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6"/>
      <c r="B43" s="138" t="str">
        <f t="shared" si="16"/>
        <v/>
      </c>
      <c r="C43" s="139"/>
      <c r="D43" s="139"/>
      <c r="E43" s="139"/>
      <c r="F43" s="17" t="str">
        <f t="shared" si="17"/>
        <v/>
      </c>
      <c r="G43" s="11"/>
      <c r="H43" s="11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6"/>
      <c r="B44" s="138" t="str">
        <f t="shared" si="16"/>
        <v/>
      </c>
      <c r="C44" s="139"/>
      <c r="D44" s="139"/>
      <c r="E44" s="139"/>
      <c r="F44" s="17" t="str">
        <f t="shared" si="17"/>
        <v/>
      </c>
      <c r="G44" s="11"/>
      <c r="H44" s="11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6"/>
      <c r="B45" s="138" t="str">
        <f t="shared" si="16"/>
        <v/>
      </c>
      <c r="C45" s="139"/>
      <c r="D45" s="139"/>
      <c r="E45" s="139"/>
      <c r="F45" s="17" t="str">
        <f t="shared" si="17"/>
        <v/>
      </c>
      <c r="G45" s="11"/>
      <c r="H45" s="11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6"/>
      <c r="B46" s="138" t="str">
        <f t="shared" si="16"/>
        <v/>
      </c>
      <c r="C46" s="139"/>
      <c r="D46" s="139"/>
      <c r="E46" s="139"/>
      <c r="F46" s="17" t="str">
        <f t="shared" si="17"/>
        <v/>
      </c>
      <c r="G46" s="11"/>
      <c r="H46" s="11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6"/>
      <c r="B47" s="138" t="str">
        <f t="shared" si="16"/>
        <v/>
      </c>
      <c r="C47" s="139"/>
      <c r="D47" s="139"/>
      <c r="E47" s="139"/>
      <c r="F47" s="17" t="str">
        <f t="shared" si="17"/>
        <v/>
      </c>
      <c r="G47" s="11"/>
      <c r="H47" s="11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6"/>
      <c r="B48" s="138" t="str">
        <f t="shared" si="16"/>
        <v/>
      </c>
      <c r="C48" s="139"/>
      <c r="D48" s="139"/>
      <c r="E48" s="139"/>
      <c r="F48" s="17" t="str">
        <f t="shared" si="17"/>
        <v/>
      </c>
      <c r="G48" s="11"/>
      <c r="H48" s="11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6"/>
      <c r="B49" s="138" t="str">
        <f t="shared" si="16"/>
        <v/>
      </c>
      <c r="C49" s="139"/>
      <c r="D49" s="139"/>
      <c r="E49" s="139"/>
      <c r="F49" s="17" t="str">
        <f t="shared" si="17"/>
        <v/>
      </c>
      <c r="G49" s="11"/>
      <c r="H49" s="11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6"/>
      <c r="B50" s="138" t="str">
        <f t="shared" si="16"/>
        <v/>
      </c>
      <c r="C50" s="139"/>
      <c r="D50" s="139"/>
      <c r="E50" s="139"/>
      <c r="F50" s="17" t="str">
        <f t="shared" si="17"/>
        <v/>
      </c>
      <c r="G50" s="11"/>
      <c r="H50" s="11"/>
      <c r="J50" s="3"/>
      <c r="K50" s="3"/>
      <c r="L50" s="3"/>
      <c r="M50" s="3"/>
      <c r="N50" s="3"/>
      <c r="O50" s="3"/>
      <c r="P50" s="3"/>
      <c r="Q50" s="3"/>
    </row>
    <row r="51" ht="15.75" customHeight="1">
      <c r="A51" s="6"/>
      <c r="B51" s="138" t="str">
        <f t="shared" si="16"/>
        <v/>
      </c>
      <c r="C51" s="139"/>
      <c r="D51" s="139"/>
      <c r="E51" s="139"/>
      <c r="F51" s="17" t="str">
        <f t="shared" si="17"/>
        <v/>
      </c>
      <c r="G51" s="11"/>
      <c r="H51" s="11"/>
      <c r="J51" s="3"/>
      <c r="K51" s="3"/>
      <c r="L51" s="3"/>
      <c r="M51" s="3"/>
      <c r="N51" s="3"/>
      <c r="O51" s="3"/>
      <c r="P51" s="3"/>
      <c r="Q51" s="3"/>
    </row>
    <row r="52" ht="15.75" customHeight="1">
      <c r="A52" s="6"/>
      <c r="B52" s="138" t="str">
        <f t="shared" si="16"/>
        <v/>
      </c>
      <c r="C52" s="139"/>
      <c r="D52" s="139"/>
      <c r="E52" s="139"/>
      <c r="F52" s="17" t="str">
        <f t="shared" si="17"/>
        <v/>
      </c>
      <c r="G52" s="11"/>
      <c r="H52" s="11"/>
      <c r="J52" s="3"/>
      <c r="K52" s="3"/>
      <c r="L52" s="3"/>
      <c r="M52" s="3"/>
      <c r="N52" s="3"/>
      <c r="O52" s="3"/>
      <c r="P52" s="3"/>
      <c r="Q52" s="3"/>
    </row>
    <row r="53" ht="15.75" customHeight="1">
      <c r="A53" s="6"/>
      <c r="B53" s="138" t="str">
        <f t="shared" si="16"/>
        <v/>
      </c>
      <c r="C53" s="139"/>
      <c r="D53" s="139"/>
      <c r="E53" s="139"/>
      <c r="F53" s="17" t="str">
        <f t="shared" si="17"/>
        <v/>
      </c>
      <c r="G53" s="11"/>
      <c r="H53" s="11"/>
      <c r="J53" s="3"/>
      <c r="K53" s="3"/>
      <c r="L53" s="3"/>
      <c r="M53" s="3"/>
      <c r="N53" s="3"/>
      <c r="O53" s="3"/>
      <c r="P53" s="3"/>
      <c r="Q53" s="3"/>
    </row>
    <row r="54" ht="15.75" customHeight="1">
      <c r="A54" s="6"/>
      <c r="B54" s="138" t="str">
        <f t="shared" si="16"/>
        <v/>
      </c>
      <c r="C54" s="139"/>
      <c r="D54" s="139"/>
      <c r="E54" s="139"/>
      <c r="F54" s="17" t="str">
        <f t="shared" si="17"/>
        <v/>
      </c>
      <c r="G54" s="11"/>
      <c r="H54" s="11"/>
      <c r="J54" s="3"/>
      <c r="K54" s="3"/>
      <c r="L54" s="3"/>
      <c r="M54" s="3"/>
      <c r="N54" s="3"/>
      <c r="O54" s="3"/>
      <c r="P54" s="3"/>
      <c r="Q54" s="3"/>
    </row>
    <row r="55" ht="15.75" customHeight="1">
      <c r="A55" s="6"/>
      <c r="B55" s="138" t="str">
        <f t="shared" si="16"/>
        <v/>
      </c>
      <c r="C55" s="139"/>
      <c r="D55" s="139"/>
      <c r="E55" s="139"/>
      <c r="F55" s="17" t="str">
        <f t="shared" si="17"/>
        <v/>
      </c>
      <c r="G55" s="11"/>
      <c r="H55" s="11"/>
      <c r="J55" s="3"/>
      <c r="K55" s="3"/>
      <c r="L55" s="3"/>
      <c r="M55" s="3"/>
      <c r="N55" s="3"/>
      <c r="O55" s="3"/>
      <c r="P55" s="3"/>
      <c r="Q55" s="3"/>
    </row>
    <row r="56" ht="15.75" customHeight="1">
      <c r="A56" s="6"/>
      <c r="B56" s="138" t="str">
        <f t="shared" si="16"/>
        <v/>
      </c>
      <c r="C56" s="139"/>
      <c r="D56" s="139"/>
      <c r="E56" s="139"/>
      <c r="F56" s="17" t="str">
        <f t="shared" si="17"/>
        <v/>
      </c>
      <c r="G56" s="11"/>
      <c r="H56" s="11"/>
      <c r="J56" s="3"/>
      <c r="K56" s="3"/>
      <c r="L56" s="3"/>
      <c r="M56" s="3"/>
      <c r="N56" s="3"/>
      <c r="O56" s="3"/>
      <c r="P56" s="3"/>
      <c r="Q56" s="3"/>
    </row>
    <row r="57" ht="15.75" customHeight="1">
      <c r="A57" s="6"/>
      <c r="B57" s="138" t="str">
        <f t="shared" si="16"/>
        <v/>
      </c>
      <c r="C57" s="139"/>
      <c r="D57" s="139"/>
      <c r="E57" s="139"/>
      <c r="F57" s="17" t="str">
        <f t="shared" si="17"/>
        <v/>
      </c>
      <c r="G57" s="11"/>
      <c r="H57" s="11"/>
      <c r="J57" s="3"/>
      <c r="K57" s="3"/>
      <c r="L57" s="3"/>
      <c r="M57" s="3"/>
      <c r="N57" s="3"/>
      <c r="O57" s="3"/>
      <c r="P57" s="3"/>
      <c r="Q57" s="3"/>
    </row>
    <row r="58" ht="15.75" customHeight="1">
      <c r="A58" s="6"/>
      <c r="B58" s="138" t="str">
        <f t="shared" si="16"/>
        <v/>
      </c>
      <c r="C58" s="139"/>
      <c r="D58" s="139"/>
      <c r="E58" s="139"/>
      <c r="F58" s="17" t="str">
        <f t="shared" si="17"/>
        <v/>
      </c>
      <c r="G58" s="11"/>
      <c r="H58" s="11"/>
      <c r="J58" s="3"/>
      <c r="K58" s="3"/>
      <c r="L58" s="3"/>
      <c r="M58" s="3"/>
      <c r="N58" s="3"/>
      <c r="O58" s="3"/>
      <c r="P58" s="3"/>
      <c r="Q58" s="3"/>
    </row>
    <row r="59" ht="15.75" customHeight="1">
      <c r="A59" s="6"/>
      <c r="B59" s="138" t="str">
        <f t="shared" si="16"/>
        <v/>
      </c>
      <c r="C59" s="139"/>
      <c r="D59" s="139"/>
      <c r="E59" s="139"/>
      <c r="F59" s="17" t="str">
        <f t="shared" si="17"/>
        <v/>
      </c>
      <c r="G59" s="11"/>
      <c r="H59" s="11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6"/>
      <c r="B60" s="138" t="str">
        <f t="shared" si="16"/>
        <v/>
      </c>
      <c r="C60" s="139"/>
      <c r="D60" s="139"/>
      <c r="E60" s="139"/>
      <c r="F60" s="17" t="str">
        <f t="shared" si="17"/>
        <v/>
      </c>
      <c r="G60" s="11"/>
      <c r="H60" s="11"/>
      <c r="J60" s="3"/>
      <c r="K60" s="3"/>
      <c r="L60" s="3"/>
      <c r="M60" s="3"/>
      <c r="N60" s="3"/>
      <c r="O60" s="3"/>
      <c r="P60" s="3"/>
      <c r="Q60" s="3"/>
    </row>
    <row r="61" ht="15.75" customHeight="1">
      <c r="A61" s="6"/>
      <c r="B61" s="138" t="str">
        <f t="shared" si="16"/>
        <v/>
      </c>
      <c r="C61" s="139"/>
      <c r="D61" s="139"/>
      <c r="E61" s="139"/>
      <c r="F61" s="17" t="str">
        <f t="shared" si="17"/>
        <v/>
      </c>
      <c r="G61" s="11"/>
      <c r="H61" s="11"/>
      <c r="J61" s="3"/>
      <c r="K61" s="3"/>
      <c r="L61" s="3"/>
      <c r="M61" s="3"/>
      <c r="N61" s="3"/>
      <c r="O61" s="3"/>
      <c r="P61" s="3"/>
      <c r="Q61" s="3"/>
    </row>
    <row r="62" ht="15.75" customHeight="1">
      <c r="A62" s="6"/>
      <c r="B62" s="138" t="str">
        <f t="shared" si="16"/>
        <v/>
      </c>
      <c r="C62" s="139"/>
      <c r="D62" s="139"/>
      <c r="E62" s="139"/>
      <c r="F62" s="17" t="str">
        <f t="shared" si="17"/>
        <v/>
      </c>
      <c r="G62" s="11"/>
      <c r="H62" s="11"/>
      <c r="J62" s="3"/>
      <c r="K62" s="3"/>
      <c r="L62" s="3"/>
      <c r="M62" s="3"/>
      <c r="N62" s="3"/>
      <c r="O62" s="3"/>
      <c r="P62" s="3"/>
      <c r="Q62" s="3"/>
    </row>
    <row r="63" ht="15.75" customHeight="1">
      <c r="A63" s="6"/>
      <c r="B63" s="138" t="str">
        <f t="shared" si="16"/>
        <v/>
      </c>
      <c r="C63" s="139"/>
      <c r="D63" s="139"/>
      <c r="E63" s="139"/>
      <c r="F63" s="17" t="str">
        <f t="shared" si="17"/>
        <v/>
      </c>
      <c r="G63" s="11"/>
      <c r="H63" s="11"/>
      <c r="J63" s="3"/>
      <c r="K63" s="3"/>
      <c r="L63" s="3"/>
      <c r="M63" s="3"/>
      <c r="N63" s="3"/>
      <c r="O63" s="3"/>
      <c r="P63" s="3"/>
      <c r="Q63" s="3"/>
    </row>
    <row r="64" ht="15.75" customHeight="1">
      <c r="A64" s="6"/>
      <c r="B64" s="138" t="str">
        <f t="shared" si="16"/>
        <v/>
      </c>
      <c r="C64" s="139"/>
      <c r="D64" s="139"/>
      <c r="E64" s="139"/>
      <c r="F64" s="17" t="str">
        <f t="shared" si="17"/>
        <v/>
      </c>
      <c r="G64" s="11"/>
      <c r="H64" s="11"/>
      <c r="J64" s="3"/>
      <c r="K64" s="3"/>
      <c r="L64" s="3"/>
      <c r="M64" s="3"/>
      <c r="N64" s="3"/>
      <c r="O64" s="3"/>
      <c r="P64" s="3"/>
      <c r="Q64" s="3"/>
    </row>
    <row r="65" ht="15.75" customHeight="1">
      <c r="A65" s="6"/>
      <c r="B65" s="138" t="str">
        <f t="shared" si="16"/>
        <v/>
      </c>
      <c r="C65" s="139"/>
      <c r="D65" s="139"/>
      <c r="E65" s="139"/>
      <c r="F65" s="17" t="str">
        <f t="shared" si="17"/>
        <v/>
      </c>
      <c r="G65" s="11"/>
      <c r="H65" s="11"/>
      <c r="J65" s="3"/>
      <c r="K65" s="3"/>
      <c r="L65" s="3"/>
      <c r="M65" s="3"/>
      <c r="N65" s="3"/>
      <c r="O65" s="3"/>
      <c r="P65" s="3"/>
      <c r="Q65" s="3"/>
    </row>
    <row r="66" ht="15.75" customHeight="1">
      <c r="A66" s="6"/>
      <c r="B66" s="138" t="str">
        <f t="shared" si="16"/>
        <v/>
      </c>
      <c r="C66" s="139"/>
      <c r="D66" s="139"/>
      <c r="E66" s="139"/>
      <c r="F66" s="17" t="str">
        <f t="shared" si="17"/>
        <v/>
      </c>
      <c r="G66" s="11"/>
      <c r="H66" s="11"/>
      <c r="J66" s="3"/>
      <c r="K66" s="3"/>
      <c r="L66" s="3"/>
      <c r="M66" s="3"/>
      <c r="N66" s="3"/>
      <c r="O66" s="3"/>
      <c r="P66" s="3"/>
      <c r="Q66" s="3"/>
    </row>
    <row r="67" ht="15.75" customHeight="1">
      <c r="A67" s="6"/>
      <c r="B67" s="138" t="str">
        <f t="shared" si="16"/>
        <v/>
      </c>
      <c r="C67" s="139"/>
      <c r="D67" s="139"/>
      <c r="E67" s="139"/>
      <c r="F67" s="17" t="str">
        <f t="shared" si="17"/>
        <v/>
      </c>
      <c r="G67" s="11"/>
      <c r="H67" s="11"/>
      <c r="J67" s="3"/>
      <c r="K67" s="3"/>
      <c r="L67" s="3"/>
      <c r="M67" s="3"/>
      <c r="N67" s="3"/>
      <c r="O67" s="3"/>
      <c r="P67" s="3"/>
      <c r="Q67" s="3"/>
    </row>
    <row r="68" ht="15.75" customHeight="1">
      <c r="A68" s="6"/>
      <c r="B68" s="138" t="str">
        <f t="shared" si="16"/>
        <v/>
      </c>
      <c r="C68" s="139"/>
      <c r="D68" s="139"/>
      <c r="E68" s="139"/>
      <c r="F68" s="17" t="str">
        <f t="shared" si="17"/>
        <v/>
      </c>
      <c r="G68" s="11"/>
      <c r="H68" s="11"/>
      <c r="J68" s="3"/>
      <c r="K68" s="3"/>
      <c r="L68" s="3"/>
      <c r="M68" s="3"/>
      <c r="N68" s="3"/>
      <c r="O68" s="3"/>
      <c r="P68" s="3"/>
      <c r="Q68" s="3"/>
    </row>
    <row r="69" ht="15.75" customHeight="1">
      <c r="A69" s="6"/>
      <c r="B69" s="138" t="str">
        <f t="shared" si="16"/>
        <v/>
      </c>
      <c r="C69" s="139"/>
      <c r="D69" s="139"/>
      <c r="E69" s="139"/>
      <c r="F69" s="17" t="str">
        <f t="shared" si="17"/>
        <v/>
      </c>
      <c r="G69" s="11"/>
      <c r="H69" s="11"/>
      <c r="J69" s="3"/>
      <c r="K69" s="3"/>
      <c r="L69" s="3"/>
      <c r="M69" s="3"/>
      <c r="N69" s="3"/>
      <c r="O69" s="3"/>
      <c r="P69" s="3"/>
      <c r="Q69" s="3"/>
    </row>
    <row r="70" ht="15.75" customHeight="1">
      <c r="A70" s="6"/>
      <c r="B70" s="138" t="str">
        <f t="shared" si="16"/>
        <v/>
      </c>
      <c r="C70" s="139"/>
      <c r="D70" s="139"/>
      <c r="E70" s="139"/>
      <c r="F70" s="17" t="str">
        <f t="shared" si="17"/>
        <v/>
      </c>
      <c r="G70" s="11"/>
      <c r="H70" s="11"/>
      <c r="J70" s="3"/>
      <c r="K70" s="3"/>
      <c r="L70" s="3"/>
      <c r="M70" s="3"/>
      <c r="N70" s="3"/>
      <c r="O70" s="3"/>
      <c r="P70" s="3"/>
      <c r="Q70" s="3"/>
    </row>
    <row r="71" ht="15.75" customHeight="1">
      <c r="A71" s="6"/>
      <c r="B71" s="138" t="str">
        <f t="shared" si="16"/>
        <v/>
      </c>
      <c r="C71" s="139"/>
      <c r="D71" s="139"/>
      <c r="E71" s="139"/>
      <c r="F71" s="17" t="str">
        <f t="shared" si="17"/>
        <v/>
      </c>
      <c r="G71" s="11"/>
      <c r="H71" s="11"/>
      <c r="J71" s="3"/>
      <c r="K71" s="3"/>
      <c r="L71" s="3"/>
      <c r="M71" s="3"/>
      <c r="N71" s="3"/>
      <c r="O71" s="3"/>
      <c r="P71" s="3"/>
      <c r="Q71" s="3"/>
    </row>
    <row r="72" ht="15.75" customHeight="1">
      <c r="A72" s="6"/>
      <c r="B72" s="138" t="str">
        <f t="shared" si="16"/>
        <v/>
      </c>
      <c r="C72" s="139"/>
      <c r="D72" s="139"/>
      <c r="E72" s="139"/>
      <c r="F72" s="17" t="str">
        <f t="shared" si="17"/>
        <v/>
      </c>
      <c r="G72" s="11"/>
      <c r="H72" s="11"/>
      <c r="J72" s="3"/>
      <c r="K72" s="3"/>
      <c r="L72" s="3"/>
      <c r="M72" s="3"/>
      <c r="N72" s="3"/>
      <c r="O72" s="3"/>
      <c r="P72" s="3"/>
      <c r="Q72" s="3"/>
    </row>
    <row r="73" ht="15.75" customHeight="1">
      <c r="A73" s="6"/>
      <c r="B73" s="138" t="str">
        <f t="shared" si="16"/>
        <v/>
      </c>
      <c r="C73" s="139"/>
      <c r="D73" s="139"/>
      <c r="E73" s="139"/>
      <c r="F73" s="17" t="str">
        <f t="shared" si="17"/>
        <v/>
      </c>
      <c r="G73" s="11"/>
      <c r="H73" s="11"/>
      <c r="J73" s="3"/>
      <c r="K73" s="3"/>
      <c r="L73" s="3"/>
      <c r="M73" s="3"/>
      <c r="N73" s="3"/>
      <c r="O73" s="3"/>
      <c r="P73" s="3"/>
      <c r="Q73" s="3"/>
    </row>
    <row r="74" ht="15.75" customHeight="1">
      <c r="A74" s="6"/>
      <c r="B74" s="138" t="str">
        <f t="shared" si="16"/>
        <v/>
      </c>
      <c r="C74" s="139"/>
      <c r="D74" s="139"/>
      <c r="E74" s="139"/>
      <c r="F74" s="17" t="str">
        <f t="shared" si="17"/>
        <v/>
      </c>
      <c r="G74" s="11"/>
      <c r="H74" s="11"/>
      <c r="J74" s="3"/>
      <c r="K74" s="3"/>
      <c r="L74" s="3"/>
      <c r="M74" s="3"/>
      <c r="N74" s="3"/>
      <c r="O74" s="3"/>
      <c r="P74" s="3"/>
      <c r="Q74" s="3"/>
    </row>
    <row r="75" ht="15.75" customHeight="1">
      <c r="A75" s="6"/>
      <c r="B75" s="138" t="str">
        <f t="shared" si="16"/>
        <v/>
      </c>
      <c r="C75" s="139"/>
      <c r="D75" s="139"/>
      <c r="E75" s="139"/>
      <c r="F75" s="17" t="str">
        <f t="shared" si="17"/>
        <v/>
      </c>
      <c r="G75" s="11"/>
      <c r="H75" s="11"/>
      <c r="J75" s="3"/>
      <c r="K75" s="3"/>
      <c r="L75" s="3"/>
      <c r="M75" s="3"/>
      <c r="N75" s="3"/>
      <c r="O75" s="3"/>
      <c r="P75" s="3"/>
      <c r="Q75" s="3"/>
    </row>
    <row r="76" ht="15.75" customHeight="1">
      <c r="A76" s="6"/>
      <c r="B76" s="138" t="str">
        <f t="shared" si="16"/>
        <v/>
      </c>
      <c r="C76" s="139"/>
      <c r="D76" s="139"/>
      <c r="E76" s="139"/>
      <c r="F76" s="17" t="str">
        <f t="shared" si="17"/>
        <v/>
      </c>
      <c r="G76" s="11"/>
      <c r="H76" s="11"/>
      <c r="J76" s="3"/>
      <c r="K76" s="3"/>
      <c r="L76" s="3"/>
      <c r="M76" s="3"/>
      <c r="N76" s="3"/>
      <c r="O76" s="3"/>
      <c r="P76" s="3"/>
      <c r="Q76" s="3"/>
    </row>
    <row r="77" ht="15.75" customHeight="1">
      <c r="A77" s="6"/>
      <c r="B77" s="138" t="str">
        <f t="shared" si="16"/>
        <v/>
      </c>
      <c r="C77" s="139"/>
      <c r="D77" s="139"/>
      <c r="E77" s="139"/>
      <c r="F77" s="17" t="str">
        <f t="shared" si="17"/>
        <v/>
      </c>
      <c r="G77" s="11"/>
      <c r="H77" s="11"/>
      <c r="J77" s="3"/>
      <c r="K77" s="3"/>
      <c r="L77" s="3"/>
      <c r="M77" s="3"/>
      <c r="N77" s="3"/>
      <c r="O77" s="3"/>
      <c r="P77" s="3"/>
      <c r="Q77" s="3"/>
    </row>
    <row r="78" ht="15.75" customHeight="1">
      <c r="A78" s="6"/>
      <c r="B78" s="138" t="str">
        <f t="shared" si="16"/>
        <v/>
      </c>
      <c r="C78" s="139"/>
      <c r="D78" s="139"/>
      <c r="E78" s="139"/>
      <c r="F78" s="17" t="str">
        <f t="shared" si="17"/>
        <v/>
      </c>
      <c r="G78" s="11"/>
      <c r="H78" s="11"/>
      <c r="J78" s="3"/>
      <c r="K78" s="3"/>
      <c r="L78" s="3"/>
      <c r="M78" s="3"/>
      <c r="N78" s="3"/>
      <c r="O78" s="3"/>
      <c r="P78" s="3"/>
      <c r="Q78" s="3"/>
    </row>
    <row r="79" ht="15.75" customHeight="1">
      <c r="A79" s="6"/>
      <c r="B79" s="138" t="str">
        <f t="shared" si="16"/>
        <v/>
      </c>
      <c r="C79" s="139"/>
      <c r="D79" s="139"/>
      <c r="E79" s="139"/>
      <c r="F79" s="17" t="str">
        <f t="shared" si="17"/>
        <v/>
      </c>
      <c r="G79" s="11"/>
      <c r="H79" s="11"/>
      <c r="J79" s="3"/>
      <c r="K79" s="3"/>
      <c r="L79" s="3"/>
      <c r="M79" s="3"/>
      <c r="N79" s="3"/>
      <c r="O79" s="3"/>
      <c r="P79" s="3"/>
      <c r="Q79" s="3"/>
    </row>
    <row r="80" ht="15.75" customHeight="1">
      <c r="A80" s="6"/>
      <c r="B80" s="138" t="str">
        <f t="shared" si="16"/>
        <v/>
      </c>
      <c r="C80" s="139"/>
      <c r="D80" s="139"/>
      <c r="E80" s="139"/>
      <c r="F80" s="17" t="str">
        <f t="shared" si="17"/>
        <v/>
      </c>
      <c r="G80" s="11"/>
      <c r="H80" s="11"/>
      <c r="J80" s="3"/>
      <c r="K80" s="3"/>
      <c r="L80" s="3"/>
      <c r="M80" s="3"/>
      <c r="N80" s="3"/>
      <c r="O80" s="3"/>
      <c r="P80" s="3"/>
      <c r="Q80" s="3"/>
    </row>
    <row r="81" ht="15.75" customHeight="1">
      <c r="A81" s="6"/>
      <c r="B81" s="138" t="str">
        <f t="shared" si="16"/>
        <v/>
      </c>
      <c r="C81" s="139"/>
      <c r="D81" s="139"/>
      <c r="E81" s="139"/>
      <c r="F81" s="17" t="str">
        <f t="shared" si="17"/>
        <v/>
      </c>
      <c r="G81" s="11"/>
      <c r="H81" s="11"/>
      <c r="J81" s="3"/>
      <c r="K81" s="3"/>
      <c r="L81" s="3"/>
      <c r="M81" s="3"/>
      <c r="N81" s="3"/>
      <c r="O81" s="3"/>
      <c r="P81" s="3"/>
      <c r="Q81" s="3"/>
    </row>
    <row r="82" ht="15.75" customHeight="1">
      <c r="A82" s="6"/>
      <c r="B82" s="138" t="str">
        <f t="shared" si="16"/>
        <v/>
      </c>
      <c r="C82" s="139"/>
      <c r="D82" s="139"/>
      <c r="E82" s="139"/>
      <c r="F82" s="17" t="str">
        <f t="shared" si="17"/>
        <v/>
      </c>
      <c r="G82" s="11"/>
      <c r="H82" s="11"/>
      <c r="J82" s="3"/>
      <c r="K82" s="3"/>
      <c r="L82" s="3"/>
      <c r="M82" s="3"/>
      <c r="N82" s="3"/>
      <c r="O82" s="3"/>
      <c r="P82" s="3"/>
      <c r="Q82" s="3"/>
    </row>
    <row r="83" ht="15.75" customHeight="1">
      <c r="A83" s="6"/>
      <c r="B83" s="138" t="str">
        <f t="shared" si="16"/>
        <v/>
      </c>
      <c r="C83" s="139"/>
      <c r="D83" s="139"/>
      <c r="E83" s="139"/>
      <c r="F83" s="17" t="str">
        <f t="shared" si="17"/>
        <v/>
      </c>
      <c r="G83" s="11"/>
      <c r="H83" s="11"/>
      <c r="J83" s="3"/>
      <c r="K83" s="3"/>
      <c r="L83" s="3"/>
      <c r="M83" s="3"/>
      <c r="N83" s="3"/>
      <c r="O83" s="3"/>
      <c r="P83" s="3"/>
      <c r="Q83" s="3"/>
    </row>
    <row r="84" ht="15.75" customHeight="1">
      <c r="A84" s="6"/>
      <c r="B84" s="138" t="str">
        <f t="shared" si="16"/>
        <v/>
      </c>
      <c r="C84" s="139"/>
      <c r="D84" s="139"/>
      <c r="E84" s="139"/>
      <c r="F84" s="17" t="str">
        <f t="shared" si="17"/>
        <v/>
      </c>
      <c r="G84" s="11"/>
      <c r="H84" s="11"/>
      <c r="J84" s="3"/>
      <c r="K84" s="3"/>
      <c r="L84" s="3"/>
      <c r="M84" s="3"/>
      <c r="N84" s="3"/>
      <c r="O84" s="3"/>
      <c r="P84" s="3"/>
      <c r="Q84" s="3"/>
    </row>
    <row r="85" ht="15.75" customHeight="1">
      <c r="A85" s="6"/>
      <c r="B85" s="138" t="str">
        <f t="shared" si="16"/>
        <v/>
      </c>
      <c r="C85" s="139"/>
      <c r="D85" s="139"/>
      <c r="E85" s="139"/>
      <c r="F85" s="17" t="str">
        <f t="shared" si="17"/>
        <v/>
      </c>
      <c r="G85" s="11"/>
      <c r="H85" s="11"/>
      <c r="J85" s="3"/>
      <c r="K85" s="3"/>
      <c r="L85" s="3"/>
      <c r="M85" s="3"/>
      <c r="N85" s="3"/>
      <c r="O85" s="3"/>
      <c r="P85" s="3"/>
      <c r="Q85" s="3"/>
    </row>
    <row r="86" ht="15.75" customHeight="1">
      <c r="A86" s="6"/>
      <c r="B86" s="138" t="str">
        <f t="shared" si="16"/>
        <v/>
      </c>
      <c r="C86" s="139"/>
      <c r="D86" s="139"/>
      <c r="E86" s="139"/>
      <c r="F86" s="17" t="str">
        <f t="shared" si="17"/>
        <v/>
      </c>
      <c r="G86" s="11"/>
      <c r="H86" s="11"/>
      <c r="J86" s="3"/>
      <c r="K86" s="3"/>
      <c r="L86" s="3"/>
      <c r="M86" s="3"/>
      <c r="N86" s="3"/>
      <c r="O86" s="3"/>
      <c r="P86" s="3"/>
      <c r="Q86" s="3"/>
    </row>
    <row r="87" ht="15.75" customHeight="1">
      <c r="A87" s="6"/>
      <c r="B87" s="138" t="str">
        <f t="shared" si="16"/>
        <v/>
      </c>
      <c r="C87" s="139"/>
      <c r="D87" s="139"/>
      <c r="E87" s="139"/>
      <c r="F87" s="17" t="str">
        <f t="shared" si="17"/>
        <v/>
      </c>
      <c r="G87" s="11"/>
      <c r="H87" s="11"/>
      <c r="J87" s="3"/>
      <c r="K87" s="3"/>
      <c r="L87" s="3"/>
      <c r="M87" s="3"/>
      <c r="N87" s="3"/>
      <c r="O87" s="3"/>
      <c r="P87" s="3"/>
      <c r="Q87" s="3"/>
    </row>
    <row r="88" ht="15.75" customHeight="1">
      <c r="A88" s="6"/>
      <c r="B88" s="138" t="str">
        <f t="shared" si="16"/>
        <v/>
      </c>
      <c r="C88" s="139"/>
      <c r="D88" s="139"/>
      <c r="E88" s="139"/>
      <c r="F88" s="17" t="str">
        <f t="shared" si="17"/>
        <v/>
      </c>
      <c r="G88" s="11"/>
      <c r="H88" s="11"/>
      <c r="J88" s="3"/>
      <c r="K88" s="3"/>
      <c r="L88" s="3"/>
      <c r="M88" s="3"/>
      <c r="N88" s="3"/>
      <c r="O88" s="3"/>
      <c r="P88" s="3"/>
      <c r="Q88" s="3"/>
    </row>
    <row r="89" ht="15.75" customHeight="1">
      <c r="A89" s="6"/>
      <c r="B89" s="138" t="str">
        <f t="shared" si="16"/>
        <v/>
      </c>
      <c r="C89" s="139"/>
      <c r="D89" s="139"/>
      <c r="E89" s="139"/>
      <c r="F89" s="17" t="str">
        <f t="shared" si="17"/>
        <v/>
      </c>
      <c r="G89" s="11"/>
      <c r="H89" s="11"/>
      <c r="J89" s="3"/>
      <c r="K89" s="3"/>
      <c r="L89" s="3"/>
      <c r="M89" s="3"/>
      <c r="N89" s="3"/>
      <c r="O89" s="3"/>
      <c r="P89" s="3"/>
      <c r="Q89" s="3"/>
    </row>
    <row r="90" ht="15.75" customHeight="1">
      <c r="A90" s="6"/>
      <c r="B90" s="138" t="str">
        <f t="shared" si="16"/>
        <v/>
      </c>
      <c r="C90" s="139"/>
      <c r="D90" s="139"/>
      <c r="E90" s="139"/>
      <c r="F90" s="17" t="str">
        <f t="shared" si="17"/>
        <v/>
      </c>
      <c r="G90" s="11"/>
      <c r="H90" s="11"/>
      <c r="J90" s="3"/>
      <c r="K90" s="3"/>
      <c r="L90" s="3"/>
      <c r="M90" s="3"/>
      <c r="N90" s="3"/>
      <c r="O90" s="3"/>
      <c r="P90" s="3"/>
      <c r="Q90" s="3"/>
    </row>
    <row r="91" ht="15.75" customHeight="1">
      <c r="A91" s="6"/>
      <c r="B91" s="138" t="str">
        <f t="shared" si="16"/>
        <v/>
      </c>
      <c r="C91" s="139"/>
      <c r="D91" s="139"/>
      <c r="E91" s="139"/>
      <c r="F91" s="17" t="str">
        <f t="shared" si="17"/>
        <v/>
      </c>
      <c r="G91" s="11"/>
      <c r="H91" s="11"/>
      <c r="J91" s="3"/>
      <c r="K91" s="3"/>
      <c r="L91" s="3"/>
      <c r="M91" s="3"/>
      <c r="N91" s="3"/>
      <c r="O91" s="3"/>
      <c r="P91" s="3"/>
      <c r="Q91" s="3"/>
    </row>
    <row r="92" ht="15.75" customHeight="1">
      <c r="A92" s="6"/>
      <c r="B92" s="138" t="str">
        <f t="shared" si="16"/>
        <v/>
      </c>
      <c r="C92" s="139"/>
      <c r="D92" s="139"/>
      <c r="E92" s="139"/>
      <c r="F92" s="17" t="str">
        <f t="shared" si="17"/>
        <v/>
      </c>
      <c r="G92" s="11"/>
      <c r="H92" s="11"/>
      <c r="J92" s="3"/>
      <c r="K92" s="3"/>
      <c r="L92" s="3"/>
      <c r="M92" s="3"/>
      <c r="N92" s="3"/>
      <c r="O92" s="3"/>
      <c r="P92" s="3"/>
      <c r="Q92" s="3"/>
    </row>
    <row r="93" ht="15.75" customHeight="1">
      <c r="A93" s="6"/>
      <c r="B93" s="138" t="str">
        <f t="shared" si="16"/>
        <v/>
      </c>
      <c r="C93" s="139"/>
      <c r="D93" s="139"/>
      <c r="E93" s="139"/>
      <c r="F93" s="17" t="str">
        <f t="shared" si="17"/>
        <v/>
      </c>
      <c r="G93" s="11"/>
      <c r="H93" s="11"/>
      <c r="J93" s="3"/>
      <c r="K93" s="3"/>
      <c r="L93" s="3"/>
      <c r="M93" s="3"/>
      <c r="N93" s="3"/>
      <c r="O93" s="3"/>
      <c r="P93" s="3"/>
      <c r="Q93" s="3"/>
    </row>
    <row r="94" ht="15.75" customHeight="1">
      <c r="A94" s="6"/>
      <c r="B94" s="138" t="str">
        <f t="shared" si="16"/>
        <v/>
      </c>
      <c r="C94" s="139"/>
      <c r="D94" s="139"/>
      <c r="E94" s="139"/>
      <c r="F94" s="17" t="str">
        <f t="shared" si="17"/>
        <v/>
      </c>
      <c r="G94" s="11"/>
      <c r="H94" s="11"/>
      <c r="J94" s="3"/>
      <c r="K94" s="3"/>
      <c r="L94" s="3"/>
      <c r="M94" s="3"/>
      <c r="N94" s="3"/>
      <c r="O94" s="3"/>
      <c r="P94" s="3"/>
      <c r="Q94" s="3"/>
    </row>
    <row r="95" ht="15.75" customHeight="1">
      <c r="A95" s="6"/>
      <c r="B95" s="138" t="str">
        <f t="shared" si="16"/>
        <v/>
      </c>
      <c r="C95" s="139"/>
      <c r="D95" s="139"/>
      <c r="E95" s="139"/>
      <c r="F95" s="17" t="str">
        <f t="shared" si="17"/>
        <v/>
      </c>
      <c r="G95" s="11"/>
      <c r="H95" s="11"/>
      <c r="J95" s="3"/>
      <c r="K95" s="3"/>
      <c r="L95" s="3"/>
      <c r="M95" s="3"/>
      <c r="N95" s="3"/>
      <c r="O95" s="3"/>
      <c r="P95" s="3"/>
      <c r="Q95" s="3"/>
    </row>
    <row r="96" ht="15.75" customHeight="1">
      <c r="A96" s="6"/>
      <c r="B96" s="138" t="str">
        <f t="shared" si="16"/>
        <v/>
      </c>
      <c r="C96" s="139"/>
      <c r="D96" s="139"/>
      <c r="E96" s="139"/>
      <c r="F96" s="17" t="str">
        <f t="shared" si="17"/>
        <v/>
      </c>
      <c r="G96" s="11"/>
      <c r="H96" s="11"/>
      <c r="J96" s="3"/>
      <c r="K96" s="3"/>
      <c r="L96" s="3"/>
      <c r="M96" s="3"/>
      <c r="N96" s="3"/>
      <c r="O96" s="3"/>
      <c r="P96" s="3"/>
      <c r="Q96" s="3"/>
    </row>
    <row r="97" ht="15.75" customHeight="1">
      <c r="A97" s="6"/>
      <c r="B97" s="138" t="str">
        <f t="shared" si="16"/>
        <v/>
      </c>
      <c r="C97" s="139"/>
      <c r="D97" s="139"/>
      <c r="E97" s="139"/>
      <c r="F97" s="17" t="str">
        <f t="shared" si="17"/>
        <v/>
      </c>
      <c r="G97" s="11"/>
      <c r="H97" s="11"/>
      <c r="J97" s="3"/>
      <c r="K97" s="3"/>
      <c r="L97" s="3"/>
      <c r="M97" s="3"/>
      <c r="N97" s="3"/>
      <c r="O97" s="3"/>
      <c r="P97" s="3"/>
      <c r="Q97" s="3"/>
    </row>
    <row r="98" ht="15.75" customHeight="1">
      <c r="A98" s="6"/>
      <c r="B98" s="138" t="str">
        <f t="shared" si="16"/>
        <v/>
      </c>
      <c r="C98" s="139"/>
      <c r="D98" s="139"/>
      <c r="E98" s="139"/>
      <c r="F98" s="17" t="str">
        <f t="shared" si="17"/>
        <v/>
      </c>
      <c r="G98" s="11"/>
      <c r="H98" s="11"/>
      <c r="J98" s="3"/>
      <c r="K98" s="3"/>
      <c r="L98" s="3"/>
      <c r="M98" s="3"/>
      <c r="N98" s="3"/>
      <c r="O98" s="3"/>
      <c r="P98" s="3"/>
      <c r="Q98" s="3"/>
    </row>
    <row r="99" ht="15.75" customHeight="1">
      <c r="A99" s="6"/>
      <c r="B99" s="138" t="str">
        <f t="shared" si="16"/>
        <v/>
      </c>
      <c r="C99" s="139"/>
      <c r="D99" s="139"/>
      <c r="E99" s="139"/>
      <c r="F99" s="17" t="str">
        <f t="shared" si="17"/>
        <v/>
      </c>
      <c r="G99" s="11"/>
      <c r="H99" s="11"/>
      <c r="J99" s="3"/>
      <c r="K99" s="3"/>
      <c r="L99" s="3"/>
      <c r="M99" s="3"/>
      <c r="N99" s="3"/>
      <c r="O99" s="3"/>
      <c r="P99" s="3"/>
      <c r="Q99" s="3"/>
    </row>
    <row r="100" ht="15.75" customHeight="1">
      <c r="A100" s="6"/>
      <c r="B100" s="138" t="str">
        <f t="shared" si="16"/>
        <v/>
      </c>
      <c r="C100" s="139"/>
      <c r="D100" s="139"/>
      <c r="E100" s="139"/>
      <c r="F100" s="17" t="str">
        <f t="shared" si="17"/>
        <v/>
      </c>
      <c r="G100" s="11"/>
      <c r="H100" s="11"/>
      <c r="J100" s="3"/>
      <c r="K100" s="3"/>
      <c r="L100" s="3"/>
      <c r="M100" s="3"/>
      <c r="N100" s="3"/>
      <c r="O100" s="3"/>
      <c r="P100" s="3"/>
      <c r="Q100" s="3"/>
    </row>
    <row r="101" ht="15.75" customHeight="1">
      <c r="A101" s="6"/>
      <c r="B101" s="138" t="str">
        <f t="shared" si="16"/>
        <v/>
      </c>
      <c r="C101" s="139"/>
      <c r="D101" s="139"/>
      <c r="E101" s="139"/>
      <c r="F101" s="17" t="str">
        <f t="shared" si="17"/>
        <v/>
      </c>
      <c r="G101" s="11"/>
      <c r="H101" s="11"/>
      <c r="J101" s="3"/>
      <c r="K101" s="3"/>
      <c r="L101" s="3"/>
      <c r="M101" s="3"/>
      <c r="N101" s="3"/>
      <c r="O101" s="3"/>
      <c r="P101" s="3"/>
      <c r="Q101" s="3"/>
    </row>
    <row r="102" ht="15.75" customHeight="1">
      <c r="A102" s="6"/>
      <c r="B102" s="138" t="str">
        <f t="shared" si="16"/>
        <v/>
      </c>
      <c r="C102" s="139"/>
      <c r="D102" s="139"/>
      <c r="E102" s="139"/>
      <c r="F102" s="17" t="str">
        <f t="shared" si="17"/>
        <v/>
      </c>
      <c r="G102" s="11"/>
      <c r="H102" s="11"/>
      <c r="J102" s="3"/>
      <c r="K102" s="3"/>
      <c r="L102" s="3"/>
      <c r="M102" s="3"/>
      <c r="N102" s="3"/>
      <c r="O102" s="3"/>
      <c r="P102" s="3"/>
      <c r="Q102" s="3"/>
    </row>
    <row r="103" ht="15.75" customHeight="1">
      <c r="A103" s="6"/>
      <c r="B103" s="138" t="str">
        <f t="shared" si="16"/>
        <v/>
      </c>
      <c r="C103" s="139"/>
      <c r="D103" s="139"/>
      <c r="E103" s="139"/>
      <c r="F103" s="17" t="str">
        <f t="shared" si="17"/>
        <v/>
      </c>
      <c r="G103" s="11"/>
      <c r="H103" s="11"/>
      <c r="J103" s="3"/>
      <c r="K103" s="3"/>
      <c r="L103" s="3"/>
      <c r="M103" s="3"/>
      <c r="N103" s="3"/>
      <c r="O103" s="3"/>
      <c r="P103" s="3"/>
      <c r="Q103" s="3"/>
    </row>
    <row r="104" ht="15.75" customHeight="1">
      <c r="A104" s="6"/>
      <c r="B104" s="138" t="str">
        <f t="shared" si="16"/>
        <v/>
      </c>
      <c r="C104" s="139"/>
      <c r="D104" s="139"/>
      <c r="E104" s="139"/>
      <c r="F104" s="17" t="str">
        <f t="shared" si="17"/>
        <v/>
      </c>
      <c r="G104" s="11"/>
      <c r="H104" s="11"/>
      <c r="J104" s="3"/>
      <c r="K104" s="3"/>
      <c r="L104" s="3"/>
      <c r="M104" s="3"/>
      <c r="N104" s="3"/>
      <c r="O104" s="3"/>
      <c r="P104" s="3"/>
      <c r="Q104" s="3"/>
    </row>
    <row r="105" ht="15.75" customHeight="1">
      <c r="A105" s="6"/>
      <c r="B105" s="138" t="str">
        <f t="shared" si="16"/>
        <v/>
      </c>
      <c r="C105" s="139"/>
      <c r="D105" s="139"/>
      <c r="E105" s="139"/>
      <c r="F105" s="17" t="str">
        <f t="shared" si="17"/>
        <v/>
      </c>
      <c r="G105" s="11"/>
      <c r="H105" s="11"/>
      <c r="J105" s="3"/>
      <c r="K105" s="3"/>
      <c r="L105" s="3"/>
      <c r="M105" s="3"/>
      <c r="N105" s="3"/>
      <c r="O105" s="3"/>
      <c r="P105" s="3"/>
      <c r="Q105" s="3"/>
    </row>
    <row r="106" ht="15.75" customHeight="1">
      <c r="A106" s="6"/>
      <c r="B106" s="138" t="str">
        <f t="shared" si="16"/>
        <v/>
      </c>
      <c r="C106" s="139"/>
      <c r="D106" s="139"/>
      <c r="E106" s="139"/>
      <c r="F106" s="17" t="str">
        <f t="shared" si="17"/>
        <v/>
      </c>
      <c r="G106" s="11"/>
      <c r="H106" s="11"/>
      <c r="J106" s="3"/>
      <c r="K106" s="3"/>
      <c r="L106" s="3"/>
      <c r="M106" s="3"/>
      <c r="N106" s="3"/>
      <c r="O106" s="3"/>
      <c r="P106" s="3"/>
      <c r="Q106" s="3"/>
    </row>
    <row r="107" ht="15.75" customHeight="1">
      <c r="A107" s="6"/>
      <c r="B107" s="138" t="str">
        <f t="shared" si="16"/>
        <v/>
      </c>
      <c r="C107" s="139"/>
      <c r="D107" s="139"/>
      <c r="E107" s="139"/>
      <c r="F107" s="17" t="str">
        <f t="shared" si="17"/>
        <v/>
      </c>
      <c r="G107" s="11"/>
      <c r="H107" s="11"/>
      <c r="J107" s="3"/>
      <c r="K107" s="3"/>
      <c r="L107" s="3"/>
      <c r="M107" s="3"/>
      <c r="N107" s="3"/>
      <c r="O107" s="3"/>
      <c r="P107" s="3"/>
      <c r="Q107" s="3"/>
    </row>
    <row r="108" ht="15.75" customHeight="1">
      <c r="A108" s="6"/>
      <c r="B108" s="138" t="str">
        <f t="shared" si="16"/>
        <v/>
      </c>
      <c r="C108" s="139"/>
      <c r="D108" s="139"/>
      <c r="E108" s="139"/>
      <c r="F108" s="17" t="str">
        <f t="shared" si="17"/>
        <v/>
      </c>
      <c r="G108" s="11"/>
      <c r="H108" s="11"/>
      <c r="J108" s="3"/>
      <c r="K108" s="3"/>
      <c r="L108" s="3"/>
      <c r="M108" s="3"/>
      <c r="N108" s="3"/>
      <c r="O108" s="3"/>
      <c r="P108" s="3"/>
      <c r="Q108" s="3"/>
    </row>
    <row r="109" ht="15.75" customHeight="1">
      <c r="A109" s="6"/>
      <c r="B109" s="138" t="str">
        <f t="shared" si="16"/>
        <v/>
      </c>
      <c r="C109" s="139"/>
      <c r="D109" s="139"/>
      <c r="E109" s="139"/>
      <c r="F109" s="17" t="str">
        <f t="shared" si="17"/>
        <v/>
      </c>
      <c r="G109" s="11"/>
      <c r="H109" s="11"/>
      <c r="J109" s="3"/>
      <c r="K109" s="3"/>
      <c r="L109" s="3"/>
      <c r="M109" s="3"/>
      <c r="N109" s="3"/>
      <c r="O109" s="3"/>
      <c r="P109" s="3"/>
      <c r="Q109" s="3"/>
    </row>
    <row r="110" ht="15.75" customHeight="1">
      <c r="A110" s="6"/>
      <c r="B110" s="138" t="str">
        <f t="shared" si="16"/>
        <v/>
      </c>
      <c r="C110" s="139"/>
      <c r="D110" s="139"/>
      <c r="E110" s="139"/>
      <c r="F110" s="17" t="str">
        <f t="shared" si="17"/>
        <v/>
      </c>
      <c r="G110" s="11"/>
      <c r="H110" s="11"/>
      <c r="J110" s="3"/>
      <c r="K110" s="3"/>
      <c r="L110" s="3"/>
      <c r="M110" s="3"/>
      <c r="N110" s="3"/>
      <c r="O110" s="3"/>
      <c r="P110" s="3"/>
      <c r="Q110" s="3"/>
    </row>
    <row r="111" ht="15.75" customHeight="1">
      <c r="A111" s="6"/>
      <c r="B111" s="138" t="str">
        <f t="shared" si="16"/>
        <v/>
      </c>
      <c r="C111" s="139"/>
      <c r="D111" s="139"/>
      <c r="E111" s="139"/>
      <c r="F111" s="17" t="str">
        <f t="shared" si="17"/>
        <v/>
      </c>
      <c r="G111" s="11"/>
      <c r="H111" s="11"/>
      <c r="J111" s="3"/>
      <c r="K111" s="3"/>
      <c r="L111" s="3"/>
      <c r="M111" s="3"/>
      <c r="N111" s="3"/>
      <c r="O111" s="3"/>
      <c r="P111" s="3"/>
      <c r="Q111" s="3"/>
    </row>
    <row r="112" ht="15.75" customHeight="1">
      <c r="A112" s="6"/>
      <c r="B112" s="138" t="str">
        <f t="shared" si="16"/>
        <v/>
      </c>
      <c r="C112" s="139"/>
      <c r="D112" s="139"/>
      <c r="E112" s="139"/>
      <c r="F112" s="17" t="str">
        <f t="shared" si="17"/>
        <v/>
      </c>
      <c r="G112" s="11"/>
      <c r="H112" s="11"/>
      <c r="J112" s="3"/>
      <c r="K112" s="3"/>
      <c r="L112" s="3"/>
      <c r="M112" s="3"/>
      <c r="N112" s="3"/>
      <c r="O112" s="3"/>
      <c r="P112" s="3"/>
      <c r="Q112" s="3"/>
    </row>
    <row r="113" ht="15.75" customHeight="1">
      <c r="A113" s="6"/>
      <c r="B113" s="138" t="str">
        <f t="shared" si="16"/>
        <v/>
      </c>
      <c r="C113" s="139"/>
      <c r="D113" s="139"/>
      <c r="E113" s="139"/>
      <c r="F113" s="17" t="str">
        <f t="shared" si="17"/>
        <v/>
      </c>
      <c r="G113" s="11"/>
      <c r="H113" s="11"/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6"/>
      <c r="B114" s="138" t="str">
        <f t="shared" si="16"/>
        <v/>
      </c>
      <c r="C114" s="139"/>
      <c r="D114" s="139"/>
      <c r="E114" s="139"/>
      <c r="F114" s="17" t="str">
        <f t="shared" si="17"/>
        <v/>
      </c>
      <c r="G114" s="11"/>
      <c r="H114" s="11"/>
      <c r="J114" s="3"/>
      <c r="K114" s="3"/>
      <c r="L114" s="3"/>
      <c r="M114" s="3"/>
      <c r="N114" s="3"/>
      <c r="O114" s="3"/>
      <c r="P114" s="3"/>
      <c r="Q114" s="3"/>
    </row>
    <row r="115" ht="15.75" customHeight="1">
      <c r="A115" s="6"/>
      <c r="B115" s="138" t="str">
        <f t="shared" si="16"/>
        <v/>
      </c>
      <c r="C115" s="139"/>
      <c r="D115" s="139"/>
      <c r="E115" s="139"/>
      <c r="F115" s="17" t="str">
        <f t="shared" si="17"/>
        <v/>
      </c>
      <c r="G115" s="11"/>
      <c r="H115" s="11"/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6"/>
      <c r="B116" s="138" t="str">
        <f t="shared" si="16"/>
        <v/>
      </c>
      <c r="C116" s="139"/>
      <c r="D116" s="139"/>
      <c r="E116" s="139"/>
      <c r="F116" s="17" t="str">
        <f t="shared" si="17"/>
        <v/>
      </c>
      <c r="G116" s="11"/>
      <c r="H116" s="11"/>
      <c r="J116" s="3"/>
      <c r="K116" s="3"/>
      <c r="L116" s="3"/>
      <c r="M116" s="3"/>
      <c r="N116" s="3"/>
      <c r="O116" s="3"/>
      <c r="P116" s="3"/>
      <c r="Q116" s="3"/>
    </row>
    <row r="117" ht="15.75" customHeight="1">
      <c r="A117" s="6"/>
      <c r="B117" s="138" t="str">
        <f t="shared" si="16"/>
        <v/>
      </c>
      <c r="C117" s="139"/>
      <c r="D117" s="139"/>
      <c r="E117" s="139"/>
      <c r="F117" s="17" t="str">
        <f t="shared" si="17"/>
        <v/>
      </c>
      <c r="G117" s="11"/>
      <c r="H117" s="11"/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6"/>
      <c r="B118" s="138" t="str">
        <f t="shared" si="16"/>
        <v/>
      </c>
      <c r="C118" s="139"/>
      <c r="D118" s="139"/>
      <c r="E118" s="139"/>
      <c r="F118" s="17" t="str">
        <f t="shared" si="17"/>
        <v/>
      </c>
      <c r="G118" s="11"/>
      <c r="H118" s="11"/>
      <c r="J118" s="3"/>
      <c r="K118" s="3"/>
      <c r="L118" s="3"/>
      <c r="M118" s="3"/>
      <c r="N118" s="3"/>
      <c r="O118" s="3"/>
      <c r="P118" s="3"/>
      <c r="Q118" s="3"/>
    </row>
    <row r="119" ht="15.75" customHeight="1">
      <c r="A119" s="6"/>
      <c r="B119" s="138" t="str">
        <f t="shared" si="16"/>
        <v/>
      </c>
      <c r="C119" s="139"/>
      <c r="D119" s="139"/>
      <c r="E119" s="139"/>
      <c r="F119" s="17" t="str">
        <f t="shared" si="17"/>
        <v/>
      </c>
      <c r="G119" s="11"/>
      <c r="H119" s="11"/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6"/>
      <c r="B120" s="138" t="str">
        <f t="shared" si="16"/>
        <v/>
      </c>
      <c r="C120" s="139"/>
      <c r="D120" s="139"/>
      <c r="E120" s="139"/>
      <c r="F120" s="17" t="str">
        <f t="shared" si="17"/>
        <v/>
      </c>
      <c r="G120" s="11"/>
      <c r="H120" s="11"/>
      <c r="J120" s="3"/>
      <c r="K120" s="3"/>
      <c r="L120" s="3"/>
      <c r="M120" s="3"/>
      <c r="N120" s="3"/>
      <c r="O120" s="3"/>
      <c r="P120" s="3"/>
      <c r="Q120" s="3"/>
    </row>
    <row r="121" ht="15.75" customHeight="1">
      <c r="A121" s="6"/>
      <c r="B121" s="138" t="str">
        <f t="shared" si="16"/>
        <v/>
      </c>
      <c r="C121" s="139"/>
      <c r="D121" s="139"/>
      <c r="E121" s="139"/>
      <c r="F121" s="17" t="str">
        <f t="shared" si="17"/>
        <v/>
      </c>
      <c r="G121" s="11"/>
      <c r="H121" s="11"/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6"/>
      <c r="B122" s="138" t="str">
        <f t="shared" si="16"/>
        <v/>
      </c>
      <c r="C122" s="139"/>
      <c r="D122" s="139"/>
      <c r="E122" s="139"/>
      <c r="F122" s="17" t="str">
        <f t="shared" si="17"/>
        <v/>
      </c>
      <c r="G122" s="11"/>
      <c r="H122" s="11"/>
      <c r="J122" s="3"/>
      <c r="K122" s="3"/>
      <c r="L122" s="3"/>
      <c r="M122" s="3"/>
      <c r="N122" s="3"/>
      <c r="O122" s="3"/>
      <c r="P122" s="3"/>
      <c r="Q122" s="3"/>
    </row>
    <row r="123" ht="15.75" customHeight="1">
      <c r="A123" s="6"/>
      <c r="B123" s="138" t="str">
        <f t="shared" si="16"/>
        <v/>
      </c>
      <c r="C123" s="139"/>
      <c r="D123" s="139"/>
      <c r="E123" s="139"/>
      <c r="F123" s="17" t="str">
        <f t="shared" si="17"/>
        <v/>
      </c>
      <c r="G123" s="11"/>
      <c r="H123" s="11"/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6"/>
      <c r="B124" s="138" t="str">
        <f t="shared" si="16"/>
        <v/>
      </c>
      <c r="C124" s="139"/>
      <c r="D124" s="139"/>
      <c r="E124" s="139"/>
      <c r="F124" s="17" t="str">
        <f t="shared" si="17"/>
        <v/>
      </c>
      <c r="G124" s="11"/>
      <c r="H124" s="11"/>
      <c r="J124" s="3"/>
      <c r="K124" s="3"/>
      <c r="L124" s="3"/>
      <c r="M124" s="3"/>
      <c r="N124" s="3"/>
      <c r="O124" s="3"/>
      <c r="P124" s="3"/>
      <c r="Q124" s="3"/>
    </row>
    <row r="125" ht="15.75" customHeight="1">
      <c r="A125" s="6"/>
      <c r="B125" s="138" t="str">
        <f t="shared" si="16"/>
        <v/>
      </c>
      <c r="C125" s="139"/>
      <c r="D125" s="139"/>
      <c r="E125" s="139"/>
      <c r="F125" s="17" t="str">
        <f t="shared" si="17"/>
        <v/>
      </c>
      <c r="G125" s="11"/>
      <c r="H125" s="11"/>
      <c r="J125" s="3"/>
      <c r="K125" s="3"/>
      <c r="L125" s="3"/>
      <c r="M125" s="3"/>
      <c r="N125" s="3"/>
      <c r="O125" s="3"/>
      <c r="P125" s="3"/>
      <c r="Q125" s="3"/>
    </row>
    <row r="126" ht="15.75" customHeight="1">
      <c r="A126" s="6"/>
      <c r="B126" s="138" t="str">
        <f t="shared" si="16"/>
        <v/>
      </c>
      <c r="C126" s="139"/>
      <c r="D126" s="139"/>
      <c r="E126" s="139"/>
      <c r="F126" s="17" t="str">
        <f t="shared" si="17"/>
        <v/>
      </c>
      <c r="G126" s="11"/>
      <c r="H126" s="11"/>
      <c r="J126" s="3"/>
      <c r="K126" s="3"/>
      <c r="L126" s="3"/>
      <c r="M126" s="3"/>
      <c r="N126" s="3"/>
      <c r="O126" s="3"/>
      <c r="P126" s="3"/>
      <c r="Q126" s="3"/>
    </row>
    <row r="127" ht="15.75" customHeight="1">
      <c r="A127" s="6"/>
      <c r="B127" s="138" t="str">
        <f t="shared" si="16"/>
        <v/>
      </c>
      <c r="C127" s="139"/>
      <c r="D127" s="139"/>
      <c r="E127" s="139"/>
      <c r="F127" s="17" t="str">
        <f t="shared" si="17"/>
        <v/>
      </c>
      <c r="G127" s="11"/>
      <c r="H127" s="11"/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6"/>
      <c r="B128" s="138" t="str">
        <f t="shared" si="16"/>
        <v/>
      </c>
      <c r="C128" s="139"/>
      <c r="D128" s="139"/>
      <c r="E128" s="139"/>
      <c r="F128" s="17" t="str">
        <f t="shared" si="17"/>
        <v/>
      </c>
      <c r="G128" s="11"/>
      <c r="H128" s="11"/>
      <c r="J128" s="3"/>
      <c r="K128" s="3"/>
      <c r="L128" s="3"/>
      <c r="M128" s="3"/>
      <c r="N128" s="3"/>
      <c r="O128" s="3"/>
      <c r="P128" s="3"/>
      <c r="Q128" s="3"/>
    </row>
    <row r="129" ht="15.75" customHeight="1">
      <c r="A129" s="6"/>
      <c r="B129" s="138" t="str">
        <f t="shared" si="16"/>
        <v/>
      </c>
      <c r="C129" s="139"/>
      <c r="D129" s="139"/>
      <c r="E129" s="139"/>
      <c r="F129" s="17" t="str">
        <f t="shared" si="17"/>
        <v/>
      </c>
      <c r="G129" s="11"/>
      <c r="H129" s="11"/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6"/>
      <c r="B130" s="138" t="str">
        <f t="shared" si="16"/>
        <v/>
      </c>
      <c r="C130" s="139"/>
      <c r="D130" s="139"/>
      <c r="E130" s="139"/>
      <c r="F130" s="17" t="str">
        <f t="shared" si="17"/>
        <v/>
      </c>
      <c r="G130" s="11"/>
      <c r="H130" s="11"/>
      <c r="J130" s="3"/>
      <c r="K130" s="3"/>
      <c r="L130" s="3"/>
      <c r="M130" s="3"/>
      <c r="N130" s="3"/>
      <c r="O130" s="3"/>
      <c r="P130" s="3"/>
      <c r="Q130" s="3"/>
    </row>
    <row r="131" ht="15.75" customHeight="1">
      <c r="A131" s="6"/>
      <c r="B131" s="138" t="str">
        <f t="shared" si="16"/>
        <v/>
      </c>
      <c r="C131" s="139"/>
      <c r="D131" s="139"/>
      <c r="E131" s="139"/>
      <c r="F131" s="17" t="str">
        <f t="shared" si="17"/>
        <v/>
      </c>
      <c r="G131" s="11"/>
      <c r="H131" s="11"/>
      <c r="J131" s="3"/>
      <c r="K131" s="3"/>
      <c r="L131" s="3"/>
      <c r="M131" s="3"/>
      <c r="N131" s="3"/>
      <c r="O131" s="3"/>
      <c r="P131" s="3"/>
      <c r="Q131" s="3"/>
    </row>
    <row r="132" ht="15.75" customHeight="1">
      <c r="A132" s="6"/>
      <c r="B132" s="138" t="str">
        <f t="shared" si="16"/>
        <v/>
      </c>
      <c r="C132" s="139"/>
      <c r="D132" s="139"/>
      <c r="E132" s="139"/>
      <c r="F132" s="17" t="str">
        <f t="shared" si="17"/>
        <v/>
      </c>
      <c r="G132" s="11"/>
      <c r="H132" s="11"/>
      <c r="J132" s="3"/>
      <c r="K132" s="3"/>
      <c r="L132" s="3"/>
      <c r="M132" s="3"/>
      <c r="N132" s="3"/>
      <c r="O132" s="3"/>
      <c r="P132" s="3"/>
      <c r="Q132" s="3"/>
    </row>
    <row r="133" ht="15.75" customHeight="1">
      <c r="A133" s="6"/>
      <c r="B133" s="138" t="str">
        <f t="shared" si="16"/>
        <v/>
      </c>
      <c r="C133" s="139"/>
      <c r="D133" s="139"/>
      <c r="E133" s="139"/>
      <c r="F133" s="17" t="str">
        <f t="shared" si="17"/>
        <v/>
      </c>
      <c r="G133" s="11"/>
      <c r="H133" s="11"/>
      <c r="J133" s="3"/>
      <c r="K133" s="3"/>
      <c r="L133" s="3"/>
      <c r="M133" s="3"/>
      <c r="N133" s="3"/>
      <c r="O133" s="3"/>
      <c r="P133" s="3"/>
      <c r="Q133" s="3"/>
    </row>
    <row r="134" ht="15.75" customHeight="1">
      <c r="A134" s="6"/>
      <c r="B134" s="138" t="str">
        <f t="shared" si="16"/>
        <v/>
      </c>
      <c r="C134" s="139"/>
      <c r="D134" s="139"/>
      <c r="E134" s="139"/>
      <c r="F134" s="17" t="str">
        <f t="shared" si="17"/>
        <v/>
      </c>
      <c r="G134" s="11"/>
      <c r="H134" s="11"/>
      <c r="J134" s="3"/>
      <c r="K134" s="3"/>
      <c r="L134" s="3"/>
      <c r="M134" s="3"/>
      <c r="N134" s="3"/>
      <c r="O134" s="3"/>
      <c r="P134" s="3"/>
      <c r="Q134" s="3"/>
    </row>
    <row r="135" ht="15.75" customHeight="1">
      <c r="A135" s="6"/>
      <c r="B135" s="138" t="str">
        <f t="shared" si="16"/>
        <v/>
      </c>
      <c r="C135" s="139"/>
      <c r="D135" s="139"/>
      <c r="E135" s="139"/>
      <c r="F135" s="17" t="str">
        <f t="shared" si="17"/>
        <v/>
      </c>
      <c r="G135" s="11"/>
      <c r="H135" s="11"/>
      <c r="J135" s="3"/>
      <c r="K135" s="3"/>
      <c r="L135" s="3"/>
      <c r="M135" s="3"/>
      <c r="N135" s="3"/>
      <c r="O135" s="3"/>
      <c r="P135" s="3"/>
      <c r="Q135" s="3"/>
    </row>
    <row r="136" ht="15.75" customHeight="1">
      <c r="A136" s="6"/>
      <c r="B136" s="138" t="str">
        <f t="shared" si="16"/>
        <v/>
      </c>
      <c r="C136" s="139"/>
      <c r="D136" s="139"/>
      <c r="E136" s="139"/>
      <c r="F136" s="17" t="str">
        <f t="shared" si="17"/>
        <v/>
      </c>
      <c r="G136" s="11"/>
      <c r="H136" s="11"/>
      <c r="J136" s="3"/>
      <c r="K136" s="3"/>
      <c r="L136" s="3"/>
      <c r="M136" s="3"/>
      <c r="N136" s="3"/>
      <c r="O136" s="3"/>
      <c r="P136" s="3"/>
      <c r="Q136" s="3"/>
    </row>
    <row r="137" ht="15.75" customHeight="1">
      <c r="A137" s="6"/>
      <c r="B137" s="138" t="str">
        <f t="shared" si="16"/>
        <v/>
      </c>
      <c r="C137" s="139"/>
      <c r="D137" s="139"/>
      <c r="E137" s="139"/>
      <c r="F137" s="17" t="str">
        <f t="shared" si="17"/>
        <v/>
      </c>
      <c r="G137" s="11"/>
      <c r="H137" s="11"/>
      <c r="J137" s="3"/>
      <c r="K137" s="3"/>
      <c r="L137" s="3"/>
      <c r="M137" s="3"/>
      <c r="N137" s="3"/>
      <c r="O137" s="3"/>
      <c r="P137" s="3"/>
      <c r="Q137" s="3"/>
    </row>
    <row r="138" ht="15.75" customHeight="1">
      <c r="A138" s="6"/>
      <c r="B138" s="138" t="str">
        <f t="shared" si="16"/>
        <v/>
      </c>
      <c r="C138" s="139"/>
      <c r="D138" s="139"/>
      <c r="E138" s="139"/>
      <c r="F138" s="17" t="str">
        <f t="shared" si="17"/>
        <v/>
      </c>
      <c r="G138" s="11"/>
      <c r="H138" s="11"/>
      <c r="J138" s="3"/>
      <c r="K138" s="3"/>
      <c r="L138" s="3"/>
      <c r="M138" s="3"/>
      <c r="N138" s="3"/>
      <c r="O138" s="3"/>
      <c r="P138" s="3"/>
      <c r="Q138" s="3"/>
    </row>
    <row r="139" ht="15.75" customHeight="1">
      <c r="A139" s="6"/>
      <c r="B139" s="138" t="str">
        <f t="shared" si="16"/>
        <v/>
      </c>
      <c r="C139" s="139"/>
      <c r="D139" s="139"/>
      <c r="E139" s="139"/>
      <c r="F139" s="17" t="str">
        <f t="shared" si="17"/>
        <v/>
      </c>
      <c r="G139" s="11"/>
      <c r="H139" s="11"/>
      <c r="J139" s="3"/>
      <c r="K139" s="3"/>
      <c r="L139" s="3"/>
      <c r="M139" s="3"/>
      <c r="N139" s="3"/>
      <c r="O139" s="3"/>
      <c r="P139" s="3"/>
      <c r="Q139" s="3"/>
    </row>
    <row r="140" ht="15.75" customHeight="1">
      <c r="A140" s="6"/>
      <c r="B140" s="138" t="str">
        <f t="shared" si="16"/>
        <v/>
      </c>
      <c r="C140" s="139"/>
      <c r="D140" s="139"/>
      <c r="E140" s="139"/>
      <c r="F140" s="17" t="str">
        <f t="shared" si="17"/>
        <v/>
      </c>
      <c r="G140" s="11"/>
      <c r="H140" s="11"/>
      <c r="J140" s="3"/>
      <c r="K140" s="3"/>
      <c r="L140" s="3"/>
      <c r="M140" s="3"/>
      <c r="N140" s="3"/>
      <c r="O140" s="3"/>
      <c r="P140" s="3"/>
      <c r="Q140" s="3"/>
    </row>
    <row r="141" ht="15.75" customHeight="1">
      <c r="A141" s="6"/>
      <c r="B141" s="138" t="str">
        <f t="shared" si="16"/>
        <v/>
      </c>
      <c r="C141" s="139"/>
      <c r="D141" s="139"/>
      <c r="E141" s="139"/>
      <c r="F141" s="17" t="str">
        <f t="shared" si="17"/>
        <v/>
      </c>
      <c r="G141" s="11"/>
      <c r="H141" s="11"/>
      <c r="J141" s="3"/>
      <c r="K141" s="3"/>
      <c r="L141" s="3"/>
      <c r="M141" s="3"/>
      <c r="N141" s="3"/>
      <c r="O141" s="3"/>
      <c r="P141" s="3"/>
      <c r="Q141" s="3"/>
    </row>
    <row r="142" ht="15.75" customHeight="1">
      <c r="A142" s="6"/>
      <c r="B142" s="138" t="str">
        <f t="shared" si="16"/>
        <v/>
      </c>
      <c r="C142" s="139"/>
      <c r="D142" s="139"/>
      <c r="E142" s="139"/>
      <c r="F142" s="17" t="str">
        <f t="shared" si="17"/>
        <v/>
      </c>
      <c r="G142" s="11"/>
      <c r="H142" s="11"/>
      <c r="J142" s="3"/>
      <c r="K142" s="3"/>
      <c r="L142" s="3"/>
      <c r="M142" s="3"/>
      <c r="N142" s="3"/>
      <c r="O142" s="3"/>
      <c r="P142" s="3"/>
      <c r="Q142" s="3"/>
    </row>
    <row r="143" ht="15.75" customHeight="1">
      <c r="A143" s="6"/>
      <c r="B143" s="138" t="str">
        <f t="shared" si="16"/>
        <v/>
      </c>
      <c r="C143" s="139"/>
      <c r="D143" s="139"/>
      <c r="E143" s="139"/>
      <c r="F143" s="17" t="str">
        <f t="shared" si="17"/>
        <v/>
      </c>
      <c r="G143" s="11"/>
      <c r="H143" s="11"/>
      <c r="J143" s="3"/>
      <c r="K143" s="3"/>
      <c r="L143" s="3"/>
      <c r="M143" s="3"/>
      <c r="N143" s="3"/>
      <c r="O143" s="3"/>
      <c r="P143" s="3"/>
      <c r="Q143" s="3"/>
    </row>
    <row r="144" ht="15.75" customHeight="1">
      <c r="A144" s="6"/>
      <c r="B144" s="138" t="str">
        <f t="shared" si="16"/>
        <v/>
      </c>
      <c r="C144" s="139"/>
      <c r="D144" s="139"/>
      <c r="E144" s="139"/>
      <c r="F144" s="17" t="str">
        <f t="shared" si="17"/>
        <v/>
      </c>
      <c r="G144" s="11"/>
      <c r="H144" s="11"/>
      <c r="J144" s="3"/>
      <c r="K144" s="3"/>
      <c r="L144" s="3"/>
      <c r="M144" s="3"/>
      <c r="N144" s="3"/>
      <c r="O144" s="3"/>
      <c r="P144" s="3"/>
      <c r="Q144" s="3"/>
    </row>
    <row r="145" ht="15.75" customHeight="1">
      <c r="A145" s="6"/>
      <c r="B145" s="138" t="str">
        <f t="shared" si="16"/>
        <v/>
      </c>
      <c r="C145" s="139"/>
      <c r="D145" s="139"/>
      <c r="E145" s="139"/>
      <c r="F145" s="17" t="str">
        <f t="shared" si="17"/>
        <v/>
      </c>
      <c r="G145" s="11"/>
      <c r="H145" s="11"/>
      <c r="J145" s="3"/>
      <c r="K145" s="3"/>
      <c r="L145" s="3"/>
      <c r="M145" s="3"/>
      <c r="N145" s="3"/>
      <c r="O145" s="3"/>
      <c r="P145" s="3"/>
      <c r="Q145" s="3"/>
    </row>
    <row r="146" ht="15.75" customHeight="1">
      <c r="A146" s="6"/>
      <c r="B146" s="138" t="str">
        <f t="shared" si="16"/>
        <v/>
      </c>
      <c r="C146" s="139"/>
      <c r="D146" s="139"/>
      <c r="E146" s="139"/>
      <c r="F146" s="17" t="str">
        <f t="shared" si="17"/>
        <v/>
      </c>
      <c r="G146" s="11"/>
      <c r="H146" s="11"/>
      <c r="J146" s="3"/>
      <c r="K146" s="3"/>
      <c r="L146" s="3"/>
      <c r="M146" s="3"/>
      <c r="N146" s="3"/>
      <c r="O146" s="3"/>
      <c r="P146" s="3"/>
      <c r="Q146" s="3"/>
    </row>
    <row r="147" ht="15.75" customHeight="1">
      <c r="A147" s="6"/>
      <c r="B147" s="138" t="str">
        <f t="shared" si="16"/>
        <v/>
      </c>
      <c r="C147" s="139"/>
      <c r="D147" s="139"/>
      <c r="E147" s="139"/>
      <c r="F147" s="17" t="str">
        <f t="shared" si="17"/>
        <v/>
      </c>
      <c r="G147" s="11"/>
      <c r="H147" s="11"/>
      <c r="J147" s="3"/>
      <c r="K147" s="3"/>
      <c r="L147" s="3"/>
      <c r="M147" s="3"/>
      <c r="N147" s="3"/>
      <c r="O147" s="3"/>
      <c r="P147" s="3"/>
      <c r="Q147" s="3"/>
    </row>
    <row r="148" ht="15.75" customHeight="1">
      <c r="A148" s="6"/>
      <c r="B148" s="138" t="str">
        <f t="shared" si="16"/>
        <v/>
      </c>
      <c r="C148" s="139"/>
      <c r="D148" s="139"/>
      <c r="E148" s="139"/>
      <c r="F148" s="17" t="str">
        <f t="shared" si="17"/>
        <v/>
      </c>
      <c r="G148" s="11"/>
      <c r="H148" s="11"/>
      <c r="J148" s="3"/>
      <c r="K148" s="3"/>
      <c r="L148" s="3"/>
      <c r="M148" s="3"/>
      <c r="N148" s="3"/>
      <c r="O148" s="3"/>
      <c r="P148" s="3"/>
      <c r="Q148" s="3"/>
    </row>
    <row r="149" ht="15.75" customHeight="1">
      <c r="A149" s="6"/>
      <c r="B149" s="138" t="str">
        <f t="shared" si="16"/>
        <v/>
      </c>
      <c r="C149" s="139"/>
      <c r="D149" s="139"/>
      <c r="E149" s="139"/>
      <c r="F149" s="17" t="str">
        <f t="shared" si="17"/>
        <v/>
      </c>
      <c r="G149" s="11"/>
      <c r="H149" s="11"/>
      <c r="J149" s="3"/>
      <c r="K149" s="3"/>
      <c r="L149" s="3"/>
      <c r="M149" s="3"/>
      <c r="N149" s="3"/>
      <c r="O149" s="3"/>
      <c r="P149" s="3"/>
      <c r="Q149" s="3"/>
    </row>
    <row r="150" ht="15.75" customHeight="1">
      <c r="A150" s="6"/>
      <c r="B150" s="138" t="str">
        <f t="shared" si="16"/>
        <v/>
      </c>
      <c r="C150" s="139"/>
      <c r="D150" s="139"/>
      <c r="E150" s="139"/>
      <c r="F150" s="17" t="str">
        <f t="shared" si="17"/>
        <v/>
      </c>
      <c r="G150" s="11"/>
      <c r="H150" s="11"/>
      <c r="J150" s="3"/>
      <c r="K150" s="3"/>
      <c r="L150" s="3"/>
      <c r="M150" s="3"/>
      <c r="N150" s="3"/>
      <c r="O150" s="3"/>
      <c r="P150" s="3"/>
      <c r="Q150" s="3"/>
    </row>
    <row r="151" ht="15.75" customHeight="1">
      <c r="A151" s="6"/>
      <c r="B151" s="138" t="str">
        <f t="shared" si="16"/>
        <v/>
      </c>
      <c r="C151" s="139"/>
      <c r="D151" s="139"/>
      <c r="E151" s="139"/>
      <c r="F151" s="17" t="str">
        <f t="shared" si="17"/>
        <v/>
      </c>
      <c r="G151" s="11"/>
      <c r="H151" s="11"/>
      <c r="J151" s="3"/>
      <c r="K151" s="3"/>
      <c r="L151" s="3"/>
      <c r="M151" s="3"/>
      <c r="N151" s="3"/>
      <c r="O151" s="3"/>
      <c r="P151" s="3"/>
      <c r="Q151" s="3"/>
    </row>
    <row r="152" ht="15.75" customHeight="1">
      <c r="A152" s="6"/>
      <c r="B152" s="138" t="str">
        <f t="shared" si="16"/>
        <v/>
      </c>
      <c r="C152" s="139"/>
      <c r="D152" s="139"/>
      <c r="E152" s="139"/>
      <c r="F152" s="17" t="str">
        <f t="shared" si="17"/>
        <v/>
      </c>
      <c r="G152" s="11"/>
      <c r="H152" s="11"/>
      <c r="J152" s="3"/>
      <c r="K152" s="3"/>
      <c r="L152" s="3"/>
      <c r="M152" s="3"/>
      <c r="N152" s="3"/>
      <c r="O152" s="3"/>
      <c r="P152" s="3"/>
      <c r="Q152" s="3"/>
    </row>
    <row r="153" ht="15.75" customHeight="1">
      <c r="A153" s="6"/>
      <c r="B153" s="138" t="str">
        <f t="shared" si="16"/>
        <v/>
      </c>
      <c r="C153" s="139"/>
      <c r="D153" s="139"/>
      <c r="E153" s="139"/>
      <c r="F153" s="17" t="str">
        <f t="shared" si="17"/>
        <v/>
      </c>
      <c r="G153" s="11"/>
      <c r="H153" s="11"/>
      <c r="J153" s="3"/>
      <c r="K153" s="3"/>
      <c r="L153" s="3"/>
      <c r="M153" s="3"/>
      <c r="N153" s="3"/>
      <c r="O153" s="3"/>
      <c r="P153" s="3"/>
      <c r="Q153" s="3"/>
    </row>
    <row r="154" ht="15.75" customHeight="1">
      <c r="A154" s="6"/>
      <c r="B154" s="138" t="str">
        <f t="shared" si="16"/>
        <v/>
      </c>
      <c r="C154" s="139"/>
      <c r="D154" s="139"/>
      <c r="E154" s="139"/>
      <c r="F154" s="17" t="str">
        <f t="shared" si="17"/>
        <v/>
      </c>
      <c r="G154" s="11"/>
      <c r="H154" s="11"/>
      <c r="J154" s="3"/>
      <c r="K154" s="3"/>
      <c r="L154" s="3"/>
      <c r="M154" s="3"/>
      <c r="N154" s="3"/>
      <c r="O154" s="3"/>
      <c r="P154" s="3"/>
      <c r="Q154" s="3"/>
    </row>
    <row r="155" ht="15.75" customHeight="1">
      <c r="A155" s="6"/>
      <c r="B155" s="138" t="str">
        <f t="shared" si="16"/>
        <v/>
      </c>
      <c r="C155" s="139"/>
      <c r="D155" s="139"/>
      <c r="E155" s="139"/>
      <c r="F155" s="17" t="str">
        <f t="shared" si="17"/>
        <v/>
      </c>
      <c r="G155" s="11"/>
      <c r="H155" s="11"/>
      <c r="J155" s="3"/>
      <c r="K155" s="3"/>
      <c r="L155" s="3"/>
      <c r="M155" s="3"/>
      <c r="N155" s="3"/>
      <c r="O155" s="3"/>
      <c r="P155" s="3"/>
      <c r="Q155" s="3"/>
    </row>
    <row r="156" ht="15.75" customHeight="1">
      <c r="A156" s="6"/>
      <c r="B156" s="138" t="str">
        <f t="shared" si="16"/>
        <v/>
      </c>
      <c r="C156" s="139"/>
      <c r="D156" s="139"/>
      <c r="E156" s="139"/>
      <c r="F156" s="17" t="str">
        <f t="shared" si="17"/>
        <v/>
      </c>
      <c r="G156" s="11"/>
      <c r="H156" s="11"/>
      <c r="J156" s="3"/>
      <c r="K156" s="3"/>
      <c r="L156" s="3"/>
      <c r="M156" s="3"/>
      <c r="N156" s="3"/>
      <c r="O156" s="3"/>
      <c r="P156" s="3"/>
      <c r="Q156" s="3"/>
    </row>
    <row r="157" ht="15.75" customHeight="1">
      <c r="A157" s="6"/>
      <c r="B157" s="138" t="str">
        <f t="shared" si="16"/>
        <v/>
      </c>
      <c r="C157" s="139"/>
      <c r="D157" s="139"/>
      <c r="E157" s="139"/>
      <c r="F157" s="17" t="str">
        <f t="shared" si="17"/>
        <v/>
      </c>
      <c r="G157" s="11"/>
      <c r="H157" s="11"/>
      <c r="J157" s="3"/>
      <c r="K157" s="3"/>
      <c r="L157" s="3"/>
      <c r="M157" s="3"/>
      <c r="N157" s="3"/>
      <c r="O157" s="3"/>
      <c r="P157" s="3"/>
      <c r="Q157" s="3"/>
    </row>
    <row r="158" ht="15.75" customHeight="1">
      <c r="A158" s="6"/>
      <c r="B158" s="138" t="str">
        <f t="shared" si="16"/>
        <v/>
      </c>
      <c r="C158" s="139"/>
      <c r="D158" s="139"/>
      <c r="E158" s="139"/>
      <c r="F158" s="17" t="str">
        <f t="shared" si="17"/>
        <v/>
      </c>
      <c r="G158" s="11"/>
      <c r="H158" s="11"/>
      <c r="J158" s="3"/>
      <c r="K158" s="3"/>
      <c r="L158" s="3"/>
      <c r="M158" s="3"/>
      <c r="N158" s="3"/>
      <c r="O158" s="3"/>
      <c r="P158" s="3"/>
      <c r="Q158" s="3"/>
    </row>
    <row r="159" ht="15.75" customHeight="1">
      <c r="A159" s="6"/>
      <c r="B159" s="138" t="str">
        <f t="shared" si="16"/>
        <v/>
      </c>
      <c r="C159" s="139"/>
      <c r="D159" s="139"/>
      <c r="E159" s="139"/>
      <c r="F159" s="17" t="str">
        <f t="shared" si="17"/>
        <v/>
      </c>
      <c r="G159" s="11"/>
      <c r="H159" s="11"/>
      <c r="J159" s="3"/>
      <c r="K159" s="3"/>
      <c r="L159" s="3"/>
      <c r="M159" s="3"/>
      <c r="N159" s="3"/>
      <c r="O159" s="3"/>
      <c r="P159" s="3"/>
      <c r="Q159" s="3"/>
    </row>
    <row r="160" ht="15.75" customHeight="1">
      <c r="A160" s="6"/>
      <c r="B160" s="138" t="str">
        <f t="shared" si="16"/>
        <v/>
      </c>
      <c r="C160" s="139"/>
      <c r="D160" s="139"/>
      <c r="E160" s="139"/>
      <c r="F160" s="17" t="str">
        <f t="shared" si="17"/>
        <v/>
      </c>
      <c r="G160" s="11"/>
      <c r="H160" s="11"/>
      <c r="J160" s="3"/>
      <c r="K160" s="3"/>
      <c r="L160" s="3"/>
      <c r="M160" s="3"/>
      <c r="N160" s="3"/>
      <c r="O160" s="3"/>
      <c r="P160" s="3"/>
      <c r="Q160" s="3"/>
    </row>
    <row r="161" ht="15.75" customHeight="1">
      <c r="A161" s="6"/>
      <c r="B161" s="138" t="str">
        <f t="shared" si="16"/>
        <v/>
      </c>
      <c r="C161" s="139"/>
      <c r="D161" s="139"/>
      <c r="E161" s="139"/>
      <c r="F161" s="17" t="str">
        <f t="shared" si="17"/>
        <v/>
      </c>
      <c r="G161" s="11"/>
      <c r="H161" s="11"/>
      <c r="J161" s="3"/>
      <c r="K161" s="3"/>
      <c r="L161" s="3"/>
      <c r="M161" s="3"/>
      <c r="N161" s="3"/>
      <c r="O161" s="3"/>
      <c r="P161" s="3"/>
      <c r="Q161" s="3"/>
    </row>
    <row r="162" ht="15.75" customHeight="1">
      <c r="A162" s="6"/>
      <c r="B162" s="138" t="str">
        <f t="shared" si="16"/>
        <v/>
      </c>
      <c r="C162" s="139"/>
      <c r="D162" s="139"/>
      <c r="E162" s="139"/>
      <c r="F162" s="17" t="str">
        <f t="shared" si="17"/>
        <v/>
      </c>
      <c r="G162" s="11"/>
      <c r="H162" s="11"/>
      <c r="J162" s="3"/>
      <c r="K162" s="3"/>
      <c r="L162" s="3"/>
      <c r="M162" s="3"/>
      <c r="N162" s="3"/>
      <c r="O162" s="3"/>
      <c r="P162" s="3"/>
      <c r="Q162" s="3"/>
    </row>
    <row r="163" ht="15.75" customHeight="1">
      <c r="A163" s="6"/>
      <c r="B163" s="138" t="str">
        <f t="shared" si="16"/>
        <v/>
      </c>
      <c r="C163" s="139"/>
      <c r="D163" s="139"/>
      <c r="E163" s="139"/>
      <c r="F163" s="17" t="str">
        <f t="shared" si="17"/>
        <v/>
      </c>
      <c r="G163" s="11"/>
      <c r="H163" s="11"/>
      <c r="J163" s="3"/>
      <c r="K163" s="3"/>
      <c r="L163" s="3"/>
      <c r="M163" s="3"/>
      <c r="N163" s="3"/>
      <c r="O163" s="3"/>
      <c r="P163" s="3"/>
      <c r="Q163" s="3"/>
    </row>
    <row r="164" ht="15.75" customHeight="1">
      <c r="A164" s="6"/>
      <c r="B164" s="138" t="str">
        <f t="shared" si="16"/>
        <v/>
      </c>
      <c r="C164" s="139"/>
      <c r="D164" s="139"/>
      <c r="E164" s="139"/>
      <c r="F164" s="17" t="str">
        <f t="shared" si="17"/>
        <v/>
      </c>
      <c r="G164" s="11"/>
      <c r="H164" s="11"/>
      <c r="J164" s="3"/>
      <c r="K164" s="3"/>
      <c r="L164" s="3"/>
      <c r="M164" s="3"/>
      <c r="N164" s="3"/>
      <c r="O164" s="3"/>
      <c r="P164" s="3"/>
      <c r="Q164" s="3"/>
    </row>
    <row r="165" ht="15.75" customHeight="1">
      <c r="A165" s="6"/>
      <c r="B165" s="138" t="str">
        <f t="shared" si="16"/>
        <v/>
      </c>
      <c r="C165" s="139"/>
      <c r="D165" s="139"/>
      <c r="E165" s="139"/>
      <c r="F165" s="17" t="str">
        <f t="shared" si="17"/>
        <v/>
      </c>
      <c r="G165" s="11"/>
      <c r="H165" s="11"/>
      <c r="J165" s="3"/>
      <c r="K165" s="3"/>
      <c r="L165" s="3"/>
      <c r="M165" s="3"/>
      <c r="N165" s="3"/>
      <c r="O165" s="3"/>
      <c r="P165" s="3"/>
      <c r="Q165" s="3"/>
    </row>
    <row r="166" ht="15.75" customHeight="1">
      <c r="A166" s="6"/>
      <c r="B166" s="138" t="str">
        <f t="shared" si="16"/>
        <v/>
      </c>
      <c r="C166" s="139"/>
      <c r="D166" s="139"/>
      <c r="E166" s="139"/>
      <c r="F166" s="17" t="str">
        <f t="shared" si="17"/>
        <v/>
      </c>
      <c r="G166" s="11"/>
      <c r="H166" s="11"/>
      <c r="J166" s="3"/>
      <c r="K166" s="3"/>
      <c r="L166" s="3"/>
      <c r="M166" s="3"/>
      <c r="N166" s="3"/>
      <c r="O166" s="3"/>
      <c r="P166" s="3"/>
      <c r="Q166" s="3"/>
    </row>
    <row r="167" ht="15.75" customHeight="1">
      <c r="A167" s="6"/>
      <c r="B167" s="138" t="str">
        <f t="shared" si="16"/>
        <v/>
      </c>
      <c r="C167" s="139"/>
      <c r="D167" s="139"/>
      <c r="E167" s="139"/>
      <c r="F167" s="17" t="str">
        <f t="shared" si="17"/>
        <v/>
      </c>
      <c r="G167" s="11"/>
      <c r="H167" s="11"/>
      <c r="J167" s="3"/>
      <c r="K167" s="3"/>
      <c r="L167" s="3"/>
      <c r="M167" s="3"/>
      <c r="N167" s="3"/>
      <c r="O167" s="3"/>
      <c r="P167" s="3"/>
      <c r="Q167" s="3"/>
    </row>
    <row r="168" ht="15.75" customHeight="1">
      <c r="A168" s="6"/>
      <c r="B168" s="138" t="str">
        <f t="shared" si="16"/>
        <v/>
      </c>
      <c r="C168" s="139"/>
      <c r="D168" s="139"/>
      <c r="E168" s="139"/>
      <c r="F168" s="17" t="str">
        <f t="shared" si="17"/>
        <v/>
      </c>
      <c r="G168" s="11"/>
      <c r="H168" s="11"/>
      <c r="J168" s="3"/>
      <c r="K168" s="3"/>
      <c r="L168" s="3"/>
      <c r="M168" s="3"/>
      <c r="N168" s="3"/>
      <c r="O168" s="3"/>
      <c r="P168" s="3"/>
      <c r="Q168" s="3"/>
    </row>
    <row r="169" ht="15.75" customHeight="1">
      <c r="A169" s="6"/>
      <c r="B169" s="138" t="str">
        <f t="shared" si="16"/>
        <v/>
      </c>
      <c r="C169" s="139"/>
      <c r="D169" s="139"/>
      <c r="E169" s="139"/>
      <c r="F169" s="17" t="str">
        <f t="shared" si="17"/>
        <v/>
      </c>
      <c r="G169" s="11"/>
      <c r="H169" s="11"/>
      <c r="J169" s="3"/>
      <c r="K169" s="3"/>
      <c r="L169" s="3"/>
      <c r="M169" s="3"/>
      <c r="N169" s="3"/>
      <c r="O169" s="3"/>
      <c r="P169" s="3"/>
      <c r="Q169" s="3"/>
    </row>
    <row r="170" ht="15.75" customHeight="1">
      <c r="A170" s="6"/>
      <c r="B170" s="138" t="str">
        <f t="shared" si="16"/>
        <v/>
      </c>
      <c r="C170" s="139"/>
      <c r="D170" s="139"/>
      <c r="E170" s="139"/>
      <c r="F170" s="17" t="str">
        <f t="shared" si="17"/>
        <v/>
      </c>
      <c r="G170" s="11"/>
      <c r="H170" s="11"/>
      <c r="J170" s="3"/>
      <c r="K170" s="3"/>
      <c r="L170" s="3"/>
      <c r="M170" s="3"/>
      <c r="N170" s="3"/>
      <c r="O170" s="3"/>
      <c r="P170" s="3"/>
      <c r="Q170" s="3"/>
    </row>
    <row r="171" ht="15.75" customHeight="1">
      <c r="A171" s="6"/>
      <c r="B171" s="138" t="str">
        <f t="shared" si="16"/>
        <v/>
      </c>
      <c r="C171" s="139"/>
      <c r="D171" s="139"/>
      <c r="E171" s="139"/>
      <c r="F171" s="17" t="str">
        <f t="shared" si="17"/>
        <v/>
      </c>
      <c r="G171" s="11"/>
      <c r="H171" s="11"/>
      <c r="J171" s="3"/>
      <c r="K171" s="3"/>
      <c r="L171" s="3"/>
      <c r="M171" s="3"/>
      <c r="N171" s="3"/>
      <c r="O171" s="3"/>
      <c r="P171" s="3"/>
      <c r="Q171" s="3"/>
    </row>
    <row r="172" ht="15.75" customHeight="1">
      <c r="A172" s="6"/>
      <c r="B172" s="138" t="str">
        <f t="shared" si="16"/>
        <v/>
      </c>
      <c r="C172" s="139"/>
      <c r="D172" s="139"/>
      <c r="E172" s="139"/>
      <c r="F172" s="17" t="str">
        <f t="shared" si="17"/>
        <v/>
      </c>
      <c r="G172" s="11"/>
      <c r="H172" s="11"/>
      <c r="J172" s="3"/>
      <c r="K172" s="3"/>
      <c r="L172" s="3"/>
      <c r="M172" s="3"/>
      <c r="N172" s="3"/>
      <c r="O172" s="3"/>
      <c r="P172" s="3"/>
      <c r="Q172" s="3"/>
    </row>
    <row r="173" ht="15.75" customHeight="1">
      <c r="A173" s="6"/>
      <c r="B173" s="138" t="str">
        <f t="shared" si="16"/>
        <v/>
      </c>
      <c r="C173" s="139"/>
      <c r="D173" s="139"/>
      <c r="E173" s="139"/>
      <c r="F173" s="17" t="str">
        <f t="shared" si="17"/>
        <v/>
      </c>
      <c r="G173" s="11"/>
      <c r="H173" s="11"/>
      <c r="J173" s="3"/>
      <c r="K173" s="3"/>
      <c r="L173" s="3"/>
      <c r="M173" s="3"/>
      <c r="N173" s="3"/>
      <c r="O173" s="3"/>
      <c r="P173" s="3"/>
      <c r="Q173" s="3"/>
    </row>
    <row r="174" ht="15.75" customHeight="1">
      <c r="A174" s="6"/>
      <c r="B174" s="138" t="str">
        <f t="shared" si="16"/>
        <v/>
      </c>
      <c r="C174" s="139"/>
      <c r="D174" s="139"/>
      <c r="E174" s="139"/>
      <c r="F174" s="17" t="str">
        <f t="shared" si="17"/>
        <v/>
      </c>
      <c r="G174" s="11"/>
      <c r="H174" s="11"/>
      <c r="J174" s="3"/>
      <c r="K174" s="3"/>
      <c r="L174" s="3"/>
      <c r="M174" s="3"/>
      <c r="N174" s="3"/>
      <c r="O174" s="3"/>
      <c r="P174" s="3"/>
      <c r="Q174" s="3"/>
    </row>
    <row r="175" ht="15.75" customHeight="1">
      <c r="A175" s="6"/>
      <c r="B175" s="138" t="str">
        <f t="shared" si="16"/>
        <v/>
      </c>
      <c r="C175" s="139"/>
      <c r="D175" s="139"/>
      <c r="E175" s="139"/>
      <c r="F175" s="17" t="str">
        <f t="shared" si="17"/>
        <v/>
      </c>
      <c r="G175" s="11"/>
      <c r="H175" s="11"/>
      <c r="J175" s="3"/>
      <c r="K175" s="3"/>
      <c r="L175" s="3"/>
      <c r="M175" s="3"/>
      <c r="N175" s="3"/>
      <c r="O175" s="3"/>
      <c r="P175" s="3"/>
      <c r="Q175" s="3"/>
    </row>
    <row r="176" ht="15.75" customHeight="1">
      <c r="A176" s="6"/>
      <c r="B176" s="138" t="str">
        <f t="shared" si="16"/>
        <v/>
      </c>
      <c r="C176" s="139"/>
      <c r="D176" s="139"/>
      <c r="E176" s="139"/>
      <c r="F176" s="17" t="str">
        <f t="shared" si="17"/>
        <v/>
      </c>
      <c r="G176" s="11"/>
      <c r="H176" s="11"/>
      <c r="J176" s="3"/>
      <c r="K176" s="3"/>
      <c r="L176" s="3"/>
      <c r="M176" s="3"/>
      <c r="N176" s="3"/>
      <c r="O176" s="3"/>
      <c r="P176" s="3"/>
      <c r="Q176" s="3"/>
    </row>
    <row r="177" ht="15.75" customHeight="1">
      <c r="A177" s="6"/>
      <c r="B177" s="138" t="str">
        <f t="shared" si="16"/>
        <v/>
      </c>
      <c r="C177" s="139"/>
      <c r="D177" s="139"/>
      <c r="E177" s="139"/>
      <c r="F177" s="17" t="str">
        <f t="shared" si="17"/>
        <v/>
      </c>
      <c r="G177" s="11"/>
      <c r="H177" s="11"/>
      <c r="J177" s="3"/>
      <c r="K177" s="3"/>
      <c r="L177" s="3"/>
      <c r="M177" s="3"/>
      <c r="N177" s="3"/>
      <c r="O177" s="3"/>
      <c r="P177" s="3"/>
      <c r="Q177" s="3"/>
    </row>
    <row r="178" ht="15.75" customHeight="1">
      <c r="A178" s="6"/>
      <c r="B178" s="138" t="str">
        <f t="shared" si="16"/>
        <v/>
      </c>
      <c r="C178" s="139"/>
      <c r="D178" s="139"/>
      <c r="E178" s="139"/>
      <c r="F178" s="17" t="str">
        <f t="shared" si="17"/>
        <v/>
      </c>
      <c r="G178" s="11"/>
      <c r="H178" s="11"/>
      <c r="J178" s="3"/>
      <c r="K178" s="3"/>
      <c r="L178" s="3"/>
      <c r="M178" s="3"/>
      <c r="N178" s="3"/>
      <c r="O178" s="3"/>
      <c r="P178" s="3"/>
      <c r="Q178" s="3"/>
    </row>
    <row r="179" ht="15.75" customHeight="1">
      <c r="A179" s="6"/>
      <c r="B179" s="138" t="str">
        <f t="shared" si="16"/>
        <v/>
      </c>
      <c r="C179" s="139"/>
      <c r="D179" s="139"/>
      <c r="E179" s="139"/>
      <c r="F179" s="17" t="str">
        <f t="shared" si="17"/>
        <v/>
      </c>
      <c r="G179" s="11"/>
      <c r="H179" s="11"/>
      <c r="J179" s="3"/>
      <c r="K179" s="3"/>
      <c r="L179" s="3"/>
      <c r="M179" s="3"/>
      <c r="N179" s="3"/>
      <c r="O179" s="3"/>
      <c r="P179" s="3"/>
      <c r="Q179" s="3"/>
    </row>
    <row r="180" ht="15.75" customHeight="1">
      <c r="A180" s="6"/>
      <c r="B180" s="138" t="str">
        <f t="shared" si="16"/>
        <v/>
      </c>
      <c r="C180" s="139"/>
      <c r="D180" s="139"/>
      <c r="E180" s="139"/>
      <c r="F180" s="17" t="str">
        <f t="shared" si="17"/>
        <v/>
      </c>
      <c r="G180" s="11"/>
      <c r="H180" s="11"/>
      <c r="J180" s="3"/>
      <c r="K180" s="3"/>
      <c r="L180" s="3"/>
      <c r="M180" s="3"/>
      <c r="N180" s="3"/>
      <c r="O180" s="3"/>
      <c r="P180" s="3"/>
      <c r="Q180" s="3"/>
    </row>
    <row r="181" ht="15.75" customHeight="1">
      <c r="A181" s="6"/>
      <c r="B181" s="138" t="str">
        <f t="shared" si="16"/>
        <v/>
      </c>
      <c r="C181" s="139"/>
      <c r="D181" s="139"/>
      <c r="E181" s="139"/>
      <c r="F181" s="17" t="str">
        <f t="shared" si="17"/>
        <v/>
      </c>
      <c r="G181" s="11"/>
      <c r="H181" s="11"/>
      <c r="J181" s="3"/>
      <c r="K181" s="3"/>
      <c r="L181" s="3"/>
      <c r="M181" s="3"/>
      <c r="N181" s="3"/>
      <c r="O181" s="3"/>
      <c r="P181" s="3"/>
      <c r="Q181" s="3"/>
    </row>
    <row r="182" ht="15.75" customHeight="1">
      <c r="A182" s="6"/>
      <c r="B182" s="138" t="str">
        <f t="shared" si="16"/>
        <v/>
      </c>
      <c r="C182" s="139"/>
      <c r="D182" s="139"/>
      <c r="E182" s="139"/>
      <c r="F182" s="17" t="str">
        <f t="shared" si="17"/>
        <v/>
      </c>
      <c r="G182" s="11"/>
      <c r="H182" s="11"/>
      <c r="J182" s="3"/>
      <c r="K182" s="3"/>
      <c r="L182" s="3"/>
      <c r="M182" s="3"/>
      <c r="N182" s="3"/>
      <c r="O182" s="3"/>
      <c r="P182" s="3"/>
      <c r="Q182" s="3"/>
    </row>
    <row r="183" ht="15.75" customHeight="1">
      <c r="A183" s="6"/>
      <c r="B183" s="138" t="str">
        <f t="shared" si="16"/>
        <v/>
      </c>
      <c r="C183" s="139"/>
      <c r="D183" s="139"/>
      <c r="E183" s="139"/>
      <c r="F183" s="17" t="str">
        <f t="shared" si="17"/>
        <v/>
      </c>
      <c r="G183" s="11"/>
      <c r="H183" s="11"/>
      <c r="J183" s="3"/>
      <c r="K183" s="3"/>
      <c r="L183" s="3"/>
      <c r="M183" s="3"/>
      <c r="N183" s="3"/>
      <c r="O183" s="3"/>
      <c r="P183" s="3"/>
      <c r="Q183" s="3"/>
    </row>
    <row r="184" ht="15.75" customHeight="1">
      <c r="A184" s="6"/>
      <c r="B184" s="138" t="str">
        <f t="shared" si="16"/>
        <v/>
      </c>
      <c r="C184" s="139"/>
      <c r="D184" s="139"/>
      <c r="E184" s="139"/>
      <c r="F184" s="17" t="str">
        <f t="shared" si="17"/>
        <v/>
      </c>
      <c r="G184" s="11"/>
      <c r="H184" s="11"/>
      <c r="J184" s="3"/>
      <c r="K184" s="3"/>
      <c r="L184" s="3"/>
      <c r="M184" s="3"/>
      <c r="N184" s="3"/>
      <c r="O184" s="3"/>
      <c r="P184" s="3"/>
      <c r="Q184" s="3"/>
    </row>
    <row r="185" ht="15.75" customHeight="1">
      <c r="A185" s="6"/>
      <c r="B185" s="138" t="str">
        <f t="shared" si="16"/>
        <v/>
      </c>
      <c r="C185" s="139"/>
      <c r="D185" s="139"/>
      <c r="E185" s="139"/>
      <c r="F185" s="17" t="str">
        <f t="shared" si="17"/>
        <v/>
      </c>
      <c r="G185" s="11"/>
      <c r="H185" s="11"/>
      <c r="J185" s="3"/>
      <c r="K185" s="3"/>
      <c r="L185" s="3"/>
      <c r="M185" s="3"/>
      <c r="N185" s="3"/>
      <c r="O185" s="3"/>
      <c r="P185" s="3"/>
      <c r="Q185" s="3"/>
    </row>
    <row r="186" ht="15.75" customHeight="1">
      <c r="A186" s="6"/>
      <c r="B186" s="138" t="str">
        <f t="shared" si="16"/>
        <v/>
      </c>
      <c r="C186" s="139"/>
      <c r="D186" s="139"/>
      <c r="E186" s="139"/>
      <c r="F186" s="17" t="str">
        <f t="shared" si="17"/>
        <v/>
      </c>
      <c r="G186" s="11"/>
      <c r="H186" s="11"/>
      <c r="J186" s="3"/>
      <c r="K186" s="3"/>
      <c r="L186" s="3"/>
      <c r="M186" s="3"/>
      <c r="N186" s="3"/>
      <c r="O186" s="3"/>
      <c r="P186" s="3"/>
      <c r="Q186" s="3"/>
    </row>
    <row r="187" ht="15.75" customHeight="1">
      <c r="A187" s="6"/>
      <c r="B187" s="138" t="str">
        <f t="shared" si="16"/>
        <v/>
      </c>
      <c r="C187" s="139"/>
      <c r="D187" s="139"/>
      <c r="E187" s="139"/>
      <c r="F187" s="17" t="str">
        <f t="shared" si="17"/>
        <v/>
      </c>
      <c r="G187" s="11"/>
      <c r="H187" s="11"/>
      <c r="J187" s="3"/>
      <c r="K187" s="3"/>
      <c r="L187" s="3"/>
      <c r="M187" s="3"/>
      <c r="N187" s="3"/>
      <c r="O187" s="3"/>
      <c r="P187" s="3"/>
      <c r="Q187" s="3"/>
    </row>
    <row r="188" ht="15.75" customHeight="1">
      <c r="A188" s="6"/>
      <c r="B188" s="138" t="str">
        <f t="shared" si="16"/>
        <v/>
      </c>
      <c r="C188" s="139"/>
      <c r="D188" s="139"/>
      <c r="E188" s="139"/>
      <c r="F188" s="17" t="str">
        <f t="shared" si="17"/>
        <v/>
      </c>
      <c r="G188" s="11"/>
      <c r="H188" s="11"/>
      <c r="J188" s="3"/>
      <c r="K188" s="3"/>
      <c r="L188" s="3"/>
      <c r="M188" s="3"/>
      <c r="N188" s="3"/>
      <c r="O188" s="3"/>
      <c r="P188" s="3"/>
      <c r="Q188" s="3"/>
    </row>
    <row r="189" ht="15.75" customHeight="1">
      <c r="A189" s="6"/>
      <c r="B189" s="138" t="str">
        <f t="shared" si="16"/>
        <v/>
      </c>
      <c r="C189" s="139"/>
      <c r="D189" s="139"/>
      <c r="E189" s="139"/>
      <c r="F189" s="17" t="str">
        <f t="shared" si="17"/>
        <v/>
      </c>
      <c r="G189" s="11"/>
      <c r="H189" s="11"/>
      <c r="J189" s="3"/>
      <c r="K189" s="3"/>
      <c r="L189" s="3"/>
      <c r="M189" s="3"/>
      <c r="N189" s="3"/>
      <c r="O189" s="3"/>
      <c r="P189" s="3"/>
      <c r="Q189" s="3"/>
    </row>
    <row r="190" ht="15.75" customHeight="1">
      <c r="A190" s="6"/>
      <c r="B190" s="138" t="str">
        <f t="shared" si="16"/>
        <v/>
      </c>
      <c r="C190" s="139"/>
      <c r="D190" s="139"/>
      <c r="E190" s="139"/>
      <c r="F190" s="17" t="str">
        <f t="shared" si="17"/>
        <v/>
      </c>
      <c r="G190" s="11"/>
      <c r="H190" s="11"/>
      <c r="J190" s="3"/>
      <c r="K190" s="3"/>
      <c r="L190" s="3"/>
      <c r="M190" s="3"/>
      <c r="N190" s="3"/>
      <c r="O190" s="3"/>
      <c r="P190" s="3"/>
      <c r="Q190" s="3"/>
    </row>
    <row r="191" ht="15.75" customHeight="1">
      <c r="A191" s="6"/>
      <c r="B191" s="138" t="str">
        <f t="shared" si="16"/>
        <v/>
      </c>
      <c r="C191" s="139"/>
      <c r="D191" s="139"/>
      <c r="E191" s="139"/>
      <c r="F191" s="17" t="str">
        <f t="shared" si="17"/>
        <v/>
      </c>
      <c r="G191" s="11"/>
      <c r="H191" s="11"/>
      <c r="J191" s="3"/>
      <c r="K191" s="3"/>
      <c r="L191" s="3"/>
      <c r="M191" s="3"/>
      <c r="N191" s="3"/>
      <c r="O191" s="3"/>
      <c r="P191" s="3"/>
      <c r="Q191" s="3"/>
    </row>
    <row r="192" ht="15.75" customHeight="1">
      <c r="A192" s="6"/>
      <c r="B192" s="138" t="str">
        <f t="shared" si="16"/>
        <v/>
      </c>
      <c r="C192" s="139"/>
      <c r="D192" s="139"/>
      <c r="E192" s="139"/>
      <c r="F192" s="17" t="str">
        <f t="shared" si="17"/>
        <v/>
      </c>
      <c r="G192" s="11"/>
      <c r="H192" s="11"/>
      <c r="J192" s="3"/>
      <c r="K192" s="3"/>
      <c r="L192" s="3"/>
      <c r="M192" s="3"/>
      <c r="N192" s="3"/>
      <c r="O192" s="3"/>
      <c r="P192" s="3"/>
      <c r="Q192" s="3"/>
    </row>
    <row r="193" ht="15.75" customHeight="1">
      <c r="A193" s="6"/>
      <c r="B193" s="138" t="str">
        <f t="shared" si="16"/>
        <v/>
      </c>
      <c r="C193" s="139"/>
      <c r="D193" s="139"/>
      <c r="E193" s="139"/>
      <c r="F193" s="17" t="str">
        <f t="shared" si="17"/>
        <v/>
      </c>
      <c r="G193" s="11"/>
      <c r="H193" s="11"/>
      <c r="J193" s="3"/>
      <c r="K193" s="3"/>
      <c r="L193" s="3"/>
      <c r="M193" s="3"/>
      <c r="N193" s="3"/>
      <c r="O193" s="3"/>
      <c r="P193" s="3"/>
      <c r="Q193" s="3"/>
    </row>
    <row r="194" ht="15.75" customHeight="1">
      <c r="A194" s="6"/>
      <c r="B194" s="138" t="str">
        <f t="shared" si="16"/>
        <v/>
      </c>
      <c r="C194" s="139"/>
      <c r="D194" s="139"/>
      <c r="E194" s="139"/>
      <c r="F194" s="17" t="str">
        <f t="shared" si="17"/>
        <v/>
      </c>
      <c r="G194" s="11"/>
      <c r="H194" s="11"/>
      <c r="J194" s="3"/>
      <c r="K194" s="3"/>
      <c r="L194" s="3"/>
      <c r="M194" s="3"/>
      <c r="N194" s="3"/>
      <c r="O194" s="3"/>
      <c r="P194" s="3"/>
      <c r="Q194" s="3"/>
    </row>
    <row r="195" ht="15.75" customHeight="1">
      <c r="A195" s="6"/>
      <c r="B195" s="138" t="str">
        <f t="shared" si="16"/>
        <v/>
      </c>
      <c r="C195" s="139"/>
      <c r="D195" s="139"/>
      <c r="E195" s="139"/>
      <c r="F195" s="17" t="str">
        <f t="shared" si="17"/>
        <v/>
      </c>
      <c r="G195" s="11"/>
      <c r="H195" s="11"/>
      <c r="J195" s="3"/>
      <c r="K195" s="3"/>
      <c r="L195" s="3"/>
      <c r="M195" s="3"/>
      <c r="N195" s="3"/>
      <c r="O195" s="3"/>
      <c r="P195" s="3"/>
      <c r="Q195" s="3"/>
    </row>
    <row r="196" ht="15.75" customHeight="1">
      <c r="A196" s="6"/>
      <c r="B196" s="138" t="str">
        <f t="shared" si="16"/>
        <v/>
      </c>
      <c r="C196" s="139"/>
      <c r="D196" s="139"/>
      <c r="E196" s="139"/>
      <c r="F196" s="17" t="str">
        <f t="shared" si="17"/>
        <v/>
      </c>
      <c r="G196" s="11"/>
      <c r="H196" s="11"/>
      <c r="J196" s="3"/>
      <c r="K196" s="3"/>
      <c r="L196" s="3"/>
      <c r="M196" s="3"/>
      <c r="N196" s="3"/>
      <c r="O196" s="3"/>
      <c r="P196" s="3"/>
      <c r="Q196" s="3"/>
    </row>
    <row r="197" ht="15.75" customHeight="1">
      <c r="A197" s="6"/>
      <c r="B197" s="138" t="str">
        <f t="shared" si="16"/>
        <v/>
      </c>
      <c r="C197" s="139"/>
      <c r="D197" s="139"/>
      <c r="E197" s="139"/>
      <c r="F197" s="17" t="str">
        <f t="shared" si="17"/>
        <v/>
      </c>
      <c r="G197" s="11"/>
      <c r="H197" s="11"/>
      <c r="J197" s="3"/>
      <c r="K197" s="3"/>
      <c r="L197" s="3"/>
      <c r="M197" s="3"/>
      <c r="N197" s="3"/>
      <c r="O197" s="3"/>
      <c r="P197" s="3"/>
      <c r="Q197" s="3"/>
    </row>
    <row r="198" ht="15.75" customHeight="1">
      <c r="A198" s="6"/>
      <c r="B198" s="138" t="str">
        <f t="shared" si="16"/>
        <v/>
      </c>
      <c r="C198" s="139"/>
      <c r="D198" s="139"/>
      <c r="E198" s="139"/>
      <c r="F198" s="17" t="str">
        <f t="shared" si="17"/>
        <v/>
      </c>
      <c r="G198" s="11"/>
      <c r="H198" s="11"/>
      <c r="J198" s="3"/>
      <c r="K198" s="3"/>
      <c r="L198" s="3"/>
      <c r="M198" s="3"/>
      <c r="N198" s="3"/>
      <c r="O198" s="3"/>
      <c r="P198" s="3"/>
      <c r="Q198" s="3"/>
    </row>
    <row r="199" ht="15.75" customHeight="1">
      <c r="A199" s="6"/>
      <c r="B199" s="138" t="str">
        <f t="shared" si="16"/>
        <v/>
      </c>
      <c r="C199" s="139"/>
      <c r="D199" s="139"/>
      <c r="E199" s="139"/>
      <c r="F199" s="17" t="str">
        <f t="shared" si="17"/>
        <v/>
      </c>
      <c r="G199" s="11"/>
      <c r="H199" s="11"/>
      <c r="J199" s="3"/>
      <c r="K199" s="3"/>
      <c r="L199" s="3"/>
      <c r="M199" s="3"/>
      <c r="N199" s="3"/>
      <c r="O199" s="3"/>
      <c r="P199" s="3"/>
      <c r="Q199" s="3"/>
    </row>
    <row r="200" ht="15.75" customHeight="1">
      <c r="A200" s="6"/>
      <c r="B200" s="138" t="str">
        <f t="shared" si="16"/>
        <v/>
      </c>
      <c r="C200" s="139"/>
      <c r="D200" s="139"/>
      <c r="E200" s="139"/>
      <c r="F200" s="17" t="str">
        <f t="shared" si="17"/>
        <v/>
      </c>
      <c r="G200" s="11"/>
      <c r="H200" s="11"/>
      <c r="J200" s="3"/>
      <c r="K200" s="3"/>
      <c r="L200" s="3"/>
      <c r="M200" s="3"/>
      <c r="N200" s="3"/>
      <c r="O200" s="3"/>
      <c r="P200" s="3"/>
      <c r="Q200" s="3"/>
    </row>
    <row r="201" ht="15.75" customHeight="1">
      <c r="A201" s="6"/>
      <c r="B201" s="138" t="str">
        <f t="shared" si="16"/>
        <v/>
      </c>
      <c r="C201" s="139"/>
      <c r="D201" s="139"/>
      <c r="E201" s="139"/>
      <c r="F201" s="17" t="str">
        <f t="shared" si="17"/>
        <v/>
      </c>
      <c r="G201" s="11"/>
      <c r="H201" s="11"/>
      <c r="J201" s="3"/>
      <c r="K201" s="3"/>
      <c r="L201" s="3"/>
      <c r="M201" s="3"/>
      <c r="N201" s="3"/>
      <c r="O201" s="3"/>
      <c r="P201" s="3"/>
      <c r="Q201" s="3"/>
    </row>
    <row r="202" ht="15.75" customHeight="1">
      <c r="A202" s="6"/>
      <c r="B202" s="138" t="str">
        <f t="shared" si="16"/>
        <v/>
      </c>
      <c r="C202" s="139"/>
      <c r="D202" s="139"/>
      <c r="E202" s="139"/>
      <c r="F202" s="17" t="str">
        <f t="shared" si="17"/>
        <v/>
      </c>
      <c r="G202" s="11"/>
      <c r="H202" s="11"/>
      <c r="J202" s="3"/>
      <c r="K202" s="3"/>
      <c r="L202" s="3"/>
      <c r="M202" s="3"/>
      <c r="N202" s="3"/>
      <c r="O202" s="3"/>
      <c r="P202" s="3"/>
      <c r="Q202" s="3"/>
    </row>
    <row r="203" ht="15.75" customHeight="1">
      <c r="A203" s="6"/>
      <c r="B203" s="138" t="str">
        <f t="shared" si="16"/>
        <v/>
      </c>
      <c r="C203" s="139"/>
      <c r="D203" s="139"/>
      <c r="E203" s="139"/>
      <c r="F203" s="17" t="str">
        <f t="shared" si="17"/>
        <v/>
      </c>
      <c r="G203" s="11"/>
      <c r="H203" s="11"/>
      <c r="J203" s="3"/>
      <c r="K203" s="3"/>
      <c r="L203" s="3"/>
      <c r="M203" s="3"/>
      <c r="N203" s="3"/>
      <c r="O203" s="3"/>
      <c r="P203" s="3"/>
      <c r="Q203" s="3"/>
    </row>
    <row r="204" ht="15.75" customHeight="1">
      <c r="A204" s="6"/>
      <c r="B204" s="138" t="str">
        <f t="shared" si="16"/>
        <v/>
      </c>
      <c r="C204" s="139"/>
      <c r="D204" s="139"/>
      <c r="E204" s="139"/>
      <c r="F204" s="17" t="str">
        <f t="shared" si="17"/>
        <v/>
      </c>
      <c r="G204" s="11"/>
      <c r="H204" s="11"/>
      <c r="J204" s="3"/>
      <c r="K204" s="3"/>
      <c r="L204" s="3"/>
      <c r="M204" s="3"/>
      <c r="N204" s="3"/>
      <c r="O204" s="3"/>
      <c r="P204" s="3"/>
      <c r="Q204" s="3"/>
    </row>
    <row r="205" ht="15.75" customHeight="1">
      <c r="A205" s="6"/>
      <c r="B205" s="138" t="str">
        <f t="shared" si="16"/>
        <v/>
      </c>
      <c r="C205" s="139"/>
      <c r="D205" s="139"/>
      <c r="E205" s="139"/>
      <c r="F205" s="17" t="str">
        <f t="shared" si="17"/>
        <v/>
      </c>
      <c r="G205" s="11"/>
      <c r="H205" s="11"/>
      <c r="J205" s="3"/>
      <c r="K205" s="3"/>
      <c r="L205" s="3"/>
      <c r="M205" s="3"/>
      <c r="N205" s="3"/>
      <c r="O205" s="3"/>
      <c r="P205" s="3"/>
      <c r="Q205" s="3"/>
    </row>
    <row r="206" ht="15.75" customHeight="1">
      <c r="A206" s="6"/>
      <c r="B206" s="138" t="str">
        <f t="shared" si="16"/>
        <v/>
      </c>
      <c r="C206" s="139"/>
      <c r="D206" s="139"/>
      <c r="E206" s="139"/>
      <c r="F206" s="17" t="str">
        <f t="shared" si="17"/>
        <v/>
      </c>
      <c r="G206" s="11"/>
      <c r="H206" s="11"/>
      <c r="J206" s="3"/>
      <c r="K206" s="3"/>
      <c r="L206" s="3"/>
      <c r="M206" s="3"/>
      <c r="N206" s="3"/>
      <c r="O206" s="3"/>
      <c r="P206" s="3"/>
      <c r="Q206" s="3"/>
    </row>
    <row r="207" ht="15.75" customHeight="1">
      <c r="A207" s="6"/>
      <c r="B207" s="138" t="str">
        <f t="shared" si="16"/>
        <v/>
      </c>
      <c r="C207" s="139"/>
      <c r="D207" s="139"/>
      <c r="E207" s="139"/>
      <c r="F207" s="17" t="str">
        <f t="shared" si="17"/>
        <v/>
      </c>
      <c r="G207" s="11"/>
      <c r="H207" s="11"/>
      <c r="J207" s="3"/>
      <c r="K207" s="3"/>
      <c r="L207" s="3"/>
      <c r="M207" s="3"/>
      <c r="N207" s="3"/>
      <c r="O207" s="3"/>
      <c r="P207" s="3"/>
      <c r="Q207" s="3"/>
    </row>
    <row r="208" ht="15.75" customHeight="1">
      <c r="A208" s="6"/>
      <c r="B208" s="138" t="str">
        <f t="shared" si="16"/>
        <v/>
      </c>
      <c r="C208" s="139"/>
      <c r="D208" s="139"/>
      <c r="E208" s="139"/>
      <c r="F208" s="17" t="str">
        <f t="shared" si="17"/>
        <v/>
      </c>
      <c r="G208" s="11"/>
      <c r="H208" s="11"/>
      <c r="J208" s="3"/>
      <c r="K208" s="3"/>
      <c r="L208" s="3"/>
      <c r="M208" s="3"/>
      <c r="N208" s="3"/>
      <c r="O208" s="3"/>
      <c r="P208" s="3"/>
      <c r="Q208" s="3"/>
    </row>
    <row r="209" ht="15.75" customHeight="1">
      <c r="A209" s="6"/>
      <c r="B209" s="138" t="str">
        <f t="shared" si="16"/>
        <v/>
      </c>
      <c r="C209" s="139"/>
      <c r="D209" s="139"/>
      <c r="E209" s="139"/>
      <c r="F209" s="17" t="str">
        <f t="shared" si="17"/>
        <v/>
      </c>
      <c r="G209" s="11"/>
      <c r="H209" s="11"/>
      <c r="J209" s="3"/>
      <c r="K209" s="3"/>
      <c r="L209" s="3"/>
      <c r="M209" s="3"/>
      <c r="N209" s="3"/>
      <c r="O209" s="3"/>
      <c r="P209" s="3"/>
      <c r="Q209" s="3"/>
    </row>
    <row r="210" ht="15.75" customHeight="1">
      <c r="A210" s="6"/>
      <c r="B210" s="138" t="str">
        <f t="shared" si="16"/>
        <v/>
      </c>
      <c r="C210" s="139"/>
      <c r="D210" s="139"/>
      <c r="E210" s="139"/>
      <c r="F210" s="17" t="str">
        <f t="shared" si="17"/>
        <v/>
      </c>
      <c r="G210" s="11"/>
      <c r="H210" s="11"/>
      <c r="J210" s="3"/>
      <c r="K210" s="3"/>
      <c r="L210" s="3"/>
      <c r="M210" s="3"/>
      <c r="N210" s="3"/>
      <c r="O210" s="3"/>
      <c r="P210" s="3"/>
      <c r="Q210" s="3"/>
    </row>
    <row r="211" ht="15.75" customHeight="1">
      <c r="A211" s="6"/>
      <c r="B211" s="138" t="str">
        <f t="shared" si="16"/>
        <v/>
      </c>
      <c r="C211" s="139"/>
      <c r="D211" s="139"/>
      <c r="E211" s="139"/>
      <c r="F211" s="17" t="str">
        <f t="shared" si="17"/>
        <v/>
      </c>
      <c r="G211" s="11"/>
      <c r="H211" s="11"/>
      <c r="J211" s="3"/>
      <c r="K211" s="3"/>
      <c r="L211" s="3"/>
      <c r="M211" s="3"/>
      <c r="N211" s="3"/>
      <c r="O211" s="3"/>
      <c r="P211" s="3"/>
      <c r="Q211" s="3"/>
    </row>
    <row r="212" ht="15.75" customHeight="1">
      <c r="A212" s="6"/>
      <c r="B212" s="138" t="str">
        <f t="shared" si="16"/>
        <v/>
      </c>
      <c r="C212" s="139"/>
      <c r="D212" s="139"/>
      <c r="E212" s="139"/>
      <c r="F212" s="17" t="str">
        <f t="shared" si="17"/>
        <v/>
      </c>
      <c r="G212" s="11"/>
      <c r="H212" s="11"/>
      <c r="J212" s="3"/>
      <c r="K212" s="3"/>
      <c r="L212" s="3"/>
      <c r="M212" s="3"/>
      <c r="N212" s="3"/>
      <c r="O212" s="3"/>
      <c r="P212" s="3"/>
      <c r="Q212" s="3"/>
    </row>
    <row r="213" ht="15.75" customHeight="1">
      <c r="A213" s="6"/>
      <c r="B213" s="138" t="str">
        <f t="shared" si="16"/>
        <v/>
      </c>
      <c r="C213" s="139"/>
      <c r="D213" s="139"/>
      <c r="E213" s="139"/>
      <c r="F213" s="17" t="str">
        <f t="shared" si="17"/>
        <v/>
      </c>
      <c r="G213" s="11"/>
      <c r="H213" s="11"/>
      <c r="J213" s="3"/>
      <c r="K213" s="3"/>
      <c r="L213" s="3"/>
      <c r="M213" s="3"/>
      <c r="N213" s="3"/>
      <c r="O213" s="3"/>
      <c r="P213" s="3"/>
      <c r="Q213" s="3"/>
    </row>
    <row r="214" ht="15.75" customHeight="1">
      <c r="A214" s="6"/>
      <c r="B214" s="138" t="str">
        <f t="shared" si="16"/>
        <v/>
      </c>
      <c r="C214" s="139"/>
      <c r="D214" s="139"/>
      <c r="E214" s="139"/>
      <c r="F214" s="17" t="str">
        <f t="shared" si="17"/>
        <v/>
      </c>
      <c r="G214" s="11"/>
      <c r="H214" s="11"/>
      <c r="J214" s="3"/>
      <c r="K214" s="3"/>
      <c r="L214" s="3"/>
      <c r="M214" s="3"/>
      <c r="N214" s="3"/>
      <c r="O214" s="3"/>
      <c r="P214" s="3"/>
      <c r="Q214" s="3"/>
    </row>
    <row r="215" ht="15.75" customHeight="1">
      <c r="A215" s="6"/>
      <c r="B215" s="138" t="str">
        <f t="shared" si="16"/>
        <v/>
      </c>
      <c r="C215" s="139"/>
      <c r="D215" s="139"/>
      <c r="E215" s="139"/>
      <c r="F215" s="17" t="str">
        <f t="shared" si="17"/>
        <v/>
      </c>
      <c r="G215" s="11"/>
      <c r="H215" s="11"/>
      <c r="J215" s="3"/>
      <c r="K215" s="3"/>
      <c r="L215" s="3"/>
      <c r="M215" s="3"/>
      <c r="N215" s="3"/>
      <c r="O215" s="3"/>
      <c r="P215" s="3"/>
      <c r="Q215" s="3"/>
    </row>
    <row r="216" ht="15.75" customHeight="1">
      <c r="A216" s="6"/>
      <c r="B216" s="138" t="str">
        <f t="shared" si="16"/>
        <v/>
      </c>
      <c r="C216" s="139"/>
      <c r="D216" s="139"/>
      <c r="E216" s="139"/>
      <c r="F216" s="17" t="str">
        <f t="shared" si="17"/>
        <v/>
      </c>
      <c r="G216" s="11"/>
      <c r="H216" s="11"/>
      <c r="J216" s="3"/>
      <c r="K216" s="3"/>
      <c r="L216" s="3"/>
      <c r="M216" s="3"/>
      <c r="N216" s="3"/>
      <c r="O216" s="3"/>
      <c r="P216" s="3"/>
      <c r="Q216" s="3"/>
    </row>
    <row r="217" ht="15.75" customHeight="1">
      <c r="A217" s="6"/>
      <c r="B217" s="138" t="str">
        <f t="shared" si="16"/>
        <v/>
      </c>
      <c r="C217" s="139"/>
      <c r="D217" s="139"/>
      <c r="E217" s="139"/>
      <c r="F217" s="17" t="str">
        <f t="shared" si="17"/>
        <v/>
      </c>
      <c r="G217" s="11"/>
      <c r="H217" s="11"/>
      <c r="J217" s="3"/>
      <c r="K217" s="3"/>
      <c r="L217" s="3"/>
      <c r="M217" s="3"/>
      <c r="N217" s="3"/>
      <c r="O217" s="3"/>
      <c r="P217" s="3"/>
      <c r="Q217" s="3"/>
    </row>
    <row r="218" ht="15.75" customHeight="1">
      <c r="A218" s="6"/>
      <c r="B218" s="138" t="str">
        <f t="shared" si="16"/>
        <v/>
      </c>
      <c r="C218" s="139"/>
      <c r="D218" s="139"/>
      <c r="E218" s="139"/>
      <c r="F218" s="17" t="str">
        <f t="shared" si="17"/>
        <v/>
      </c>
      <c r="G218" s="11"/>
      <c r="H218" s="11"/>
      <c r="J218" s="3"/>
      <c r="K218" s="3"/>
      <c r="L218" s="3"/>
      <c r="M218" s="3"/>
      <c r="N218" s="3"/>
      <c r="O218" s="3"/>
      <c r="P218" s="3"/>
      <c r="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J219" s="3"/>
      <c r="K219" s="3"/>
      <c r="L219" s="3"/>
      <c r="M219" s="3"/>
      <c r="N219" s="3"/>
      <c r="O219" s="3"/>
      <c r="P219" s="3"/>
      <c r="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J220" s="3"/>
      <c r="K220" s="3"/>
      <c r="L220" s="3"/>
      <c r="M220" s="3"/>
      <c r="N220" s="3"/>
      <c r="O220" s="3"/>
      <c r="P220" s="3"/>
      <c r="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J221" s="3"/>
      <c r="K221" s="3"/>
      <c r="L221" s="3"/>
      <c r="M221" s="3"/>
      <c r="N221" s="3"/>
      <c r="O221" s="3"/>
      <c r="P221" s="3"/>
      <c r="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J222" s="3"/>
      <c r="K222" s="3"/>
      <c r="L222" s="3"/>
      <c r="M222" s="3"/>
      <c r="N222" s="3"/>
      <c r="O222" s="3"/>
      <c r="P222" s="3"/>
      <c r="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J223" s="3"/>
      <c r="K223" s="3"/>
      <c r="L223" s="3"/>
      <c r="M223" s="3"/>
      <c r="N223" s="3"/>
      <c r="O223" s="3"/>
      <c r="P223" s="3"/>
      <c r="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J224" s="3"/>
      <c r="K224" s="3"/>
      <c r="L224" s="3"/>
      <c r="M224" s="3"/>
      <c r="N224" s="3"/>
      <c r="O224" s="3"/>
      <c r="P224" s="3"/>
      <c r="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J225" s="3"/>
      <c r="K225" s="3"/>
      <c r="L225" s="3"/>
      <c r="M225" s="3"/>
      <c r="N225" s="3"/>
      <c r="O225" s="3"/>
      <c r="P225" s="3"/>
      <c r="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J226" s="3"/>
      <c r="K226" s="3"/>
      <c r="L226" s="3"/>
      <c r="M226" s="3"/>
      <c r="N226" s="3"/>
      <c r="O226" s="3"/>
      <c r="P226" s="3"/>
      <c r="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J228" s="3"/>
      <c r="K228" s="3"/>
      <c r="L228" s="3"/>
      <c r="M228" s="3"/>
      <c r="N228" s="3"/>
      <c r="O228" s="3"/>
      <c r="P228" s="3"/>
      <c r="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J229" s="3"/>
      <c r="K229" s="3"/>
      <c r="L229" s="3"/>
      <c r="M229" s="3"/>
      <c r="N229" s="3"/>
      <c r="O229" s="3"/>
      <c r="P229" s="3"/>
      <c r="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J230" s="3"/>
      <c r="K230" s="3"/>
      <c r="L230" s="3"/>
      <c r="M230" s="3"/>
      <c r="N230" s="3"/>
      <c r="O230" s="3"/>
      <c r="P230" s="3"/>
      <c r="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J232" s="3"/>
      <c r="K232" s="3"/>
      <c r="L232" s="3"/>
      <c r="M232" s="3"/>
      <c r="N232" s="3"/>
      <c r="O232" s="3"/>
      <c r="P232" s="3"/>
      <c r="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J233" s="3"/>
      <c r="K233" s="3"/>
      <c r="L233" s="3"/>
      <c r="M233" s="3"/>
      <c r="N233" s="3"/>
      <c r="O233" s="3"/>
      <c r="P233" s="3"/>
      <c r="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J234" s="3"/>
      <c r="K234" s="3"/>
      <c r="L234" s="3"/>
      <c r="M234" s="3"/>
      <c r="N234" s="3"/>
      <c r="O234" s="3"/>
      <c r="P234" s="3"/>
      <c r="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J235" s="3"/>
      <c r="K235" s="3"/>
      <c r="L235" s="3"/>
      <c r="M235" s="3"/>
      <c r="N235" s="3"/>
      <c r="O235" s="3"/>
      <c r="P235" s="3"/>
      <c r="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J236" s="3"/>
      <c r="K236" s="3"/>
      <c r="L236" s="3"/>
      <c r="M236" s="3"/>
      <c r="N236" s="3"/>
      <c r="O236" s="3"/>
      <c r="P236" s="3"/>
      <c r="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J237" s="3"/>
      <c r="K237" s="3"/>
      <c r="L237" s="3"/>
      <c r="M237" s="3"/>
      <c r="N237" s="3"/>
      <c r="O237" s="3"/>
      <c r="P237" s="3"/>
      <c r="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J238" s="3"/>
      <c r="K238" s="3"/>
      <c r="L238" s="3"/>
      <c r="M238" s="3"/>
      <c r="N238" s="3"/>
      <c r="O238" s="3"/>
      <c r="P238" s="3"/>
      <c r="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J239" s="3"/>
      <c r="K239" s="3"/>
      <c r="L239" s="3"/>
      <c r="M239" s="3"/>
      <c r="N239" s="3"/>
      <c r="O239" s="3"/>
      <c r="P239" s="3"/>
      <c r="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J240" s="3"/>
      <c r="K240" s="3"/>
      <c r="L240" s="3"/>
      <c r="M240" s="3"/>
      <c r="N240" s="3"/>
      <c r="O240" s="3"/>
      <c r="P240" s="3"/>
      <c r="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J241" s="3"/>
      <c r="K241" s="3"/>
      <c r="L241" s="3"/>
      <c r="M241" s="3"/>
      <c r="N241" s="3"/>
      <c r="O241" s="3"/>
      <c r="P241" s="3"/>
      <c r="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J242" s="3"/>
      <c r="K242" s="3"/>
      <c r="L242" s="3"/>
      <c r="M242" s="3"/>
      <c r="N242" s="3"/>
      <c r="O242" s="3"/>
      <c r="P242" s="3"/>
      <c r="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J243" s="3"/>
      <c r="K243" s="3"/>
      <c r="L243" s="3"/>
      <c r="M243" s="3"/>
      <c r="N243" s="3"/>
      <c r="O243" s="3"/>
      <c r="P243" s="3"/>
      <c r="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J244" s="3"/>
      <c r="K244" s="3"/>
      <c r="L244" s="3"/>
      <c r="M244" s="3"/>
      <c r="N244" s="3"/>
      <c r="O244" s="3"/>
      <c r="P244" s="3"/>
      <c r="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J245" s="3"/>
      <c r="K245" s="3"/>
      <c r="L245" s="3"/>
      <c r="M245" s="3"/>
      <c r="N245" s="3"/>
      <c r="O245" s="3"/>
      <c r="P245" s="3"/>
      <c r="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J246" s="3"/>
      <c r="K246" s="3"/>
      <c r="L246" s="3"/>
      <c r="M246" s="3"/>
      <c r="N246" s="3"/>
      <c r="O246" s="3"/>
      <c r="P246" s="3"/>
      <c r="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J247" s="3"/>
      <c r="K247" s="3"/>
      <c r="L247" s="3"/>
      <c r="M247" s="3"/>
      <c r="N247" s="3"/>
      <c r="O247" s="3"/>
      <c r="P247" s="3"/>
      <c r="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J248" s="3"/>
      <c r="K248" s="3"/>
      <c r="L248" s="3"/>
      <c r="M248" s="3"/>
      <c r="N248" s="3"/>
      <c r="O248" s="3"/>
      <c r="P248" s="3"/>
      <c r="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J249" s="3"/>
      <c r="K249" s="3"/>
      <c r="L249" s="3"/>
      <c r="M249" s="3"/>
      <c r="N249" s="3"/>
      <c r="O249" s="3"/>
      <c r="P249" s="3"/>
      <c r="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J250" s="3"/>
      <c r="K250" s="3"/>
      <c r="L250" s="3"/>
      <c r="M250" s="3"/>
      <c r="N250" s="3"/>
      <c r="O250" s="3"/>
      <c r="P250" s="3"/>
      <c r="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J251" s="3"/>
      <c r="K251" s="3"/>
      <c r="L251" s="3"/>
      <c r="M251" s="3"/>
      <c r="N251" s="3"/>
      <c r="O251" s="3"/>
      <c r="P251" s="3"/>
      <c r="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J252" s="3"/>
      <c r="K252" s="3"/>
      <c r="L252" s="3"/>
      <c r="M252" s="3"/>
      <c r="N252" s="3"/>
      <c r="O252" s="3"/>
      <c r="P252" s="3"/>
      <c r="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J253" s="3"/>
      <c r="K253" s="3"/>
      <c r="L253" s="3"/>
      <c r="M253" s="3"/>
      <c r="N253" s="3"/>
      <c r="O253" s="3"/>
      <c r="P253" s="3"/>
      <c r="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J254" s="3"/>
      <c r="K254" s="3"/>
      <c r="L254" s="3"/>
      <c r="M254" s="3"/>
      <c r="N254" s="3"/>
      <c r="O254" s="3"/>
      <c r="P254" s="3"/>
      <c r="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J255" s="3"/>
      <c r="K255" s="3"/>
      <c r="L255" s="3"/>
      <c r="M255" s="3"/>
      <c r="N255" s="3"/>
      <c r="O255" s="3"/>
      <c r="P255" s="3"/>
      <c r="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J256" s="3"/>
      <c r="K256" s="3"/>
      <c r="L256" s="3"/>
      <c r="M256" s="3"/>
      <c r="N256" s="3"/>
      <c r="O256" s="3"/>
      <c r="P256" s="3"/>
      <c r="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J257" s="3"/>
      <c r="K257" s="3"/>
      <c r="L257" s="3"/>
      <c r="M257" s="3"/>
      <c r="N257" s="3"/>
      <c r="O257" s="3"/>
      <c r="P257" s="3"/>
      <c r="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J258" s="3"/>
      <c r="K258" s="3"/>
      <c r="L258" s="3"/>
      <c r="M258" s="3"/>
      <c r="N258" s="3"/>
      <c r="O258" s="3"/>
      <c r="P258" s="3"/>
      <c r="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J259" s="3"/>
      <c r="K259" s="3"/>
      <c r="L259" s="3"/>
      <c r="M259" s="3"/>
      <c r="N259" s="3"/>
      <c r="O259" s="3"/>
      <c r="P259" s="3"/>
      <c r="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J260" s="3"/>
      <c r="K260" s="3"/>
      <c r="L260" s="3"/>
      <c r="M260" s="3"/>
      <c r="N260" s="3"/>
      <c r="O260" s="3"/>
      <c r="P260" s="3"/>
      <c r="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J261" s="3"/>
      <c r="K261" s="3"/>
      <c r="L261" s="3"/>
      <c r="M261" s="3"/>
      <c r="N261" s="3"/>
      <c r="O261" s="3"/>
      <c r="P261" s="3"/>
      <c r="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J262" s="3"/>
      <c r="K262" s="3"/>
      <c r="L262" s="3"/>
      <c r="M262" s="3"/>
      <c r="N262" s="3"/>
      <c r="O262" s="3"/>
      <c r="P262" s="3"/>
      <c r="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J263" s="3"/>
      <c r="K263" s="3"/>
      <c r="L263" s="3"/>
      <c r="M263" s="3"/>
      <c r="N263" s="3"/>
      <c r="O263" s="3"/>
      <c r="P263" s="3"/>
      <c r="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J264" s="3"/>
      <c r="K264" s="3"/>
      <c r="L264" s="3"/>
      <c r="M264" s="3"/>
      <c r="N264" s="3"/>
      <c r="O264" s="3"/>
      <c r="P264" s="3"/>
      <c r="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J265" s="3"/>
      <c r="K265" s="3"/>
      <c r="L265" s="3"/>
      <c r="M265" s="3"/>
      <c r="N265" s="3"/>
      <c r="O265" s="3"/>
      <c r="P265" s="3"/>
      <c r="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J266" s="3"/>
      <c r="K266" s="3"/>
      <c r="L266" s="3"/>
      <c r="M266" s="3"/>
      <c r="N266" s="3"/>
      <c r="O266" s="3"/>
      <c r="P266" s="3"/>
      <c r="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J267" s="3"/>
      <c r="K267" s="3"/>
      <c r="L267" s="3"/>
      <c r="M267" s="3"/>
      <c r="N267" s="3"/>
      <c r="O267" s="3"/>
      <c r="P267" s="3"/>
      <c r="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J268" s="3"/>
      <c r="K268" s="3"/>
      <c r="L268" s="3"/>
      <c r="M268" s="3"/>
      <c r="N268" s="3"/>
      <c r="O268" s="3"/>
      <c r="P268" s="3"/>
      <c r="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J269" s="3"/>
      <c r="K269" s="3"/>
      <c r="L269" s="3"/>
      <c r="M269" s="3"/>
      <c r="N269" s="3"/>
      <c r="O269" s="3"/>
      <c r="P269" s="3"/>
      <c r="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J270" s="3"/>
      <c r="K270" s="3"/>
      <c r="L270" s="3"/>
      <c r="M270" s="3"/>
      <c r="N270" s="3"/>
      <c r="O270" s="3"/>
      <c r="P270" s="3"/>
      <c r="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J271" s="3"/>
      <c r="K271" s="3"/>
      <c r="L271" s="3"/>
      <c r="M271" s="3"/>
      <c r="N271" s="3"/>
      <c r="O271" s="3"/>
      <c r="P271" s="3"/>
      <c r="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J272" s="3"/>
      <c r="K272" s="3"/>
      <c r="L272" s="3"/>
      <c r="M272" s="3"/>
      <c r="N272" s="3"/>
      <c r="O272" s="3"/>
      <c r="P272" s="3"/>
      <c r="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J273" s="3"/>
      <c r="K273" s="3"/>
      <c r="L273" s="3"/>
      <c r="M273" s="3"/>
      <c r="N273" s="3"/>
      <c r="O273" s="3"/>
      <c r="P273" s="3"/>
      <c r="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J274" s="3"/>
      <c r="K274" s="3"/>
      <c r="L274" s="3"/>
      <c r="M274" s="3"/>
      <c r="N274" s="3"/>
      <c r="O274" s="3"/>
      <c r="P274" s="3"/>
      <c r="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J275" s="3"/>
      <c r="K275" s="3"/>
      <c r="L275" s="3"/>
      <c r="M275" s="3"/>
      <c r="N275" s="3"/>
      <c r="O275" s="3"/>
      <c r="P275" s="3"/>
      <c r="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J276" s="3"/>
      <c r="K276" s="3"/>
      <c r="L276" s="3"/>
      <c r="M276" s="3"/>
      <c r="N276" s="3"/>
      <c r="O276" s="3"/>
      <c r="P276" s="3"/>
      <c r="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J277" s="3"/>
      <c r="K277" s="3"/>
      <c r="L277" s="3"/>
      <c r="M277" s="3"/>
      <c r="N277" s="3"/>
      <c r="O277" s="3"/>
      <c r="P277" s="3"/>
      <c r="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J278" s="3"/>
      <c r="K278" s="3"/>
      <c r="L278" s="3"/>
      <c r="M278" s="3"/>
      <c r="N278" s="3"/>
      <c r="O278" s="3"/>
      <c r="P278" s="3"/>
      <c r="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J279" s="3"/>
      <c r="K279" s="3"/>
      <c r="L279" s="3"/>
      <c r="M279" s="3"/>
      <c r="N279" s="3"/>
      <c r="O279" s="3"/>
      <c r="P279" s="3"/>
      <c r="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J280" s="3"/>
      <c r="K280" s="3"/>
      <c r="L280" s="3"/>
      <c r="M280" s="3"/>
      <c r="N280" s="3"/>
      <c r="O280" s="3"/>
      <c r="P280" s="3"/>
      <c r="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J281" s="3"/>
      <c r="K281" s="3"/>
      <c r="L281" s="3"/>
      <c r="M281" s="3"/>
      <c r="N281" s="3"/>
      <c r="O281" s="3"/>
      <c r="P281" s="3"/>
      <c r="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J282" s="3"/>
      <c r="K282" s="3"/>
      <c r="L282" s="3"/>
      <c r="M282" s="3"/>
      <c r="N282" s="3"/>
      <c r="O282" s="3"/>
      <c r="P282" s="3"/>
      <c r="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J283" s="3"/>
      <c r="K283" s="3"/>
      <c r="L283" s="3"/>
      <c r="M283" s="3"/>
      <c r="N283" s="3"/>
      <c r="O283" s="3"/>
      <c r="P283" s="3"/>
      <c r="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J284" s="3"/>
      <c r="K284" s="3"/>
      <c r="L284" s="3"/>
      <c r="M284" s="3"/>
      <c r="N284" s="3"/>
      <c r="O284" s="3"/>
      <c r="P284" s="3"/>
      <c r="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J285" s="3"/>
      <c r="K285" s="3"/>
      <c r="L285" s="3"/>
      <c r="M285" s="3"/>
      <c r="N285" s="3"/>
      <c r="O285" s="3"/>
      <c r="P285" s="3"/>
      <c r="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J286" s="3"/>
      <c r="K286" s="3"/>
      <c r="L286" s="3"/>
      <c r="M286" s="3"/>
      <c r="N286" s="3"/>
      <c r="O286" s="3"/>
      <c r="P286" s="3"/>
      <c r="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J287" s="3"/>
      <c r="K287" s="3"/>
      <c r="L287" s="3"/>
      <c r="M287" s="3"/>
      <c r="N287" s="3"/>
      <c r="O287" s="3"/>
      <c r="P287" s="3"/>
      <c r="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J288" s="3"/>
      <c r="K288" s="3"/>
      <c r="L288" s="3"/>
      <c r="M288" s="3"/>
      <c r="N288" s="3"/>
      <c r="O288" s="3"/>
      <c r="P288" s="3"/>
      <c r="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J289" s="3"/>
      <c r="K289" s="3"/>
      <c r="L289" s="3"/>
      <c r="M289" s="3"/>
      <c r="N289" s="3"/>
      <c r="O289" s="3"/>
      <c r="P289" s="3"/>
      <c r="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J290" s="3"/>
      <c r="K290" s="3"/>
      <c r="L290" s="3"/>
      <c r="M290" s="3"/>
      <c r="N290" s="3"/>
      <c r="O290" s="3"/>
      <c r="P290" s="3"/>
      <c r="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J291" s="3"/>
      <c r="K291" s="3"/>
      <c r="L291" s="3"/>
      <c r="M291" s="3"/>
      <c r="N291" s="3"/>
      <c r="O291" s="3"/>
      <c r="P291" s="3"/>
      <c r="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J292" s="3"/>
      <c r="K292" s="3"/>
      <c r="L292" s="3"/>
      <c r="M292" s="3"/>
      <c r="N292" s="3"/>
      <c r="O292" s="3"/>
      <c r="P292" s="3"/>
      <c r="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J293" s="3"/>
      <c r="K293" s="3"/>
      <c r="L293" s="3"/>
      <c r="M293" s="3"/>
      <c r="N293" s="3"/>
      <c r="O293" s="3"/>
      <c r="P293" s="3"/>
      <c r="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J294" s="3"/>
      <c r="K294" s="3"/>
      <c r="L294" s="3"/>
      <c r="M294" s="3"/>
      <c r="N294" s="3"/>
      <c r="O294" s="3"/>
      <c r="P294" s="3"/>
      <c r="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J295" s="3"/>
      <c r="K295" s="3"/>
      <c r="L295" s="3"/>
      <c r="M295" s="3"/>
      <c r="N295" s="3"/>
      <c r="O295" s="3"/>
      <c r="P295" s="3"/>
      <c r="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J296" s="3"/>
      <c r="K296" s="3"/>
      <c r="L296" s="3"/>
      <c r="M296" s="3"/>
      <c r="N296" s="3"/>
      <c r="O296" s="3"/>
      <c r="P296" s="3"/>
      <c r="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J297" s="3"/>
      <c r="K297" s="3"/>
      <c r="L297" s="3"/>
      <c r="M297" s="3"/>
      <c r="N297" s="3"/>
      <c r="O297" s="3"/>
      <c r="P297" s="3"/>
      <c r="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J298" s="3"/>
      <c r="K298" s="3"/>
      <c r="L298" s="3"/>
      <c r="M298" s="3"/>
      <c r="N298" s="3"/>
      <c r="O298" s="3"/>
      <c r="P298" s="3"/>
      <c r="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J299" s="3"/>
      <c r="K299" s="3"/>
      <c r="L299" s="3"/>
      <c r="M299" s="3"/>
      <c r="N299" s="3"/>
      <c r="O299" s="3"/>
      <c r="P299" s="3"/>
      <c r="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J300" s="3"/>
      <c r="K300" s="3"/>
      <c r="L300" s="3"/>
      <c r="M300" s="3"/>
      <c r="N300" s="3"/>
      <c r="O300" s="3"/>
      <c r="P300" s="3"/>
      <c r="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J301" s="3"/>
      <c r="K301" s="3"/>
      <c r="L301" s="3"/>
      <c r="M301" s="3"/>
      <c r="N301" s="3"/>
      <c r="O301" s="3"/>
      <c r="P301" s="3"/>
      <c r="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J302" s="3"/>
      <c r="K302" s="3"/>
      <c r="L302" s="3"/>
      <c r="M302" s="3"/>
      <c r="N302" s="3"/>
      <c r="O302" s="3"/>
      <c r="P302" s="3"/>
      <c r="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J303" s="3"/>
      <c r="K303" s="3"/>
      <c r="L303" s="3"/>
      <c r="M303" s="3"/>
      <c r="N303" s="3"/>
      <c r="O303" s="3"/>
      <c r="P303" s="3"/>
      <c r="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J304" s="3"/>
      <c r="K304" s="3"/>
      <c r="L304" s="3"/>
      <c r="M304" s="3"/>
      <c r="N304" s="3"/>
      <c r="O304" s="3"/>
      <c r="P304" s="3"/>
      <c r="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J305" s="3"/>
      <c r="K305" s="3"/>
      <c r="L305" s="3"/>
      <c r="M305" s="3"/>
      <c r="N305" s="3"/>
      <c r="O305" s="3"/>
      <c r="P305" s="3"/>
      <c r="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J306" s="3"/>
      <c r="K306" s="3"/>
      <c r="L306" s="3"/>
      <c r="M306" s="3"/>
      <c r="N306" s="3"/>
      <c r="O306" s="3"/>
      <c r="P306" s="3"/>
      <c r="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J307" s="3"/>
      <c r="K307" s="3"/>
      <c r="L307" s="3"/>
      <c r="M307" s="3"/>
      <c r="N307" s="3"/>
      <c r="O307" s="3"/>
      <c r="P307" s="3"/>
      <c r="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J308" s="3"/>
      <c r="K308" s="3"/>
      <c r="L308" s="3"/>
      <c r="M308" s="3"/>
      <c r="N308" s="3"/>
      <c r="O308" s="3"/>
      <c r="P308" s="3"/>
      <c r="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J309" s="3"/>
      <c r="K309" s="3"/>
      <c r="L309" s="3"/>
      <c r="M309" s="3"/>
      <c r="N309" s="3"/>
      <c r="O309" s="3"/>
      <c r="P309" s="3"/>
      <c r="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J310" s="3"/>
      <c r="K310" s="3"/>
      <c r="L310" s="3"/>
      <c r="M310" s="3"/>
      <c r="N310" s="3"/>
      <c r="O310" s="3"/>
      <c r="P310" s="3"/>
      <c r="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J311" s="3"/>
      <c r="K311" s="3"/>
      <c r="L311" s="3"/>
      <c r="M311" s="3"/>
      <c r="N311" s="3"/>
      <c r="O311" s="3"/>
      <c r="P311" s="3"/>
      <c r="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J312" s="3"/>
      <c r="K312" s="3"/>
      <c r="L312" s="3"/>
      <c r="M312" s="3"/>
      <c r="N312" s="3"/>
      <c r="O312" s="3"/>
      <c r="P312" s="3"/>
      <c r="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J313" s="3"/>
      <c r="K313" s="3"/>
      <c r="L313" s="3"/>
      <c r="M313" s="3"/>
      <c r="N313" s="3"/>
      <c r="O313" s="3"/>
      <c r="P313" s="3"/>
      <c r="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J314" s="3"/>
      <c r="K314" s="3"/>
      <c r="L314" s="3"/>
      <c r="M314" s="3"/>
      <c r="N314" s="3"/>
      <c r="O314" s="3"/>
      <c r="P314" s="3"/>
      <c r="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J315" s="3"/>
      <c r="K315" s="3"/>
      <c r="L315" s="3"/>
      <c r="M315" s="3"/>
      <c r="N315" s="3"/>
      <c r="O315" s="3"/>
      <c r="P315" s="3"/>
      <c r="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J316" s="3"/>
      <c r="K316" s="3"/>
      <c r="L316" s="3"/>
      <c r="M316" s="3"/>
      <c r="N316" s="3"/>
      <c r="O316" s="3"/>
      <c r="P316" s="3"/>
      <c r="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J317" s="3"/>
      <c r="K317" s="3"/>
      <c r="L317" s="3"/>
      <c r="M317" s="3"/>
      <c r="N317" s="3"/>
      <c r="O317" s="3"/>
      <c r="P317" s="3"/>
      <c r="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J318" s="3"/>
      <c r="K318" s="3"/>
      <c r="L318" s="3"/>
      <c r="M318" s="3"/>
      <c r="N318" s="3"/>
      <c r="O318" s="3"/>
      <c r="P318" s="3"/>
      <c r="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J319" s="3"/>
      <c r="K319" s="3"/>
      <c r="L319" s="3"/>
      <c r="M319" s="3"/>
      <c r="N319" s="3"/>
      <c r="O319" s="3"/>
      <c r="P319" s="3"/>
      <c r="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J320" s="3"/>
      <c r="K320" s="3"/>
      <c r="L320" s="3"/>
      <c r="M320" s="3"/>
      <c r="N320" s="3"/>
      <c r="O320" s="3"/>
      <c r="P320" s="3"/>
      <c r="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J321" s="3"/>
      <c r="K321" s="3"/>
      <c r="L321" s="3"/>
      <c r="M321" s="3"/>
      <c r="N321" s="3"/>
      <c r="O321" s="3"/>
      <c r="P321" s="3"/>
      <c r="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J322" s="3"/>
      <c r="K322" s="3"/>
      <c r="L322" s="3"/>
      <c r="M322" s="3"/>
      <c r="N322" s="3"/>
      <c r="O322" s="3"/>
      <c r="P322" s="3"/>
      <c r="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J323" s="3"/>
      <c r="K323" s="3"/>
      <c r="L323" s="3"/>
      <c r="M323" s="3"/>
      <c r="N323" s="3"/>
      <c r="O323" s="3"/>
      <c r="P323" s="3"/>
      <c r="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J324" s="3"/>
      <c r="K324" s="3"/>
      <c r="L324" s="3"/>
      <c r="M324" s="3"/>
      <c r="N324" s="3"/>
      <c r="O324" s="3"/>
      <c r="P324" s="3"/>
      <c r="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J325" s="3"/>
      <c r="K325" s="3"/>
      <c r="L325" s="3"/>
      <c r="M325" s="3"/>
      <c r="N325" s="3"/>
      <c r="O325" s="3"/>
      <c r="P325" s="3"/>
      <c r="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J326" s="3"/>
      <c r="K326" s="3"/>
      <c r="L326" s="3"/>
      <c r="M326" s="3"/>
      <c r="N326" s="3"/>
      <c r="O326" s="3"/>
      <c r="P326" s="3"/>
      <c r="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J327" s="3"/>
      <c r="K327" s="3"/>
      <c r="L327" s="3"/>
      <c r="M327" s="3"/>
      <c r="N327" s="3"/>
      <c r="O327" s="3"/>
      <c r="P327" s="3"/>
      <c r="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J328" s="3"/>
      <c r="K328" s="3"/>
      <c r="L328" s="3"/>
      <c r="M328" s="3"/>
      <c r="N328" s="3"/>
      <c r="O328" s="3"/>
      <c r="P328" s="3"/>
      <c r="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J329" s="3"/>
      <c r="K329" s="3"/>
      <c r="L329" s="3"/>
      <c r="M329" s="3"/>
      <c r="N329" s="3"/>
      <c r="O329" s="3"/>
      <c r="P329" s="3"/>
      <c r="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J330" s="3"/>
      <c r="K330" s="3"/>
      <c r="L330" s="3"/>
      <c r="M330" s="3"/>
      <c r="N330" s="3"/>
      <c r="O330" s="3"/>
      <c r="P330" s="3"/>
      <c r="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J331" s="3"/>
      <c r="K331" s="3"/>
      <c r="L331" s="3"/>
      <c r="M331" s="3"/>
      <c r="N331" s="3"/>
      <c r="O331" s="3"/>
      <c r="P331" s="3"/>
      <c r="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J332" s="3"/>
      <c r="K332" s="3"/>
      <c r="L332" s="3"/>
      <c r="M332" s="3"/>
      <c r="N332" s="3"/>
      <c r="O332" s="3"/>
      <c r="P332" s="3"/>
      <c r="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J333" s="3"/>
      <c r="K333" s="3"/>
      <c r="L333" s="3"/>
      <c r="M333" s="3"/>
      <c r="N333" s="3"/>
      <c r="O333" s="3"/>
      <c r="P333" s="3"/>
      <c r="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J334" s="3"/>
      <c r="K334" s="3"/>
      <c r="L334" s="3"/>
      <c r="M334" s="3"/>
      <c r="N334" s="3"/>
      <c r="O334" s="3"/>
      <c r="P334" s="3"/>
      <c r="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J335" s="3"/>
      <c r="K335" s="3"/>
      <c r="L335" s="3"/>
      <c r="M335" s="3"/>
      <c r="N335" s="3"/>
      <c r="O335" s="3"/>
      <c r="P335" s="3"/>
      <c r="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J336" s="3"/>
      <c r="K336" s="3"/>
      <c r="L336" s="3"/>
      <c r="M336" s="3"/>
      <c r="N336" s="3"/>
      <c r="O336" s="3"/>
      <c r="P336" s="3"/>
      <c r="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J337" s="3"/>
      <c r="K337" s="3"/>
      <c r="L337" s="3"/>
      <c r="M337" s="3"/>
      <c r="N337" s="3"/>
      <c r="O337" s="3"/>
      <c r="P337" s="3"/>
      <c r="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J338" s="3"/>
      <c r="K338" s="3"/>
      <c r="L338" s="3"/>
      <c r="M338" s="3"/>
      <c r="N338" s="3"/>
      <c r="O338" s="3"/>
      <c r="P338" s="3"/>
      <c r="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J339" s="3"/>
      <c r="K339" s="3"/>
      <c r="L339" s="3"/>
      <c r="M339" s="3"/>
      <c r="N339" s="3"/>
      <c r="O339" s="3"/>
      <c r="P339" s="3"/>
      <c r="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J340" s="3"/>
      <c r="K340" s="3"/>
      <c r="L340" s="3"/>
      <c r="M340" s="3"/>
      <c r="N340" s="3"/>
      <c r="O340" s="3"/>
      <c r="P340" s="3"/>
      <c r="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J341" s="3"/>
      <c r="K341" s="3"/>
      <c r="L341" s="3"/>
      <c r="M341" s="3"/>
      <c r="N341" s="3"/>
      <c r="O341" s="3"/>
      <c r="P341" s="3"/>
      <c r="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J342" s="3"/>
      <c r="K342" s="3"/>
      <c r="L342" s="3"/>
      <c r="M342" s="3"/>
      <c r="N342" s="3"/>
      <c r="O342" s="3"/>
      <c r="P342" s="3"/>
      <c r="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J343" s="3"/>
      <c r="K343" s="3"/>
      <c r="L343" s="3"/>
      <c r="M343" s="3"/>
      <c r="N343" s="3"/>
      <c r="O343" s="3"/>
      <c r="P343" s="3"/>
      <c r="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J344" s="3"/>
      <c r="K344" s="3"/>
      <c r="L344" s="3"/>
      <c r="M344" s="3"/>
      <c r="N344" s="3"/>
      <c r="O344" s="3"/>
      <c r="P344" s="3"/>
      <c r="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J345" s="3"/>
      <c r="K345" s="3"/>
      <c r="L345" s="3"/>
      <c r="M345" s="3"/>
      <c r="N345" s="3"/>
      <c r="O345" s="3"/>
      <c r="P345" s="3"/>
      <c r="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J346" s="3"/>
      <c r="K346" s="3"/>
      <c r="L346" s="3"/>
      <c r="M346" s="3"/>
      <c r="N346" s="3"/>
      <c r="O346" s="3"/>
      <c r="P346" s="3"/>
      <c r="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J347" s="3"/>
      <c r="K347" s="3"/>
      <c r="L347" s="3"/>
      <c r="M347" s="3"/>
      <c r="N347" s="3"/>
      <c r="O347" s="3"/>
      <c r="P347" s="3"/>
      <c r="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J348" s="3"/>
      <c r="K348" s="3"/>
      <c r="L348" s="3"/>
      <c r="M348" s="3"/>
      <c r="N348" s="3"/>
      <c r="O348" s="3"/>
      <c r="P348" s="3"/>
      <c r="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J349" s="3"/>
      <c r="K349" s="3"/>
      <c r="L349" s="3"/>
      <c r="M349" s="3"/>
      <c r="N349" s="3"/>
      <c r="O349" s="3"/>
      <c r="P349" s="3"/>
      <c r="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J350" s="3"/>
      <c r="K350" s="3"/>
      <c r="L350" s="3"/>
      <c r="M350" s="3"/>
      <c r="N350" s="3"/>
      <c r="O350" s="3"/>
      <c r="P350" s="3"/>
      <c r="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J351" s="3"/>
      <c r="K351" s="3"/>
      <c r="L351" s="3"/>
      <c r="M351" s="3"/>
      <c r="N351" s="3"/>
      <c r="O351" s="3"/>
      <c r="P351" s="3"/>
      <c r="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J352" s="3"/>
      <c r="K352" s="3"/>
      <c r="L352" s="3"/>
      <c r="M352" s="3"/>
      <c r="N352" s="3"/>
      <c r="O352" s="3"/>
      <c r="P352" s="3"/>
      <c r="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J353" s="3"/>
      <c r="K353" s="3"/>
      <c r="L353" s="3"/>
      <c r="M353" s="3"/>
      <c r="N353" s="3"/>
      <c r="O353" s="3"/>
      <c r="P353" s="3"/>
      <c r="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J354" s="3"/>
      <c r="K354" s="3"/>
      <c r="L354" s="3"/>
      <c r="M354" s="3"/>
      <c r="N354" s="3"/>
      <c r="O354" s="3"/>
      <c r="P354" s="3"/>
      <c r="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J355" s="3"/>
      <c r="K355" s="3"/>
      <c r="L355" s="3"/>
      <c r="M355" s="3"/>
      <c r="N355" s="3"/>
      <c r="O355" s="3"/>
      <c r="P355" s="3"/>
      <c r="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J356" s="3"/>
      <c r="K356" s="3"/>
      <c r="L356" s="3"/>
      <c r="M356" s="3"/>
      <c r="N356" s="3"/>
      <c r="O356" s="3"/>
      <c r="P356" s="3"/>
      <c r="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J357" s="3"/>
      <c r="K357" s="3"/>
      <c r="L357" s="3"/>
      <c r="M357" s="3"/>
      <c r="N357" s="3"/>
      <c r="O357" s="3"/>
      <c r="P357" s="3"/>
      <c r="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J358" s="3"/>
      <c r="K358" s="3"/>
      <c r="L358" s="3"/>
      <c r="M358" s="3"/>
      <c r="N358" s="3"/>
      <c r="O358" s="3"/>
      <c r="P358" s="3"/>
      <c r="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J359" s="3"/>
      <c r="K359" s="3"/>
      <c r="L359" s="3"/>
      <c r="M359" s="3"/>
      <c r="N359" s="3"/>
      <c r="O359" s="3"/>
      <c r="P359" s="3"/>
      <c r="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J360" s="3"/>
      <c r="K360" s="3"/>
      <c r="L360" s="3"/>
      <c r="M360" s="3"/>
      <c r="N360" s="3"/>
      <c r="O360" s="3"/>
      <c r="P360" s="3"/>
      <c r="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J361" s="3"/>
      <c r="K361" s="3"/>
      <c r="L361" s="3"/>
      <c r="M361" s="3"/>
      <c r="N361" s="3"/>
      <c r="O361" s="3"/>
      <c r="P361" s="3"/>
      <c r="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J362" s="3"/>
      <c r="K362" s="3"/>
      <c r="L362" s="3"/>
      <c r="M362" s="3"/>
      <c r="N362" s="3"/>
      <c r="O362" s="3"/>
      <c r="P362" s="3"/>
      <c r="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J363" s="3"/>
      <c r="K363" s="3"/>
      <c r="L363" s="3"/>
      <c r="M363" s="3"/>
      <c r="N363" s="3"/>
      <c r="O363" s="3"/>
      <c r="P363" s="3"/>
      <c r="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J364" s="3"/>
      <c r="K364" s="3"/>
      <c r="L364" s="3"/>
      <c r="M364" s="3"/>
      <c r="N364" s="3"/>
      <c r="O364" s="3"/>
      <c r="P364" s="3"/>
      <c r="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J365" s="3"/>
      <c r="K365" s="3"/>
      <c r="L365" s="3"/>
      <c r="M365" s="3"/>
      <c r="N365" s="3"/>
      <c r="O365" s="3"/>
      <c r="P365" s="3"/>
      <c r="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J366" s="3"/>
      <c r="K366" s="3"/>
      <c r="L366" s="3"/>
      <c r="M366" s="3"/>
      <c r="N366" s="3"/>
      <c r="O366" s="3"/>
      <c r="P366" s="3"/>
      <c r="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J462" s="3"/>
      <c r="K462" s="3"/>
      <c r="L462" s="3"/>
      <c r="M462" s="3"/>
      <c r="N462" s="3"/>
      <c r="O462" s="3"/>
      <c r="P462" s="3"/>
      <c r="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J463" s="3"/>
      <c r="K463" s="3"/>
      <c r="L463" s="3"/>
      <c r="M463" s="3"/>
      <c r="N463" s="3"/>
      <c r="O463" s="3"/>
      <c r="P463" s="3"/>
      <c r="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J464" s="3"/>
      <c r="K464" s="3"/>
      <c r="L464" s="3"/>
      <c r="M464" s="3"/>
      <c r="N464" s="3"/>
      <c r="O464" s="3"/>
      <c r="P464" s="3"/>
      <c r="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J465" s="3"/>
      <c r="K465" s="3"/>
      <c r="L465" s="3"/>
      <c r="M465" s="3"/>
      <c r="N465" s="3"/>
      <c r="O465" s="3"/>
      <c r="P465" s="3"/>
      <c r="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J466" s="3"/>
      <c r="K466" s="3"/>
      <c r="L466" s="3"/>
      <c r="M466" s="3"/>
      <c r="N466" s="3"/>
      <c r="O466" s="3"/>
      <c r="P466" s="3"/>
      <c r="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J467" s="3"/>
      <c r="K467" s="3"/>
      <c r="L467" s="3"/>
      <c r="M467" s="3"/>
      <c r="N467" s="3"/>
      <c r="O467" s="3"/>
      <c r="P467" s="3"/>
      <c r="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J468" s="3"/>
      <c r="K468" s="3"/>
      <c r="L468" s="3"/>
      <c r="M468" s="3"/>
      <c r="N468" s="3"/>
      <c r="O468" s="3"/>
      <c r="P468" s="3"/>
      <c r="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J469" s="3"/>
      <c r="K469" s="3"/>
      <c r="L469" s="3"/>
      <c r="M469" s="3"/>
      <c r="N469" s="3"/>
      <c r="O469" s="3"/>
      <c r="P469" s="3"/>
      <c r="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J470" s="3"/>
      <c r="K470" s="3"/>
      <c r="L470" s="3"/>
      <c r="M470" s="3"/>
      <c r="N470" s="3"/>
      <c r="O470" s="3"/>
      <c r="P470" s="3"/>
      <c r="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J471" s="3"/>
      <c r="K471" s="3"/>
      <c r="L471" s="3"/>
      <c r="M471" s="3"/>
      <c r="N471" s="3"/>
      <c r="O471" s="3"/>
      <c r="P471" s="3"/>
      <c r="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J472" s="3"/>
      <c r="K472" s="3"/>
      <c r="L472" s="3"/>
      <c r="M472" s="3"/>
      <c r="N472" s="3"/>
      <c r="O472" s="3"/>
      <c r="P472" s="3"/>
      <c r="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J473" s="3"/>
      <c r="K473" s="3"/>
      <c r="L473" s="3"/>
      <c r="M473" s="3"/>
      <c r="N473" s="3"/>
      <c r="O473" s="3"/>
      <c r="P473" s="3"/>
      <c r="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J474" s="3"/>
      <c r="K474" s="3"/>
      <c r="L474" s="3"/>
      <c r="M474" s="3"/>
      <c r="N474" s="3"/>
      <c r="O474" s="3"/>
      <c r="P474" s="3"/>
      <c r="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J475" s="3"/>
      <c r="K475" s="3"/>
      <c r="L475" s="3"/>
      <c r="M475" s="3"/>
      <c r="N475" s="3"/>
      <c r="O475" s="3"/>
      <c r="P475" s="3"/>
      <c r="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J476" s="3"/>
      <c r="K476" s="3"/>
      <c r="L476" s="3"/>
      <c r="M476" s="3"/>
      <c r="N476" s="3"/>
      <c r="O476" s="3"/>
      <c r="P476" s="3"/>
      <c r="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J477" s="3"/>
      <c r="K477" s="3"/>
      <c r="L477" s="3"/>
      <c r="M477" s="3"/>
      <c r="N477" s="3"/>
      <c r="O477" s="3"/>
      <c r="P477" s="3"/>
      <c r="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J478" s="3"/>
      <c r="K478" s="3"/>
      <c r="L478" s="3"/>
      <c r="M478" s="3"/>
      <c r="N478" s="3"/>
      <c r="O478" s="3"/>
      <c r="P478" s="3"/>
      <c r="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J479" s="3"/>
      <c r="K479" s="3"/>
      <c r="L479" s="3"/>
      <c r="M479" s="3"/>
      <c r="N479" s="3"/>
      <c r="O479" s="3"/>
      <c r="P479" s="3"/>
      <c r="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J480" s="3"/>
      <c r="K480" s="3"/>
      <c r="L480" s="3"/>
      <c r="M480" s="3"/>
      <c r="N480" s="3"/>
      <c r="O480" s="3"/>
      <c r="P480" s="3"/>
      <c r="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J481" s="3"/>
      <c r="K481" s="3"/>
      <c r="L481" s="3"/>
      <c r="M481" s="3"/>
      <c r="N481" s="3"/>
      <c r="O481" s="3"/>
      <c r="P481" s="3"/>
      <c r="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J482" s="3"/>
      <c r="K482" s="3"/>
      <c r="L482" s="3"/>
      <c r="M482" s="3"/>
      <c r="N482" s="3"/>
      <c r="O482" s="3"/>
      <c r="P482" s="3"/>
      <c r="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J483" s="3"/>
      <c r="K483" s="3"/>
      <c r="L483" s="3"/>
      <c r="M483" s="3"/>
      <c r="N483" s="3"/>
      <c r="O483" s="3"/>
      <c r="P483" s="3"/>
      <c r="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J484" s="3"/>
      <c r="K484" s="3"/>
      <c r="L484" s="3"/>
      <c r="M484" s="3"/>
      <c r="N484" s="3"/>
      <c r="O484" s="3"/>
      <c r="P484" s="3"/>
      <c r="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J485" s="3"/>
      <c r="K485" s="3"/>
      <c r="L485" s="3"/>
      <c r="M485" s="3"/>
      <c r="N485" s="3"/>
      <c r="O485" s="3"/>
      <c r="P485" s="3"/>
      <c r="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J486" s="3"/>
      <c r="K486" s="3"/>
      <c r="L486" s="3"/>
      <c r="M486" s="3"/>
      <c r="N486" s="3"/>
      <c r="O486" s="3"/>
      <c r="P486" s="3"/>
      <c r="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J487" s="3"/>
      <c r="K487" s="3"/>
      <c r="L487" s="3"/>
      <c r="M487" s="3"/>
      <c r="N487" s="3"/>
      <c r="O487" s="3"/>
      <c r="P487" s="3"/>
      <c r="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J488" s="3"/>
      <c r="K488" s="3"/>
      <c r="L488" s="3"/>
      <c r="M488" s="3"/>
      <c r="N488" s="3"/>
      <c r="O488" s="3"/>
      <c r="P488" s="3"/>
      <c r="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J489" s="3"/>
      <c r="K489" s="3"/>
      <c r="L489" s="3"/>
      <c r="M489" s="3"/>
      <c r="N489" s="3"/>
      <c r="O489" s="3"/>
      <c r="P489" s="3"/>
      <c r="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J490" s="3"/>
      <c r="K490" s="3"/>
      <c r="L490" s="3"/>
      <c r="M490" s="3"/>
      <c r="N490" s="3"/>
      <c r="O490" s="3"/>
      <c r="P490" s="3"/>
      <c r="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J491" s="3"/>
      <c r="K491" s="3"/>
      <c r="L491" s="3"/>
      <c r="M491" s="3"/>
      <c r="N491" s="3"/>
      <c r="O491" s="3"/>
      <c r="P491" s="3"/>
      <c r="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J492" s="3"/>
      <c r="K492" s="3"/>
      <c r="L492" s="3"/>
      <c r="M492" s="3"/>
      <c r="N492" s="3"/>
      <c r="O492" s="3"/>
      <c r="P492" s="3"/>
      <c r="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J493" s="3"/>
      <c r="K493" s="3"/>
      <c r="L493" s="3"/>
      <c r="M493" s="3"/>
      <c r="N493" s="3"/>
      <c r="O493" s="3"/>
      <c r="P493" s="3"/>
      <c r="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J494" s="3"/>
      <c r="K494" s="3"/>
      <c r="L494" s="3"/>
      <c r="M494" s="3"/>
      <c r="N494" s="3"/>
      <c r="O494" s="3"/>
      <c r="P494" s="3"/>
      <c r="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J495" s="3"/>
      <c r="K495" s="3"/>
      <c r="L495" s="3"/>
      <c r="M495" s="3"/>
      <c r="N495" s="3"/>
      <c r="O495" s="3"/>
      <c r="P495" s="3"/>
      <c r="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J496" s="3"/>
      <c r="K496" s="3"/>
      <c r="L496" s="3"/>
      <c r="M496" s="3"/>
      <c r="N496" s="3"/>
      <c r="O496" s="3"/>
      <c r="P496" s="3"/>
      <c r="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J497" s="3"/>
      <c r="K497" s="3"/>
      <c r="L497" s="3"/>
      <c r="M497" s="3"/>
      <c r="N497" s="3"/>
      <c r="O497" s="3"/>
      <c r="P497" s="3"/>
      <c r="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J498" s="3"/>
      <c r="K498" s="3"/>
      <c r="L498" s="3"/>
      <c r="M498" s="3"/>
      <c r="N498" s="3"/>
      <c r="O498" s="3"/>
      <c r="P498" s="3"/>
      <c r="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J499" s="3"/>
      <c r="K499" s="3"/>
      <c r="L499" s="3"/>
      <c r="M499" s="3"/>
      <c r="N499" s="3"/>
      <c r="O499" s="3"/>
      <c r="P499" s="3"/>
      <c r="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J500" s="3"/>
      <c r="K500" s="3"/>
      <c r="L500" s="3"/>
      <c r="M500" s="3"/>
      <c r="N500" s="3"/>
      <c r="O500" s="3"/>
      <c r="P500" s="3"/>
      <c r="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J501" s="3"/>
      <c r="K501" s="3"/>
      <c r="L501" s="3"/>
      <c r="M501" s="3"/>
      <c r="N501" s="3"/>
      <c r="O501" s="3"/>
      <c r="P501" s="3"/>
      <c r="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J502" s="3"/>
      <c r="K502" s="3"/>
      <c r="L502" s="3"/>
      <c r="M502" s="3"/>
      <c r="N502" s="3"/>
      <c r="O502" s="3"/>
      <c r="P502" s="3"/>
      <c r="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J503" s="3"/>
      <c r="K503" s="3"/>
      <c r="L503" s="3"/>
      <c r="M503" s="3"/>
      <c r="N503" s="3"/>
      <c r="O503" s="3"/>
      <c r="P503" s="3"/>
      <c r="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J504" s="3"/>
      <c r="K504" s="3"/>
      <c r="L504" s="3"/>
      <c r="M504" s="3"/>
      <c r="N504" s="3"/>
      <c r="O504" s="3"/>
      <c r="P504" s="3"/>
      <c r="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J505" s="3"/>
      <c r="K505" s="3"/>
      <c r="L505" s="3"/>
      <c r="M505" s="3"/>
      <c r="N505" s="3"/>
      <c r="O505" s="3"/>
      <c r="P505" s="3"/>
      <c r="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J506" s="3"/>
      <c r="K506" s="3"/>
      <c r="L506" s="3"/>
      <c r="M506" s="3"/>
      <c r="N506" s="3"/>
      <c r="O506" s="3"/>
      <c r="P506" s="3"/>
      <c r="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J507" s="3"/>
      <c r="K507" s="3"/>
      <c r="L507" s="3"/>
      <c r="M507" s="3"/>
      <c r="N507" s="3"/>
      <c r="O507" s="3"/>
      <c r="P507" s="3"/>
      <c r="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J508" s="3"/>
      <c r="K508" s="3"/>
      <c r="L508" s="3"/>
      <c r="M508" s="3"/>
      <c r="N508" s="3"/>
      <c r="O508" s="3"/>
      <c r="P508" s="3"/>
      <c r="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J509" s="3"/>
      <c r="K509" s="3"/>
      <c r="L509" s="3"/>
      <c r="M509" s="3"/>
      <c r="N509" s="3"/>
      <c r="O509" s="3"/>
      <c r="P509" s="3"/>
      <c r="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J510" s="3"/>
      <c r="K510" s="3"/>
      <c r="L510" s="3"/>
      <c r="M510" s="3"/>
      <c r="N510" s="3"/>
      <c r="O510" s="3"/>
      <c r="P510" s="3"/>
      <c r="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J511" s="3"/>
      <c r="K511" s="3"/>
      <c r="L511" s="3"/>
      <c r="M511" s="3"/>
      <c r="N511" s="3"/>
      <c r="O511" s="3"/>
      <c r="P511" s="3"/>
      <c r="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J512" s="3"/>
      <c r="K512" s="3"/>
      <c r="L512" s="3"/>
      <c r="M512" s="3"/>
      <c r="N512" s="3"/>
      <c r="O512" s="3"/>
      <c r="P512" s="3"/>
      <c r="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J513" s="3"/>
      <c r="K513" s="3"/>
      <c r="L513" s="3"/>
      <c r="M513" s="3"/>
      <c r="N513" s="3"/>
      <c r="O513" s="3"/>
      <c r="P513" s="3"/>
      <c r="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J514" s="3"/>
      <c r="K514" s="3"/>
      <c r="L514" s="3"/>
      <c r="M514" s="3"/>
      <c r="N514" s="3"/>
      <c r="O514" s="3"/>
      <c r="P514" s="3"/>
      <c r="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J515" s="3"/>
      <c r="K515" s="3"/>
      <c r="L515" s="3"/>
      <c r="M515" s="3"/>
      <c r="N515" s="3"/>
      <c r="O515" s="3"/>
      <c r="P515" s="3"/>
      <c r="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J516" s="3"/>
      <c r="K516" s="3"/>
      <c r="L516" s="3"/>
      <c r="M516" s="3"/>
      <c r="N516" s="3"/>
      <c r="O516" s="3"/>
      <c r="P516" s="3"/>
      <c r="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J517" s="3"/>
      <c r="K517" s="3"/>
      <c r="L517" s="3"/>
      <c r="M517" s="3"/>
      <c r="N517" s="3"/>
      <c r="O517" s="3"/>
      <c r="P517" s="3"/>
      <c r="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J518" s="3"/>
      <c r="K518" s="3"/>
      <c r="L518" s="3"/>
      <c r="M518" s="3"/>
      <c r="N518" s="3"/>
      <c r="O518" s="3"/>
      <c r="P518" s="3"/>
      <c r="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J519" s="3"/>
      <c r="K519" s="3"/>
      <c r="L519" s="3"/>
      <c r="M519" s="3"/>
      <c r="N519" s="3"/>
      <c r="O519" s="3"/>
      <c r="P519" s="3"/>
      <c r="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J520" s="3"/>
      <c r="K520" s="3"/>
      <c r="L520" s="3"/>
      <c r="M520" s="3"/>
      <c r="N520" s="3"/>
      <c r="O520" s="3"/>
      <c r="P520" s="3"/>
      <c r="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J521" s="3"/>
      <c r="K521" s="3"/>
      <c r="L521" s="3"/>
      <c r="M521" s="3"/>
      <c r="N521" s="3"/>
      <c r="O521" s="3"/>
      <c r="P521" s="3"/>
      <c r="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J522" s="3"/>
      <c r="K522" s="3"/>
      <c r="L522" s="3"/>
      <c r="M522" s="3"/>
      <c r="N522" s="3"/>
      <c r="O522" s="3"/>
      <c r="P522" s="3"/>
      <c r="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J523" s="3"/>
      <c r="K523" s="3"/>
      <c r="L523" s="3"/>
      <c r="M523" s="3"/>
      <c r="N523" s="3"/>
      <c r="O523" s="3"/>
      <c r="P523" s="3"/>
      <c r="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J524" s="3"/>
      <c r="K524" s="3"/>
      <c r="L524" s="3"/>
      <c r="M524" s="3"/>
      <c r="N524" s="3"/>
      <c r="O524" s="3"/>
      <c r="P524" s="3"/>
      <c r="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J525" s="3"/>
      <c r="K525" s="3"/>
      <c r="L525" s="3"/>
      <c r="M525" s="3"/>
      <c r="N525" s="3"/>
      <c r="O525" s="3"/>
      <c r="P525" s="3"/>
      <c r="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J526" s="3"/>
      <c r="K526" s="3"/>
      <c r="L526" s="3"/>
      <c r="M526" s="3"/>
      <c r="N526" s="3"/>
      <c r="O526" s="3"/>
      <c r="P526" s="3"/>
      <c r="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J527" s="3"/>
      <c r="K527" s="3"/>
      <c r="L527" s="3"/>
      <c r="M527" s="3"/>
      <c r="N527" s="3"/>
      <c r="O527" s="3"/>
      <c r="P527" s="3"/>
      <c r="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J528" s="3"/>
      <c r="K528" s="3"/>
      <c r="L528" s="3"/>
      <c r="M528" s="3"/>
      <c r="N528" s="3"/>
      <c r="O528" s="3"/>
      <c r="P528" s="3"/>
      <c r="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J529" s="3"/>
      <c r="K529" s="3"/>
      <c r="L529" s="3"/>
      <c r="M529" s="3"/>
      <c r="N529" s="3"/>
      <c r="O529" s="3"/>
      <c r="P529" s="3"/>
      <c r="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J530" s="3"/>
      <c r="K530" s="3"/>
      <c r="L530" s="3"/>
      <c r="M530" s="3"/>
      <c r="N530" s="3"/>
      <c r="O530" s="3"/>
      <c r="P530" s="3"/>
      <c r="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J531" s="3"/>
      <c r="K531" s="3"/>
      <c r="L531" s="3"/>
      <c r="M531" s="3"/>
      <c r="N531" s="3"/>
      <c r="O531" s="3"/>
      <c r="P531" s="3"/>
      <c r="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J532" s="3"/>
      <c r="K532" s="3"/>
      <c r="L532" s="3"/>
      <c r="M532" s="3"/>
      <c r="N532" s="3"/>
      <c r="O532" s="3"/>
      <c r="P532" s="3"/>
      <c r="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J533" s="3"/>
      <c r="K533" s="3"/>
      <c r="L533" s="3"/>
      <c r="M533" s="3"/>
      <c r="N533" s="3"/>
      <c r="O533" s="3"/>
      <c r="P533" s="3"/>
      <c r="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J534" s="3"/>
      <c r="K534" s="3"/>
      <c r="L534" s="3"/>
      <c r="M534" s="3"/>
      <c r="N534" s="3"/>
      <c r="O534" s="3"/>
      <c r="P534" s="3"/>
      <c r="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J535" s="3"/>
      <c r="K535" s="3"/>
      <c r="L535" s="3"/>
      <c r="M535" s="3"/>
      <c r="N535" s="3"/>
      <c r="O535" s="3"/>
      <c r="P535" s="3"/>
      <c r="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J536" s="3"/>
      <c r="K536" s="3"/>
      <c r="L536" s="3"/>
      <c r="M536" s="3"/>
      <c r="N536" s="3"/>
      <c r="O536" s="3"/>
      <c r="P536" s="3"/>
      <c r="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J537" s="3"/>
      <c r="K537" s="3"/>
      <c r="L537" s="3"/>
      <c r="M537" s="3"/>
      <c r="N537" s="3"/>
      <c r="O537" s="3"/>
      <c r="P537" s="3"/>
      <c r="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J538" s="3"/>
      <c r="K538" s="3"/>
      <c r="L538" s="3"/>
      <c r="M538" s="3"/>
      <c r="N538" s="3"/>
      <c r="O538" s="3"/>
      <c r="P538" s="3"/>
      <c r="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J539" s="3"/>
      <c r="K539" s="3"/>
      <c r="L539" s="3"/>
      <c r="M539" s="3"/>
      <c r="N539" s="3"/>
      <c r="O539" s="3"/>
      <c r="P539" s="3"/>
      <c r="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J540" s="3"/>
      <c r="K540" s="3"/>
      <c r="L540" s="3"/>
      <c r="M540" s="3"/>
      <c r="N540" s="3"/>
      <c r="O540" s="3"/>
      <c r="P540" s="3"/>
      <c r="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J541" s="3"/>
      <c r="K541" s="3"/>
      <c r="L541" s="3"/>
      <c r="M541" s="3"/>
      <c r="N541" s="3"/>
      <c r="O541" s="3"/>
      <c r="P541" s="3"/>
      <c r="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J542" s="3"/>
      <c r="K542" s="3"/>
      <c r="L542" s="3"/>
      <c r="M542" s="3"/>
      <c r="N542" s="3"/>
      <c r="O542" s="3"/>
      <c r="P542" s="3"/>
      <c r="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J543" s="3"/>
      <c r="K543" s="3"/>
      <c r="L543" s="3"/>
      <c r="M543" s="3"/>
      <c r="N543" s="3"/>
      <c r="O543" s="3"/>
      <c r="P543" s="3"/>
      <c r="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J544" s="3"/>
      <c r="K544" s="3"/>
      <c r="L544" s="3"/>
      <c r="M544" s="3"/>
      <c r="N544" s="3"/>
      <c r="O544" s="3"/>
      <c r="P544" s="3"/>
      <c r="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J545" s="3"/>
      <c r="K545" s="3"/>
      <c r="L545" s="3"/>
      <c r="M545" s="3"/>
      <c r="N545" s="3"/>
      <c r="O545" s="3"/>
      <c r="P545" s="3"/>
      <c r="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J546" s="3"/>
      <c r="K546" s="3"/>
      <c r="L546" s="3"/>
      <c r="M546" s="3"/>
      <c r="N546" s="3"/>
      <c r="O546" s="3"/>
      <c r="P546" s="3"/>
      <c r="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J547" s="3"/>
      <c r="K547" s="3"/>
      <c r="L547" s="3"/>
      <c r="M547" s="3"/>
      <c r="N547" s="3"/>
      <c r="O547" s="3"/>
      <c r="P547" s="3"/>
      <c r="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J548" s="3"/>
      <c r="K548" s="3"/>
      <c r="L548" s="3"/>
      <c r="M548" s="3"/>
      <c r="N548" s="3"/>
      <c r="O548" s="3"/>
      <c r="P548" s="3"/>
      <c r="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J549" s="3"/>
      <c r="K549" s="3"/>
      <c r="L549" s="3"/>
      <c r="M549" s="3"/>
      <c r="N549" s="3"/>
      <c r="O549" s="3"/>
      <c r="P549" s="3"/>
      <c r="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J550" s="3"/>
      <c r="K550" s="3"/>
      <c r="L550" s="3"/>
      <c r="M550" s="3"/>
      <c r="N550" s="3"/>
      <c r="O550" s="3"/>
      <c r="P550" s="3"/>
      <c r="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J551" s="3"/>
      <c r="K551" s="3"/>
      <c r="L551" s="3"/>
      <c r="M551" s="3"/>
      <c r="N551" s="3"/>
      <c r="O551" s="3"/>
      <c r="P551" s="3"/>
      <c r="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J552" s="3"/>
      <c r="K552" s="3"/>
      <c r="L552" s="3"/>
      <c r="M552" s="3"/>
      <c r="N552" s="3"/>
      <c r="O552" s="3"/>
      <c r="P552" s="3"/>
      <c r="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J553" s="3"/>
      <c r="K553" s="3"/>
      <c r="L553" s="3"/>
      <c r="M553" s="3"/>
      <c r="N553" s="3"/>
      <c r="O553" s="3"/>
      <c r="P553" s="3"/>
      <c r="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J554" s="3"/>
      <c r="K554" s="3"/>
      <c r="L554" s="3"/>
      <c r="M554" s="3"/>
      <c r="N554" s="3"/>
      <c r="O554" s="3"/>
      <c r="P554" s="3"/>
      <c r="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J555" s="3"/>
      <c r="K555" s="3"/>
      <c r="L555" s="3"/>
      <c r="M555" s="3"/>
      <c r="N555" s="3"/>
      <c r="O555" s="3"/>
      <c r="P555" s="3"/>
      <c r="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J556" s="3"/>
      <c r="K556" s="3"/>
      <c r="L556" s="3"/>
      <c r="M556" s="3"/>
      <c r="N556" s="3"/>
      <c r="O556" s="3"/>
      <c r="P556" s="3"/>
      <c r="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J557" s="3"/>
      <c r="K557" s="3"/>
      <c r="L557" s="3"/>
      <c r="M557" s="3"/>
      <c r="N557" s="3"/>
      <c r="O557" s="3"/>
      <c r="P557" s="3"/>
      <c r="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J558" s="3"/>
      <c r="K558" s="3"/>
      <c r="L558" s="3"/>
      <c r="M558" s="3"/>
      <c r="N558" s="3"/>
      <c r="O558" s="3"/>
      <c r="P558" s="3"/>
      <c r="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J559" s="3"/>
      <c r="K559" s="3"/>
      <c r="L559" s="3"/>
      <c r="M559" s="3"/>
      <c r="N559" s="3"/>
      <c r="O559" s="3"/>
      <c r="P559" s="3"/>
      <c r="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J560" s="3"/>
      <c r="K560" s="3"/>
      <c r="L560" s="3"/>
      <c r="M560" s="3"/>
      <c r="N560" s="3"/>
      <c r="O560" s="3"/>
      <c r="P560" s="3"/>
      <c r="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J561" s="3"/>
      <c r="K561" s="3"/>
      <c r="L561" s="3"/>
      <c r="M561" s="3"/>
      <c r="N561" s="3"/>
      <c r="O561" s="3"/>
      <c r="P561" s="3"/>
      <c r="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J562" s="3"/>
      <c r="K562" s="3"/>
      <c r="L562" s="3"/>
      <c r="M562" s="3"/>
      <c r="N562" s="3"/>
      <c r="O562" s="3"/>
      <c r="P562" s="3"/>
      <c r="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J563" s="3"/>
      <c r="K563" s="3"/>
      <c r="L563" s="3"/>
      <c r="M563" s="3"/>
      <c r="N563" s="3"/>
      <c r="O563" s="3"/>
      <c r="P563" s="3"/>
      <c r="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J564" s="3"/>
      <c r="K564" s="3"/>
      <c r="L564" s="3"/>
      <c r="M564" s="3"/>
      <c r="N564" s="3"/>
      <c r="O564" s="3"/>
      <c r="P564" s="3"/>
      <c r="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J565" s="3"/>
      <c r="K565" s="3"/>
      <c r="L565" s="3"/>
      <c r="M565" s="3"/>
      <c r="N565" s="3"/>
      <c r="O565" s="3"/>
      <c r="P565" s="3"/>
      <c r="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J566" s="3"/>
      <c r="K566" s="3"/>
      <c r="L566" s="3"/>
      <c r="M566" s="3"/>
      <c r="N566" s="3"/>
      <c r="O566" s="3"/>
      <c r="P566" s="3"/>
      <c r="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J567" s="3"/>
      <c r="K567" s="3"/>
      <c r="L567" s="3"/>
      <c r="M567" s="3"/>
      <c r="N567" s="3"/>
      <c r="O567" s="3"/>
      <c r="P567" s="3"/>
      <c r="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J568" s="3"/>
      <c r="K568" s="3"/>
      <c r="L568" s="3"/>
      <c r="M568" s="3"/>
      <c r="N568" s="3"/>
      <c r="O568" s="3"/>
      <c r="P568" s="3"/>
      <c r="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J569" s="3"/>
      <c r="K569" s="3"/>
      <c r="L569" s="3"/>
      <c r="M569" s="3"/>
      <c r="N569" s="3"/>
      <c r="O569" s="3"/>
      <c r="P569" s="3"/>
      <c r="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J570" s="3"/>
      <c r="K570" s="3"/>
      <c r="L570" s="3"/>
      <c r="M570" s="3"/>
      <c r="N570" s="3"/>
      <c r="O570" s="3"/>
      <c r="P570" s="3"/>
      <c r="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J571" s="3"/>
      <c r="K571" s="3"/>
      <c r="L571" s="3"/>
      <c r="M571" s="3"/>
      <c r="N571" s="3"/>
      <c r="O571" s="3"/>
      <c r="P571" s="3"/>
      <c r="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J572" s="3"/>
      <c r="K572" s="3"/>
      <c r="L572" s="3"/>
      <c r="M572" s="3"/>
      <c r="N572" s="3"/>
      <c r="O572" s="3"/>
      <c r="P572" s="3"/>
      <c r="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J573" s="3"/>
      <c r="K573" s="3"/>
      <c r="L573" s="3"/>
      <c r="M573" s="3"/>
      <c r="N573" s="3"/>
      <c r="O573" s="3"/>
      <c r="P573" s="3"/>
      <c r="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J574" s="3"/>
      <c r="K574" s="3"/>
      <c r="L574" s="3"/>
      <c r="M574" s="3"/>
      <c r="N574" s="3"/>
      <c r="O574" s="3"/>
      <c r="P574" s="3"/>
      <c r="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J575" s="3"/>
      <c r="K575" s="3"/>
      <c r="L575" s="3"/>
      <c r="M575" s="3"/>
      <c r="N575" s="3"/>
      <c r="O575" s="3"/>
      <c r="P575" s="3"/>
      <c r="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J576" s="3"/>
      <c r="K576" s="3"/>
      <c r="L576" s="3"/>
      <c r="M576" s="3"/>
      <c r="N576" s="3"/>
      <c r="O576" s="3"/>
      <c r="P576" s="3"/>
      <c r="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J577" s="3"/>
      <c r="K577" s="3"/>
      <c r="L577" s="3"/>
      <c r="M577" s="3"/>
      <c r="N577" s="3"/>
      <c r="O577" s="3"/>
      <c r="P577" s="3"/>
      <c r="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J578" s="3"/>
      <c r="K578" s="3"/>
      <c r="L578" s="3"/>
      <c r="M578" s="3"/>
      <c r="N578" s="3"/>
      <c r="O578" s="3"/>
      <c r="P578" s="3"/>
      <c r="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J579" s="3"/>
      <c r="K579" s="3"/>
      <c r="L579" s="3"/>
      <c r="M579" s="3"/>
      <c r="N579" s="3"/>
      <c r="O579" s="3"/>
      <c r="P579" s="3"/>
      <c r="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J580" s="3"/>
      <c r="K580" s="3"/>
      <c r="L580" s="3"/>
      <c r="M580" s="3"/>
      <c r="N580" s="3"/>
      <c r="O580" s="3"/>
      <c r="P580" s="3"/>
      <c r="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J581" s="3"/>
      <c r="K581" s="3"/>
      <c r="L581" s="3"/>
      <c r="M581" s="3"/>
      <c r="N581" s="3"/>
      <c r="O581" s="3"/>
      <c r="P581" s="3"/>
      <c r="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J582" s="3"/>
      <c r="K582" s="3"/>
      <c r="L582" s="3"/>
      <c r="M582" s="3"/>
      <c r="N582" s="3"/>
      <c r="O582" s="3"/>
      <c r="P582" s="3"/>
      <c r="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J583" s="3"/>
      <c r="K583" s="3"/>
      <c r="L583" s="3"/>
      <c r="M583" s="3"/>
      <c r="N583" s="3"/>
      <c r="O583" s="3"/>
      <c r="P583" s="3"/>
      <c r="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J584" s="3"/>
      <c r="K584" s="3"/>
      <c r="L584" s="3"/>
      <c r="M584" s="3"/>
      <c r="N584" s="3"/>
      <c r="O584" s="3"/>
      <c r="P584" s="3"/>
      <c r="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J585" s="3"/>
      <c r="K585" s="3"/>
      <c r="L585" s="3"/>
      <c r="M585" s="3"/>
      <c r="N585" s="3"/>
      <c r="O585" s="3"/>
      <c r="P585" s="3"/>
      <c r="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J586" s="3"/>
      <c r="K586" s="3"/>
      <c r="L586" s="3"/>
      <c r="M586" s="3"/>
      <c r="N586" s="3"/>
      <c r="O586" s="3"/>
      <c r="P586" s="3"/>
      <c r="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J587" s="3"/>
      <c r="K587" s="3"/>
      <c r="L587" s="3"/>
      <c r="M587" s="3"/>
      <c r="N587" s="3"/>
      <c r="O587" s="3"/>
      <c r="P587" s="3"/>
      <c r="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J588" s="3"/>
      <c r="K588" s="3"/>
      <c r="L588" s="3"/>
      <c r="M588" s="3"/>
      <c r="N588" s="3"/>
      <c r="O588" s="3"/>
      <c r="P588" s="3"/>
      <c r="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J589" s="3"/>
      <c r="K589" s="3"/>
      <c r="L589" s="3"/>
      <c r="M589" s="3"/>
      <c r="N589" s="3"/>
      <c r="O589" s="3"/>
      <c r="P589" s="3"/>
      <c r="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J590" s="3"/>
      <c r="K590" s="3"/>
      <c r="L590" s="3"/>
      <c r="M590" s="3"/>
      <c r="N590" s="3"/>
      <c r="O590" s="3"/>
      <c r="P590" s="3"/>
      <c r="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J591" s="3"/>
      <c r="K591" s="3"/>
      <c r="L591" s="3"/>
      <c r="M591" s="3"/>
      <c r="N591" s="3"/>
      <c r="O591" s="3"/>
      <c r="P591" s="3"/>
      <c r="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J592" s="3"/>
      <c r="K592" s="3"/>
      <c r="L592" s="3"/>
      <c r="M592" s="3"/>
      <c r="N592" s="3"/>
      <c r="O592" s="3"/>
      <c r="P592" s="3"/>
      <c r="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J593" s="3"/>
      <c r="K593" s="3"/>
      <c r="L593" s="3"/>
      <c r="M593" s="3"/>
      <c r="N593" s="3"/>
      <c r="O593" s="3"/>
      <c r="P593" s="3"/>
      <c r="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J594" s="3"/>
      <c r="K594" s="3"/>
      <c r="L594" s="3"/>
      <c r="M594" s="3"/>
      <c r="N594" s="3"/>
      <c r="O594" s="3"/>
      <c r="P594" s="3"/>
      <c r="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J595" s="3"/>
      <c r="K595" s="3"/>
      <c r="L595" s="3"/>
      <c r="M595" s="3"/>
      <c r="N595" s="3"/>
      <c r="O595" s="3"/>
      <c r="P595" s="3"/>
      <c r="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J596" s="3"/>
      <c r="K596" s="3"/>
      <c r="L596" s="3"/>
      <c r="M596" s="3"/>
      <c r="N596" s="3"/>
      <c r="O596" s="3"/>
      <c r="P596" s="3"/>
      <c r="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J597" s="3"/>
      <c r="K597" s="3"/>
      <c r="L597" s="3"/>
      <c r="M597" s="3"/>
      <c r="N597" s="3"/>
      <c r="O597" s="3"/>
      <c r="P597" s="3"/>
      <c r="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J598" s="3"/>
      <c r="K598" s="3"/>
      <c r="L598" s="3"/>
      <c r="M598" s="3"/>
      <c r="N598" s="3"/>
      <c r="O598" s="3"/>
      <c r="P598" s="3"/>
      <c r="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J599" s="3"/>
      <c r="K599" s="3"/>
      <c r="L599" s="3"/>
      <c r="M599" s="3"/>
      <c r="N599" s="3"/>
      <c r="O599" s="3"/>
      <c r="P599" s="3"/>
      <c r="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J600" s="3"/>
      <c r="K600" s="3"/>
      <c r="L600" s="3"/>
      <c r="M600" s="3"/>
      <c r="N600" s="3"/>
      <c r="O600" s="3"/>
      <c r="P600" s="3"/>
      <c r="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J601" s="3"/>
      <c r="K601" s="3"/>
      <c r="L601" s="3"/>
      <c r="M601" s="3"/>
      <c r="N601" s="3"/>
      <c r="O601" s="3"/>
      <c r="P601" s="3"/>
      <c r="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J602" s="3"/>
      <c r="K602" s="3"/>
      <c r="L602" s="3"/>
      <c r="M602" s="3"/>
      <c r="N602" s="3"/>
      <c r="O602" s="3"/>
      <c r="P602" s="3"/>
      <c r="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J603" s="3"/>
      <c r="K603" s="3"/>
      <c r="L603" s="3"/>
      <c r="M603" s="3"/>
      <c r="N603" s="3"/>
      <c r="O603" s="3"/>
      <c r="P603" s="3"/>
      <c r="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J604" s="3"/>
      <c r="K604" s="3"/>
      <c r="L604" s="3"/>
      <c r="M604" s="3"/>
      <c r="N604" s="3"/>
      <c r="O604" s="3"/>
      <c r="P604" s="3"/>
      <c r="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J605" s="3"/>
      <c r="K605" s="3"/>
      <c r="L605" s="3"/>
      <c r="M605" s="3"/>
      <c r="N605" s="3"/>
      <c r="O605" s="3"/>
      <c r="P605" s="3"/>
      <c r="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J606" s="3"/>
      <c r="K606" s="3"/>
      <c r="L606" s="3"/>
      <c r="M606" s="3"/>
      <c r="N606" s="3"/>
      <c r="O606" s="3"/>
      <c r="P606" s="3"/>
      <c r="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J607" s="3"/>
      <c r="K607" s="3"/>
      <c r="L607" s="3"/>
      <c r="M607" s="3"/>
      <c r="N607" s="3"/>
      <c r="O607" s="3"/>
      <c r="P607" s="3"/>
      <c r="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J608" s="3"/>
      <c r="K608" s="3"/>
      <c r="L608" s="3"/>
      <c r="M608" s="3"/>
      <c r="N608" s="3"/>
      <c r="O608" s="3"/>
      <c r="P608" s="3"/>
      <c r="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J609" s="3"/>
      <c r="K609" s="3"/>
      <c r="L609" s="3"/>
      <c r="M609" s="3"/>
      <c r="N609" s="3"/>
      <c r="O609" s="3"/>
      <c r="P609" s="3"/>
      <c r="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J610" s="3"/>
      <c r="K610" s="3"/>
      <c r="L610" s="3"/>
      <c r="M610" s="3"/>
      <c r="N610" s="3"/>
      <c r="O610" s="3"/>
      <c r="P610" s="3"/>
      <c r="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J611" s="3"/>
      <c r="K611" s="3"/>
      <c r="L611" s="3"/>
      <c r="M611" s="3"/>
      <c r="N611" s="3"/>
      <c r="O611" s="3"/>
      <c r="P611" s="3"/>
      <c r="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J612" s="3"/>
      <c r="K612" s="3"/>
      <c r="L612" s="3"/>
      <c r="M612" s="3"/>
      <c r="N612" s="3"/>
      <c r="O612" s="3"/>
      <c r="P612" s="3"/>
      <c r="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J613" s="3"/>
      <c r="K613" s="3"/>
      <c r="L613" s="3"/>
      <c r="M613" s="3"/>
      <c r="N613" s="3"/>
      <c r="O613" s="3"/>
      <c r="P613" s="3"/>
      <c r="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J614" s="3"/>
      <c r="K614" s="3"/>
      <c r="L614" s="3"/>
      <c r="M614" s="3"/>
      <c r="N614" s="3"/>
      <c r="O614" s="3"/>
      <c r="P614" s="3"/>
      <c r="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J615" s="3"/>
      <c r="K615" s="3"/>
      <c r="L615" s="3"/>
      <c r="M615" s="3"/>
      <c r="N615" s="3"/>
      <c r="O615" s="3"/>
      <c r="P615" s="3"/>
      <c r="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J616" s="3"/>
      <c r="K616" s="3"/>
      <c r="L616" s="3"/>
      <c r="M616" s="3"/>
      <c r="N616" s="3"/>
      <c r="O616" s="3"/>
      <c r="P616" s="3"/>
      <c r="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J617" s="3"/>
      <c r="K617" s="3"/>
      <c r="L617" s="3"/>
      <c r="M617" s="3"/>
      <c r="N617" s="3"/>
      <c r="O617" s="3"/>
      <c r="P617" s="3"/>
      <c r="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J618" s="3"/>
      <c r="K618" s="3"/>
      <c r="L618" s="3"/>
      <c r="M618" s="3"/>
      <c r="N618" s="3"/>
      <c r="O618" s="3"/>
      <c r="P618" s="3"/>
      <c r="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J619" s="3"/>
      <c r="K619" s="3"/>
      <c r="L619" s="3"/>
      <c r="M619" s="3"/>
      <c r="N619" s="3"/>
      <c r="O619" s="3"/>
      <c r="P619" s="3"/>
      <c r="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J620" s="3"/>
      <c r="K620" s="3"/>
      <c r="L620" s="3"/>
      <c r="M620" s="3"/>
      <c r="N620" s="3"/>
      <c r="O620" s="3"/>
      <c r="P620" s="3"/>
      <c r="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J621" s="3"/>
      <c r="K621" s="3"/>
      <c r="L621" s="3"/>
      <c r="M621" s="3"/>
      <c r="N621" s="3"/>
      <c r="O621" s="3"/>
      <c r="P621" s="3"/>
      <c r="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J622" s="3"/>
      <c r="K622" s="3"/>
      <c r="L622" s="3"/>
      <c r="M622" s="3"/>
      <c r="N622" s="3"/>
      <c r="O622" s="3"/>
      <c r="P622" s="3"/>
      <c r="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J623" s="3"/>
      <c r="K623" s="3"/>
      <c r="L623" s="3"/>
      <c r="M623" s="3"/>
      <c r="N623" s="3"/>
      <c r="O623" s="3"/>
      <c r="P623" s="3"/>
      <c r="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J624" s="3"/>
      <c r="K624" s="3"/>
      <c r="L624" s="3"/>
      <c r="M624" s="3"/>
      <c r="N624" s="3"/>
      <c r="O624" s="3"/>
      <c r="P624" s="3"/>
      <c r="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J625" s="3"/>
      <c r="K625" s="3"/>
      <c r="L625" s="3"/>
      <c r="M625" s="3"/>
      <c r="N625" s="3"/>
      <c r="O625" s="3"/>
      <c r="P625" s="3"/>
      <c r="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J626" s="3"/>
      <c r="K626" s="3"/>
      <c r="L626" s="3"/>
      <c r="M626" s="3"/>
      <c r="N626" s="3"/>
      <c r="O626" s="3"/>
      <c r="P626" s="3"/>
      <c r="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J627" s="3"/>
      <c r="K627" s="3"/>
      <c r="L627" s="3"/>
      <c r="M627" s="3"/>
      <c r="N627" s="3"/>
      <c r="O627" s="3"/>
      <c r="P627" s="3"/>
      <c r="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J628" s="3"/>
      <c r="K628" s="3"/>
      <c r="L628" s="3"/>
      <c r="M628" s="3"/>
      <c r="N628" s="3"/>
      <c r="O628" s="3"/>
      <c r="P628" s="3"/>
      <c r="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J629" s="3"/>
      <c r="K629" s="3"/>
      <c r="L629" s="3"/>
      <c r="M629" s="3"/>
      <c r="N629" s="3"/>
      <c r="O629" s="3"/>
      <c r="P629" s="3"/>
      <c r="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J630" s="3"/>
      <c r="K630" s="3"/>
      <c r="L630" s="3"/>
      <c r="M630" s="3"/>
      <c r="N630" s="3"/>
      <c r="O630" s="3"/>
      <c r="P630" s="3"/>
      <c r="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J631" s="3"/>
      <c r="K631" s="3"/>
      <c r="L631" s="3"/>
      <c r="M631" s="3"/>
      <c r="N631" s="3"/>
      <c r="O631" s="3"/>
      <c r="P631" s="3"/>
      <c r="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J632" s="3"/>
      <c r="K632" s="3"/>
      <c r="L632" s="3"/>
      <c r="M632" s="3"/>
      <c r="N632" s="3"/>
      <c r="O632" s="3"/>
      <c r="P632" s="3"/>
      <c r="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J633" s="3"/>
      <c r="K633" s="3"/>
      <c r="L633" s="3"/>
      <c r="M633" s="3"/>
      <c r="N633" s="3"/>
      <c r="O633" s="3"/>
      <c r="P633" s="3"/>
      <c r="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J634" s="3"/>
      <c r="K634" s="3"/>
      <c r="L634" s="3"/>
      <c r="M634" s="3"/>
      <c r="N634" s="3"/>
      <c r="O634" s="3"/>
      <c r="P634" s="3"/>
      <c r="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J635" s="3"/>
      <c r="K635" s="3"/>
      <c r="L635" s="3"/>
      <c r="M635" s="3"/>
      <c r="N635" s="3"/>
      <c r="O635" s="3"/>
      <c r="P635" s="3"/>
      <c r="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J636" s="3"/>
      <c r="K636" s="3"/>
      <c r="L636" s="3"/>
      <c r="M636" s="3"/>
      <c r="N636" s="3"/>
      <c r="O636" s="3"/>
      <c r="P636" s="3"/>
      <c r="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J637" s="3"/>
      <c r="K637" s="3"/>
      <c r="L637" s="3"/>
      <c r="M637" s="3"/>
      <c r="N637" s="3"/>
      <c r="O637" s="3"/>
      <c r="P637" s="3"/>
      <c r="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J638" s="3"/>
      <c r="K638" s="3"/>
      <c r="L638" s="3"/>
      <c r="M638" s="3"/>
      <c r="N638" s="3"/>
      <c r="O638" s="3"/>
      <c r="P638" s="3"/>
      <c r="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J639" s="3"/>
      <c r="K639" s="3"/>
      <c r="L639" s="3"/>
      <c r="M639" s="3"/>
      <c r="N639" s="3"/>
      <c r="O639" s="3"/>
      <c r="P639" s="3"/>
      <c r="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J640" s="3"/>
      <c r="K640" s="3"/>
      <c r="L640" s="3"/>
      <c r="M640" s="3"/>
      <c r="N640" s="3"/>
      <c r="O640" s="3"/>
      <c r="P640" s="3"/>
      <c r="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J641" s="3"/>
      <c r="K641" s="3"/>
      <c r="L641" s="3"/>
      <c r="M641" s="3"/>
      <c r="N641" s="3"/>
      <c r="O641" s="3"/>
      <c r="P641" s="3"/>
      <c r="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J642" s="3"/>
      <c r="K642" s="3"/>
      <c r="L642" s="3"/>
      <c r="M642" s="3"/>
      <c r="N642" s="3"/>
      <c r="O642" s="3"/>
      <c r="P642" s="3"/>
      <c r="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J643" s="3"/>
      <c r="K643" s="3"/>
      <c r="L643" s="3"/>
      <c r="M643" s="3"/>
      <c r="N643" s="3"/>
      <c r="O643" s="3"/>
      <c r="P643" s="3"/>
      <c r="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J644" s="3"/>
      <c r="K644" s="3"/>
      <c r="L644" s="3"/>
      <c r="M644" s="3"/>
      <c r="N644" s="3"/>
      <c r="O644" s="3"/>
      <c r="P644" s="3"/>
      <c r="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J645" s="3"/>
      <c r="K645" s="3"/>
      <c r="L645" s="3"/>
      <c r="M645" s="3"/>
      <c r="N645" s="3"/>
      <c r="O645" s="3"/>
      <c r="P645" s="3"/>
      <c r="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J646" s="3"/>
      <c r="K646" s="3"/>
      <c r="L646" s="3"/>
      <c r="M646" s="3"/>
      <c r="N646" s="3"/>
      <c r="O646" s="3"/>
      <c r="P646" s="3"/>
      <c r="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J647" s="3"/>
      <c r="K647" s="3"/>
      <c r="L647" s="3"/>
      <c r="M647" s="3"/>
      <c r="N647" s="3"/>
      <c r="O647" s="3"/>
      <c r="P647" s="3"/>
      <c r="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J648" s="3"/>
      <c r="K648" s="3"/>
      <c r="L648" s="3"/>
      <c r="M648" s="3"/>
      <c r="N648" s="3"/>
      <c r="O648" s="3"/>
      <c r="P648" s="3"/>
      <c r="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J649" s="3"/>
      <c r="K649" s="3"/>
      <c r="L649" s="3"/>
      <c r="M649" s="3"/>
      <c r="N649" s="3"/>
      <c r="O649" s="3"/>
      <c r="P649" s="3"/>
      <c r="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J650" s="3"/>
      <c r="K650" s="3"/>
      <c r="L650" s="3"/>
      <c r="M650" s="3"/>
      <c r="N650" s="3"/>
      <c r="O650" s="3"/>
      <c r="P650" s="3"/>
      <c r="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J651" s="3"/>
      <c r="K651" s="3"/>
      <c r="L651" s="3"/>
      <c r="M651" s="3"/>
      <c r="N651" s="3"/>
      <c r="O651" s="3"/>
      <c r="P651" s="3"/>
      <c r="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J652" s="3"/>
      <c r="K652" s="3"/>
      <c r="L652" s="3"/>
      <c r="M652" s="3"/>
      <c r="N652" s="3"/>
      <c r="O652" s="3"/>
      <c r="P652" s="3"/>
      <c r="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J653" s="3"/>
      <c r="K653" s="3"/>
      <c r="L653" s="3"/>
      <c r="M653" s="3"/>
      <c r="N653" s="3"/>
      <c r="O653" s="3"/>
      <c r="P653" s="3"/>
      <c r="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J654" s="3"/>
      <c r="K654" s="3"/>
      <c r="L654" s="3"/>
      <c r="M654" s="3"/>
      <c r="N654" s="3"/>
      <c r="O654" s="3"/>
      <c r="P654" s="3"/>
      <c r="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J655" s="3"/>
      <c r="K655" s="3"/>
      <c r="L655" s="3"/>
      <c r="M655" s="3"/>
      <c r="N655" s="3"/>
      <c r="O655" s="3"/>
      <c r="P655" s="3"/>
      <c r="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J656" s="3"/>
      <c r="K656" s="3"/>
      <c r="L656" s="3"/>
      <c r="M656" s="3"/>
      <c r="N656" s="3"/>
      <c r="O656" s="3"/>
      <c r="P656" s="3"/>
      <c r="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J657" s="3"/>
      <c r="K657" s="3"/>
      <c r="L657" s="3"/>
      <c r="M657" s="3"/>
      <c r="N657" s="3"/>
      <c r="O657" s="3"/>
      <c r="P657" s="3"/>
      <c r="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J658" s="3"/>
      <c r="K658" s="3"/>
      <c r="L658" s="3"/>
      <c r="M658" s="3"/>
      <c r="N658" s="3"/>
      <c r="O658" s="3"/>
      <c r="P658" s="3"/>
      <c r="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J659" s="3"/>
      <c r="K659" s="3"/>
      <c r="L659" s="3"/>
      <c r="M659" s="3"/>
      <c r="N659" s="3"/>
      <c r="O659" s="3"/>
      <c r="P659" s="3"/>
      <c r="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J660" s="3"/>
      <c r="K660" s="3"/>
      <c r="L660" s="3"/>
      <c r="M660" s="3"/>
      <c r="N660" s="3"/>
      <c r="O660" s="3"/>
      <c r="P660" s="3"/>
      <c r="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J661" s="3"/>
      <c r="K661" s="3"/>
      <c r="L661" s="3"/>
      <c r="M661" s="3"/>
      <c r="N661" s="3"/>
      <c r="O661" s="3"/>
      <c r="P661" s="3"/>
      <c r="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J662" s="3"/>
      <c r="K662" s="3"/>
      <c r="L662" s="3"/>
      <c r="M662" s="3"/>
      <c r="N662" s="3"/>
      <c r="O662" s="3"/>
      <c r="P662" s="3"/>
      <c r="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J663" s="3"/>
      <c r="K663" s="3"/>
      <c r="L663" s="3"/>
      <c r="M663" s="3"/>
      <c r="N663" s="3"/>
      <c r="O663" s="3"/>
      <c r="P663" s="3"/>
      <c r="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J664" s="3"/>
      <c r="K664" s="3"/>
      <c r="L664" s="3"/>
      <c r="M664" s="3"/>
      <c r="N664" s="3"/>
      <c r="O664" s="3"/>
      <c r="P664" s="3"/>
      <c r="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J665" s="3"/>
      <c r="K665" s="3"/>
      <c r="L665" s="3"/>
      <c r="M665" s="3"/>
      <c r="N665" s="3"/>
      <c r="O665" s="3"/>
      <c r="P665" s="3"/>
      <c r="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J666" s="3"/>
      <c r="K666" s="3"/>
      <c r="L666" s="3"/>
      <c r="M666" s="3"/>
      <c r="N666" s="3"/>
      <c r="O666" s="3"/>
      <c r="P666" s="3"/>
      <c r="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J667" s="3"/>
      <c r="K667" s="3"/>
      <c r="L667" s="3"/>
      <c r="M667" s="3"/>
      <c r="N667" s="3"/>
      <c r="O667" s="3"/>
      <c r="P667" s="3"/>
      <c r="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J668" s="3"/>
      <c r="K668" s="3"/>
      <c r="L668" s="3"/>
      <c r="M668" s="3"/>
      <c r="N668" s="3"/>
      <c r="O668" s="3"/>
      <c r="P668" s="3"/>
      <c r="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J669" s="3"/>
      <c r="K669" s="3"/>
      <c r="L669" s="3"/>
      <c r="M669" s="3"/>
      <c r="N669" s="3"/>
      <c r="O669" s="3"/>
      <c r="P669" s="3"/>
      <c r="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J670" s="3"/>
      <c r="K670" s="3"/>
      <c r="L670" s="3"/>
      <c r="M670" s="3"/>
      <c r="N670" s="3"/>
      <c r="O670" s="3"/>
      <c r="P670" s="3"/>
      <c r="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J671" s="3"/>
      <c r="K671" s="3"/>
      <c r="L671" s="3"/>
      <c r="M671" s="3"/>
      <c r="N671" s="3"/>
      <c r="O671" s="3"/>
      <c r="P671" s="3"/>
      <c r="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J672" s="3"/>
      <c r="K672" s="3"/>
      <c r="L672" s="3"/>
      <c r="M672" s="3"/>
      <c r="N672" s="3"/>
      <c r="O672" s="3"/>
      <c r="P672" s="3"/>
      <c r="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J673" s="3"/>
      <c r="K673" s="3"/>
      <c r="L673" s="3"/>
      <c r="M673" s="3"/>
      <c r="N673" s="3"/>
      <c r="O673" s="3"/>
      <c r="P673" s="3"/>
      <c r="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J674" s="3"/>
      <c r="K674" s="3"/>
      <c r="L674" s="3"/>
      <c r="M674" s="3"/>
      <c r="N674" s="3"/>
      <c r="O674" s="3"/>
      <c r="P674" s="3"/>
      <c r="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J675" s="3"/>
      <c r="K675" s="3"/>
      <c r="L675" s="3"/>
      <c r="M675" s="3"/>
      <c r="N675" s="3"/>
      <c r="O675" s="3"/>
      <c r="P675" s="3"/>
      <c r="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J676" s="3"/>
      <c r="K676" s="3"/>
      <c r="L676" s="3"/>
      <c r="M676" s="3"/>
      <c r="N676" s="3"/>
      <c r="O676" s="3"/>
      <c r="P676" s="3"/>
      <c r="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J677" s="3"/>
      <c r="K677" s="3"/>
      <c r="L677" s="3"/>
      <c r="M677" s="3"/>
      <c r="N677" s="3"/>
      <c r="O677" s="3"/>
      <c r="P677" s="3"/>
      <c r="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J678" s="3"/>
      <c r="K678" s="3"/>
      <c r="L678" s="3"/>
      <c r="M678" s="3"/>
      <c r="N678" s="3"/>
      <c r="O678" s="3"/>
      <c r="P678" s="3"/>
      <c r="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J679" s="3"/>
      <c r="K679" s="3"/>
      <c r="L679" s="3"/>
      <c r="M679" s="3"/>
      <c r="N679" s="3"/>
      <c r="O679" s="3"/>
      <c r="P679" s="3"/>
      <c r="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J680" s="3"/>
      <c r="K680" s="3"/>
      <c r="L680" s="3"/>
      <c r="M680" s="3"/>
      <c r="N680" s="3"/>
      <c r="O680" s="3"/>
      <c r="P680" s="3"/>
      <c r="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J681" s="3"/>
      <c r="K681" s="3"/>
      <c r="L681" s="3"/>
      <c r="M681" s="3"/>
      <c r="N681" s="3"/>
      <c r="O681" s="3"/>
      <c r="P681" s="3"/>
      <c r="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J682" s="3"/>
      <c r="K682" s="3"/>
      <c r="L682" s="3"/>
      <c r="M682" s="3"/>
      <c r="N682" s="3"/>
      <c r="O682" s="3"/>
      <c r="P682" s="3"/>
      <c r="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J683" s="3"/>
      <c r="K683" s="3"/>
      <c r="L683" s="3"/>
      <c r="M683" s="3"/>
      <c r="N683" s="3"/>
      <c r="O683" s="3"/>
      <c r="P683" s="3"/>
      <c r="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J684" s="3"/>
      <c r="K684" s="3"/>
      <c r="L684" s="3"/>
      <c r="M684" s="3"/>
      <c r="N684" s="3"/>
      <c r="O684" s="3"/>
      <c r="P684" s="3"/>
      <c r="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J685" s="3"/>
      <c r="K685" s="3"/>
      <c r="L685" s="3"/>
      <c r="M685" s="3"/>
      <c r="N685" s="3"/>
      <c r="O685" s="3"/>
      <c r="P685" s="3"/>
      <c r="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J686" s="3"/>
      <c r="K686" s="3"/>
      <c r="L686" s="3"/>
      <c r="M686" s="3"/>
      <c r="N686" s="3"/>
      <c r="O686" s="3"/>
      <c r="P686" s="3"/>
      <c r="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J687" s="3"/>
      <c r="K687" s="3"/>
      <c r="L687" s="3"/>
      <c r="M687" s="3"/>
      <c r="N687" s="3"/>
      <c r="O687" s="3"/>
      <c r="P687" s="3"/>
      <c r="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J688" s="3"/>
      <c r="K688" s="3"/>
      <c r="L688" s="3"/>
      <c r="M688" s="3"/>
      <c r="N688" s="3"/>
      <c r="O688" s="3"/>
      <c r="P688" s="3"/>
      <c r="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J689" s="3"/>
      <c r="K689" s="3"/>
      <c r="L689" s="3"/>
      <c r="M689" s="3"/>
      <c r="N689" s="3"/>
      <c r="O689" s="3"/>
      <c r="P689" s="3"/>
      <c r="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J690" s="3"/>
      <c r="K690" s="3"/>
      <c r="L690" s="3"/>
      <c r="M690" s="3"/>
      <c r="N690" s="3"/>
      <c r="O690" s="3"/>
      <c r="P690" s="3"/>
      <c r="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J691" s="3"/>
      <c r="K691" s="3"/>
      <c r="L691" s="3"/>
      <c r="M691" s="3"/>
      <c r="N691" s="3"/>
      <c r="O691" s="3"/>
      <c r="P691" s="3"/>
      <c r="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J692" s="3"/>
      <c r="K692" s="3"/>
      <c r="L692" s="3"/>
      <c r="M692" s="3"/>
      <c r="N692" s="3"/>
      <c r="O692" s="3"/>
      <c r="P692" s="3"/>
      <c r="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J693" s="3"/>
      <c r="K693" s="3"/>
      <c r="L693" s="3"/>
      <c r="M693" s="3"/>
      <c r="N693" s="3"/>
      <c r="O693" s="3"/>
      <c r="P693" s="3"/>
      <c r="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J694" s="3"/>
      <c r="K694" s="3"/>
      <c r="L694" s="3"/>
      <c r="M694" s="3"/>
      <c r="N694" s="3"/>
      <c r="O694" s="3"/>
      <c r="P694" s="3"/>
      <c r="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J695" s="3"/>
      <c r="K695" s="3"/>
      <c r="L695" s="3"/>
      <c r="M695" s="3"/>
      <c r="N695" s="3"/>
      <c r="O695" s="3"/>
      <c r="P695" s="3"/>
      <c r="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J696" s="3"/>
      <c r="K696" s="3"/>
      <c r="L696" s="3"/>
      <c r="M696" s="3"/>
      <c r="N696" s="3"/>
      <c r="O696" s="3"/>
      <c r="P696" s="3"/>
      <c r="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J697" s="3"/>
      <c r="K697" s="3"/>
      <c r="L697" s="3"/>
      <c r="M697" s="3"/>
      <c r="N697" s="3"/>
      <c r="O697" s="3"/>
      <c r="P697" s="3"/>
      <c r="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J698" s="3"/>
      <c r="K698" s="3"/>
      <c r="L698" s="3"/>
      <c r="M698" s="3"/>
      <c r="N698" s="3"/>
      <c r="O698" s="3"/>
      <c r="P698" s="3"/>
      <c r="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J699" s="3"/>
      <c r="K699" s="3"/>
      <c r="L699" s="3"/>
      <c r="M699" s="3"/>
      <c r="N699" s="3"/>
      <c r="O699" s="3"/>
      <c r="P699" s="3"/>
      <c r="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J700" s="3"/>
      <c r="K700" s="3"/>
      <c r="L700" s="3"/>
      <c r="M700" s="3"/>
      <c r="N700" s="3"/>
      <c r="O700" s="3"/>
      <c r="P700" s="3"/>
      <c r="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J701" s="3"/>
      <c r="K701" s="3"/>
      <c r="L701" s="3"/>
      <c r="M701" s="3"/>
      <c r="N701" s="3"/>
      <c r="O701" s="3"/>
      <c r="P701" s="3"/>
      <c r="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J702" s="3"/>
      <c r="K702" s="3"/>
      <c r="L702" s="3"/>
      <c r="M702" s="3"/>
      <c r="N702" s="3"/>
      <c r="O702" s="3"/>
      <c r="P702" s="3"/>
      <c r="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J703" s="3"/>
      <c r="K703" s="3"/>
      <c r="L703" s="3"/>
      <c r="M703" s="3"/>
      <c r="N703" s="3"/>
      <c r="O703" s="3"/>
      <c r="P703" s="3"/>
      <c r="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J704" s="3"/>
      <c r="K704" s="3"/>
      <c r="L704" s="3"/>
      <c r="M704" s="3"/>
      <c r="N704" s="3"/>
      <c r="O704" s="3"/>
      <c r="P704" s="3"/>
      <c r="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J705" s="3"/>
      <c r="K705" s="3"/>
      <c r="L705" s="3"/>
      <c r="M705" s="3"/>
      <c r="N705" s="3"/>
      <c r="O705" s="3"/>
      <c r="P705" s="3"/>
      <c r="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J706" s="3"/>
      <c r="K706" s="3"/>
      <c r="L706" s="3"/>
      <c r="M706" s="3"/>
      <c r="N706" s="3"/>
      <c r="O706" s="3"/>
      <c r="P706" s="3"/>
      <c r="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J707" s="3"/>
      <c r="K707" s="3"/>
      <c r="L707" s="3"/>
      <c r="M707" s="3"/>
      <c r="N707" s="3"/>
      <c r="O707" s="3"/>
      <c r="P707" s="3"/>
      <c r="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J708" s="3"/>
      <c r="K708" s="3"/>
      <c r="L708" s="3"/>
      <c r="M708" s="3"/>
      <c r="N708" s="3"/>
      <c r="O708" s="3"/>
      <c r="P708" s="3"/>
      <c r="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J709" s="3"/>
      <c r="K709" s="3"/>
      <c r="L709" s="3"/>
      <c r="M709" s="3"/>
      <c r="N709" s="3"/>
      <c r="O709" s="3"/>
      <c r="P709" s="3"/>
      <c r="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J710" s="3"/>
      <c r="K710" s="3"/>
      <c r="L710" s="3"/>
      <c r="M710" s="3"/>
      <c r="N710" s="3"/>
      <c r="O710" s="3"/>
      <c r="P710" s="3"/>
      <c r="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J711" s="3"/>
      <c r="K711" s="3"/>
      <c r="L711" s="3"/>
      <c r="M711" s="3"/>
      <c r="N711" s="3"/>
      <c r="O711" s="3"/>
      <c r="P711" s="3"/>
      <c r="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J712" s="3"/>
      <c r="K712" s="3"/>
      <c r="L712" s="3"/>
      <c r="M712" s="3"/>
      <c r="N712" s="3"/>
      <c r="O712" s="3"/>
      <c r="P712" s="3"/>
      <c r="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J713" s="3"/>
      <c r="K713" s="3"/>
      <c r="L713" s="3"/>
      <c r="M713" s="3"/>
      <c r="N713" s="3"/>
      <c r="O713" s="3"/>
      <c r="P713" s="3"/>
      <c r="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J714" s="3"/>
      <c r="K714" s="3"/>
      <c r="L714" s="3"/>
      <c r="M714" s="3"/>
      <c r="N714" s="3"/>
      <c r="O714" s="3"/>
      <c r="P714" s="3"/>
      <c r="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J715" s="3"/>
      <c r="K715" s="3"/>
      <c r="L715" s="3"/>
      <c r="M715" s="3"/>
      <c r="N715" s="3"/>
      <c r="O715" s="3"/>
      <c r="P715" s="3"/>
      <c r="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J716" s="3"/>
      <c r="K716" s="3"/>
      <c r="L716" s="3"/>
      <c r="M716" s="3"/>
      <c r="N716" s="3"/>
      <c r="O716" s="3"/>
      <c r="P716" s="3"/>
      <c r="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J717" s="3"/>
      <c r="K717" s="3"/>
      <c r="L717" s="3"/>
      <c r="M717" s="3"/>
      <c r="N717" s="3"/>
      <c r="O717" s="3"/>
      <c r="P717" s="3"/>
      <c r="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J718" s="3"/>
      <c r="K718" s="3"/>
      <c r="L718" s="3"/>
      <c r="M718" s="3"/>
      <c r="N718" s="3"/>
      <c r="O718" s="3"/>
      <c r="P718" s="3"/>
      <c r="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J719" s="3"/>
      <c r="K719" s="3"/>
      <c r="L719" s="3"/>
      <c r="M719" s="3"/>
      <c r="N719" s="3"/>
      <c r="O719" s="3"/>
      <c r="P719" s="3"/>
      <c r="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J720" s="3"/>
      <c r="K720" s="3"/>
      <c r="L720" s="3"/>
      <c r="M720" s="3"/>
      <c r="N720" s="3"/>
      <c r="O720" s="3"/>
      <c r="P720" s="3"/>
      <c r="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J721" s="3"/>
      <c r="K721" s="3"/>
      <c r="L721" s="3"/>
      <c r="M721" s="3"/>
      <c r="N721" s="3"/>
      <c r="O721" s="3"/>
      <c r="P721" s="3"/>
      <c r="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J722" s="3"/>
      <c r="K722" s="3"/>
      <c r="L722" s="3"/>
      <c r="M722" s="3"/>
      <c r="N722" s="3"/>
      <c r="O722" s="3"/>
      <c r="P722" s="3"/>
      <c r="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J723" s="3"/>
      <c r="K723" s="3"/>
      <c r="L723" s="3"/>
      <c r="M723" s="3"/>
      <c r="N723" s="3"/>
      <c r="O723" s="3"/>
      <c r="P723" s="3"/>
      <c r="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J724" s="3"/>
      <c r="K724" s="3"/>
      <c r="L724" s="3"/>
      <c r="M724" s="3"/>
      <c r="N724" s="3"/>
      <c r="O724" s="3"/>
      <c r="P724" s="3"/>
      <c r="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J725" s="3"/>
      <c r="K725" s="3"/>
      <c r="L725" s="3"/>
      <c r="M725" s="3"/>
      <c r="N725" s="3"/>
      <c r="O725" s="3"/>
      <c r="P725" s="3"/>
      <c r="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J726" s="3"/>
      <c r="K726" s="3"/>
      <c r="L726" s="3"/>
      <c r="M726" s="3"/>
      <c r="N726" s="3"/>
      <c r="O726" s="3"/>
      <c r="P726" s="3"/>
      <c r="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J727" s="3"/>
      <c r="K727" s="3"/>
      <c r="L727" s="3"/>
      <c r="M727" s="3"/>
      <c r="N727" s="3"/>
      <c r="O727" s="3"/>
      <c r="P727" s="3"/>
      <c r="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J728" s="3"/>
      <c r="K728" s="3"/>
      <c r="L728" s="3"/>
      <c r="M728" s="3"/>
      <c r="N728" s="3"/>
      <c r="O728" s="3"/>
      <c r="P728" s="3"/>
      <c r="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J729" s="3"/>
      <c r="K729" s="3"/>
      <c r="L729" s="3"/>
      <c r="M729" s="3"/>
      <c r="N729" s="3"/>
      <c r="O729" s="3"/>
      <c r="P729" s="3"/>
      <c r="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J730" s="3"/>
      <c r="K730" s="3"/>
      <c r="L730" s="3"/>
      <c r="M730" s="3"/>
      <c r="N730" s="3"/>
      <c r="O730" s="3"/>
      <c r="P730" s="3"/>
      <c r="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J731" s="3"/>
      <c r="K731" s="3"/>
      <c r="L731" s="3"/>
      <c r="M731" s="3"/>
      <c r="N731" s="3"/>
      <c r="O731" s="3"/>
      <c r="P731" s="3"/>
      <c r="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J732" s="3"/>
      <c r="K732" s="3"/>
      <c r="L732" s="3"/>
      <c r="M732" s="3"/>
      <c r="N732" s="3"/>
      <c r="O732" s="3"/>
      <c r="P732" s="3"/>
      <c r="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J733" s="3"/>
      <c r="K733" s="3"/>
      <c r="L733" s="3"/>
      <c r="M733" s="3"/>
      <c r="N733" s="3"/>
      <c r="O733" s="3"/>
      <c r="P733" s="3"/>
      <c r="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J734" s="3"/>
      <c r="K734" s="3"/>
      <c r="L734" s="3"/>
      <c r="M734" s="3"/>
      <c r="N734" s="3"/>
      <c r="O734" s="3"/>
      <c r="P734" s="3"/>
      <c r="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J735" s="3"/>
      <c r="K735" s="3"/>
      <c r="L735" s="3"/>
      <c r="M735" s="3"/>
      <c r="N735" s="3"/>
      <c r="O735" s="3"/>
      <c r="P735" s="3"/>
      <c r="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J736" s="3"/>
      <c r="K736" s="3"/>
      <c r="L736" s="3"/>
      <c r="M736" s="3"/>
      <c r="N736" s="3"/>
      <c r="O736" s="3"/>
      <c r="P736" s="3"/>
      <c r="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J737" s="3"/>
      <c r="K737" s="3"/>
      <c r="L737" s="3"/>
      <c r="M737" s="3"/>
      <c r="N737" s="3"/>
      <c r="O737" s="3"/>
      <c r="P737" s="3"/>
      <c r="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J738" s="3"/>
      <c r="K738" s="3"/>
      <c r="L738" s="3"/>
      <c r="M738" s="3"/>
      <c r="N738" s="3"/>
      <c r="O738" s="3"/>
      <c r="P738" s="3"/>
      <c r="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J739" s="3"/>
      <c r="K739" s="3"/>
      <c r="L739" s="3"/>
      <c r="M739" s="3"/>
      <c r="N739" s="3"/>
      <c r="O739" s="3"/>
      <c r="P739" s="3"/>
      <c r="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J740" s="3"/>
      <c r="K740" s="3"/>
      <c r="L740" s="3"/>
      <c r="M740" s="3"/>
      <c r="N740" s="3"/>
      <c r="O740" s="3"/>
      <c r="P740" s="3"/>
      <c r="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J741" s="3"/>
      <c r="K741" s="3"/>
      <c r="L741" s="3"/>
      <c r="M741" s="3"/>
      <c r="N741" s="3"/>
      <c r="O741" s="3"/>
      <c r="P741" s="3"/>
      <c r="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J742" s="3"/>
      <c r="K742" s="3"/>
      <c r="L742" s="3"/>
      <c r="M742" s="3"/>
      <c r="N742" s="3"/>
      <c r="O742" s="3"/>
      <c r="P742" s="3"/>
      <c r="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J743" s="3"/>
      <c r="K743" s="3"/>
      <c r="L743" s="3"/>
      <c r="M743" s="3"/>
      <c r="N743" s="3"/>
      <c r="O743" s="3"/>
      <c r="P743" s="3"/>
      <c r="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J744" s="3"/>
      <c r="K744" s="3"/>
      <c r="L744" s="3"/>
      <c r="M744" s="3"/>
      <c r="N744" s="3"/>
      <c r="O744" s="3"/>
      <c r="P744" s="3"/>
      <c r="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J745" s="3"/>
      <c r="K745" s="3"/>
      <c r="L745" s="3"/>
      <c r="M745" s="3"/>
      <c r="N745" s="3"/>
      <c r="O745" s="3"/>
      <c r="P745" s="3"/>
      <c r="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J746" s="3"/>
      <c r="K746" s="3"/>
      <c r="L746" s="3"/>
      <c r="M746" s="3"/>
      <c r="N746" s="3"/>
      <c r="O746" s="3"/>
      <c r="P746" s="3"/>
      <c r="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J747" s="3"/>
      <c r="K747" s="3"/>
      <c r="L747" s="3"/>
      <c r="M747" s="3"/>
      <c r="N747" s="3"/>
      <c r="O747" s="3"/>
      <c r="P747" s="3"/>
      <c r="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J748" s="3"/>
      <c r="K748" s="3"/>
      <c r="L748" s="3"/>
      <c r="M748" s="3"/>
      <c r="N748" s="3"/>
      <c r="O748" s="3"/>
      <c r="P748" s="3"/>
      <c r="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J749" s="3"/>
      <c r="K749" s="3"/>
      <c r="L749" s="3"/>
      <c r="M749" s="3"/>
      <c r="N749" s="3"/>
      <c r="O749" s="3"/>
      <c r="P749" s="3"/>
      <c r="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J750" s="3"/>
      <c r="K750" s="3"/>
      <c r="L750" s="3"/>
      <c r="M750" s="3"/>
      <c r="N750" s="3"/>
      <c r="O750" s="3"/>
      <c r="P750" s="3"/>
      <c r="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J751" s="3"/>
      <c r="K751" s="3"/>
      <c r="L751" s="3"/>
      <c r="M751" s="3"/>
      <c r="N751" s="3"/>
      <c r="O751" s="3"/>
      <c r="P751" s="3"/>
      <c r="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J752" s="3"/>
      <c r="K752" s="3"/>
      <c r="L752" s="3"/>
      <c r="M752" s="3"/>
      <c r="N752" s="3"/>
      <c r="O752" s="3"/>
      <c r="P752" s="3"/>
      <c r="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J753" s="3"/>
      <c r="K753" s="3"/>
      <c r="L753" s="3"/>
      <c r="M753" s="3"/>
      <c r="N753" s="3"/>
      <c r="O753" s="3"/>
      <c r="P753" s="3"/>
      <c r="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J754" s="3"/>
      <c r="K754" s="3"/>
      <c r="L754" s="3"/>
      <c r="M754" s="3"/>
      <c r="N754" s="3"/>
      <c r="O754" s="3"/>
      <c r="P754" s="3"/>
      <c r="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J755" s="3"/>
      <c r="K755" s="3"/>
      <c r="L755" s="3"/>
      <c r="M755" s="3"/>
      <c r="N755" s="3"/>
      <c r="O755" s="3"/>
      <c r="P755" s="3"/>
      <c r="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J756" s="3"/>
      <c r="K756" s="3"/>
      <c r="L756" s="3"/>
      <c r="M756" s="3"/>
      <c r="N756" s="3"/>
      <c r="O756" s="3"/>
      <c r="P756" s="3"/>
      <c r="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J757" s="3"/>
      <c r="K757" s="3"/>
      <c r="L757" s="3"/>
      <c r="M757" s="3"/>
      <c r="N757" s="3"/>
      <c r="O757" s="3"/>
      <c r="P757" s="3"/>
      <c r="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J758" s="3"/>
      <c r="K758" s="3"/>
      <c r="L758" s="3"/>
      <c r="M758" s="3"/>
      <c r="N758" s="3"/>
      <c r="O758" s="3"/>
      <c r="P758" s="3"/>
      <c r="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J759" s="3"/>
      <c r="K759" s="3"/>
      <c r="L759" s="3"/>
      <c r="M759" s="3"/>
      <c r="N759" s="3"/>
      <c r="O759" s="3"/>
      <c r="P759" s="3"/>
      <c r="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J760" s="3"/>
      <c r="K760" s="3"/>
      <c r="L760" s="3"/>
      <c r="M760" s="3"/>
      <c r="N760" s="3"/>
      <c r="O760" s="3"/>
      <c r="P760" s="3"/>
      <c r="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J761" s="3"/>
      <c r="K761" s="3"/>
      <c r="L761" s="3"/>
      <c r="M761" s="3"/>
      <c r="N761" s="3"/>
      <c r="O761" s="3"/>
      <c r="P761" s="3"/>
      <c r="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J762" s="3"/>
      <c r="K762" s="3"/>
      <c r="L762" s="3"/>
      <c r="M762" s="3"/>
      <c r="N762" s="3"/>
      <c r="O762" s="3"/>
      <c r="P762" s="3"/>
      <c r="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J763" s="3"/>
      <c r="K763" s="3"/>
      <c r="L763" s="3"/>
      <c r="M763" s="3"/>
      <c r="N763" s="3"/>
      <c r="O763" s="3"/>
      <c r="P763" s="3"/>
      <c r="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J764" s="3"/>
      <c r="K764" s="3"/>
      <c r="L764" s="3"/>
      <c r="M764" s="3"/>
      <c r="N764" s="3"/>
      <c r="O764" s="3"/>
      <c r="P764" s="3"/>
      <c r="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J765" s="3"/>
      <c r="K765" s="3"/>
      <c r="L765" s="3"/>
      <c r="M765" s="3"/>
      <c r="N765" s="3"/>
      <c r="O765" s="3"/>
      <c r="P765" s="3"/>
      <c r="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J766" s="3"/>
      <c r="K766" s="3"/>
      <c r="L766" s="3"/>
      <c r="M766" s="3"/>
      <c r="N766" s="3"/>
      <c r="O766" s="3"/>
      <c r="P766" s="3"/>
      <c r="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J767" s="3"/>
      <c r="K767" s="3"/>
      <c r="L767" s="3"/>
      <c r="M767" s="3"/>
      <c r="N767" s="3"/>
      <c r="O767" s="3"/>
      <c r="P767" s="3"/>
      <c r="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J768" s="3"/>
      <c r="K768" s="3"/>
      <c r="L768" s="3"/>
      <c r="M768" s="3"/>
      <c r="N768" s="3"/>
      <c r="O768" s="3"/>
      <c r="P768" s="3"/>
      <c r="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J769" s="3"/>
      <c r="K769" s="3"/>
      <c r="L769" s="3"/>
      <c r="M769" s="3"/>
      <c r="N769" s="3"/>
      <c r="O769" s="3"/>
      <c r="P769" s="3"/>
      <c r="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J770" s="3"/>
      <c r="K770" s="3"/>
      <c r="L770" s="3"/>
      <c r="M770" s="3"/>
      <c r="N770" s="3"/>
      <c r="O770" s="3"/>
      <c r="P770" s="3"/>
      <c r="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J771" s="3"/>
      <c r="K771" s="3"/>
      <c r="L771" s="3"/>
      <c r="M771" s="3"/>
      <c r="N771" s="3"/>
      <c r="O771" s="3"/>
      <c r="P771" s="3"/>
      <c r="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J772" s="3"/>
      <c r="K772" s="3"/>
      <c r="L772" s="3"/>
      <c r="M772" s="3"/>
      <c r="N772" s="3"/>
      <c r="O772" s="3"/>
      <c r="P772" s="3"/>
      <c r="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J773" s="3"/>
      <c r="K773" s="3"/>
      <c r="L773" s="3"/>
      <c r="M773" s="3"/>
      <c r="N773" s="3"/>
      <c r="O773" s="3"/>
      <c r="P773" s="3"/>
      <c r="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J774" s="3"/>
      <c r="K774" s="3"/>
      <c r="L774" s="3"/>
      <c r="M774" s="3"/>
      <c r="N774" s="3"/>
      <c r="O774" s="3"/>
      <c r="P774" s="3"/>
      <c r="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J775" s="3"/>
      <c r="K775" s="3"/>
      <c r="L775" s="3"/>
      <c r="M775" s="3"/>
      <c r="N775" s="3"/>
      <c r="O775" s="3"/>
      <c r="P775" s="3"/>
      <c r="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J776" s="3"/>
      <c r="K776" s="3"/>
      <c r="L776" s="3"/>
      <c r="M776" s="3"/>
      <c r="N776" s="3"/>
      <c r="O776" s="3"/>
      <c r="P776" s="3"/>
      <c r="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J777" s="3"/>
      <c r="K777" s="3"/>
      <c r="L777" s="3"/>
      <c r="M777" s="3"/>
      <c r="N777" s="3"/>
      <c r="O777" s="3"/>
      <c r="P777" s="3"/>
      <c r="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J778" s="3"/>
      <c r="K778" s="3"/>
      <c r="L778" s="3"/>
      <c r="M778" s="3"/>
      <c r="N778" s="3"/>
      <c r="O778" s="3"/>
      <c r="P778" s="3"/>
      <c r="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J779" s="3"/>
      <c r="K779" s="3"/>
      <c r="L779" s="3"/>
      <c r="M779" s="3"/>
      <c r="N779" s="3"/>
      <c r="O779" s="3"/>
      <c r="P779" s="3"/>
      <c r="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J780" s="3"/>
      <c r="K780" s="3"/>
      <c r="L780" s="3"/>
      <c r="M780" s="3"/>
      <c r="N780" s="3"/>
      <c r="O780" s="3"/>
      <c r="P780" s="3"/>
      <c r="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J781" s="3"/>
      <c r="K781" s="3"/>
      <c r="L781" s="3"/>
      <c r="M781" s="3"/>
      <c r="N781" s="3"/>
      <c r="O781" s="3"/>
      <c r="P781" s="3"/>
      <c r="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J782" s="3"/>
      <c r="K782" s="3"/>
      <c r="L782" s="3"/>
      <c r="M782" s="3"/>
      <c r="N782" s="3"/>
      <c r="O782" s="3"/>
      <c r="P782" s="3"/>
      <c r="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J783" s="3"/>
      <c r="K783" s="3"/>
      <c r="L783" s="3"/>
      <c r="M783" s="3"/>
      <c r="N783" s="3"/>
      <c r="O783" s="3"/>
      <c r="P783" s="3"/>
      <c r="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J784" s="3"/>
      <c r="K784" s="3"/>
      <c r="L784" s="3"/>
      <c r="M784" s="3"/>
      <c r="N784" s="3"/>
      <c r="O784" s="3"/>
      <c r="P784" s="3"/>
      <c r="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J785" s="3"/>
      <c r="K785" s="3"/>
      <c r="L785" s="3"/>
      <c r="M785" s="3"/>
      <c r="N785" s="3"/>
      <c r="O785" s="3"/>
      <c r="P785" s="3"/>
      <c r="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J786" s="3"/>
      <c r="K786" s="3"/>
      <c r="L786" s="3"/>
      <c r="M786" s="3"/>
      <c r="N786" s="3"/>
      <c r="O786" s="3"/>
      <c r="P786" s="3"/>
      <c r="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J787" s="3"/>
      <c r="K787" s="3"/>
      <c r="L787" s="3"/>
      <c r="M787" s="3"/>
      <c r="N787" s="3"/>
      <c r="O787" s="3"/>
      <c r="P787" s="3"/>
      <c r="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J788" s="3"/>
      <c r="K788" s="3"/>
      <c r="L788" s="3"/>
      <c r="M788" s="3"/>
      <c r="N788" s="3"/>
      <c r="O788" s="3"/>
      <c r="P788" s="3"/>
      <c r="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J789" s="3"/>
      <c r="K789" s="3"/>
      <c r="L789" s="3"/>
      <c r="M789" s="3"/>
      <c r="N789" s="3"/>
      <c r="O789" s="3"/>
      <c r="P789" s="3"/>
      <c r="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J790" s="3"/>
      <c r="K790" s="3"/>
      <c r="L790" s="3"/>
      <c r="M790" s="3"/>
      <c r="N790" s="3"/>
      <c r="O790" s="3"/>
      <c r="P790" s="3"/>
      <c r="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J791" s="3"/>
      <c r="K791" s="3"/>
      <c r="L791" s="3"/>
      <c r="M791" s="3"/>
      <c r="N791" s="3"/>
      <c r="O791" s="3"/>
      <c r="P791" s="3"/>
      <c r="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J792" s="3"/>
      <c r="K792" s="3"/>
      <c r="L792" s="3"/>
      <c r="M792" s="3"/>
      <c r="N792" s="3"/>
      <c r="O792" s="3"/>
      <c r="P792" s="3"/>
      <c r="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J793" s="3"/>
      <c r="K793" s="3"/>
      <c r="L793" s="3"/>
      <c r="M793" s="3"/>
      <c r="N793" s="3"/>
      <c r="O793" s="3"/>
      <c r="P793" s="3"/>
      <c r="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J794" s="3"/>
      <c r="K794" s="3"/>
      <c r="L794" s="3"/>
      <c r="M794" s="3"/>
      <c r="N794" s="3"/>
      <c r="O794" s="3"/>
      <c r="P794" s="3"/>
      <c r="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J795" s="3"/>
      <c r="K795" s="3"/>
      <c r="L795" s="3"/>
      <c r="M795" s="3"/>
      <c r="N795" s="3"/>
      <c r="O795" s="3"/>
      <c r="P795" s="3"/>
      <c r="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J796" s="3"/>
      <c r="K796" s="3"/>
      <c r="L796" s="3"/>
      <c r="M796" s="3"/>
      <c r="N796" s="3"/>
      <c r="O796" s="3"/>
      <c r="P796" s="3"/>
      <c r="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J797" s="3"/>
      <c r="K797" s="3"/>
      <c r="L797" s="3"/>
      <c r="M797" s="3"/>
      <c r="N797" s="3"/>
      <c r="O797" s="3"/>
      <c r="P797" s="3"/>
      <c r="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J798" s="3"/>
      <c r="K798" s="3"/>
      <c r="L798" s="3"/>
      <c r="M798" s="3"/>
      <c r="N798" s="3"/>
      <c r="O798" s="3"/>
      <c r="P798" s="3"/>
      <c r="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J799" s="3"/>
      <c r="K799" s="3"/>
      <c r="L799" s="3"/>
      <c r="M799" s="3"/>
      <c r="N799" s="3"/>
      <c r="O799" s="3"/>
      <c r="P799" s="3"/>
      <c r="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J800" s="3"/>
      <c r="K800" s="3"/>
      <c r="L800" s="3"/>
      <c r="M800" s="3"/>
      <c r="N800" s="3"/>
      <c r="O800" s="3"/>
      <c r="P800" s="3"/>
      <c r="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J801" s="3"/>
      <c r="K801" s="3"/>
      <c r="L801" s="3"/>
      <c r="M801" s="3"/>
      <c r="N801" s="3"/>
      <c r="O801" s="3"/>
      <c r="P801" s="3"/>
      <c r="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J802" s="3"/>
      <c r="K802" s="3"/>
      <c r="L802" s="3"/>
      <c r="M802" s="3"/>
      <c r="N802" s="3"/>
      <c r="O802" s="3"/>
      <c r="P802" s="3"/>
      <c r="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J803" s="3"/>
      <c r="K803" s="3"/>
      <c r="L803" s="3"/>
      <c r="M803" s="3"/>
      <c r="N803" s="3"/>
      <c r="O803" s="3"/>
      <c r="P803" s="3"/>
      <c r="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J804" s="3"/>
      <c r="K804" s="3"/>
      <c r="L804" s="3"/>
      <c r="M804" s="3"/>
      <c r="N804" s="3"/>
      <c r="O804" s="3"/>
      <c r="P804" s="3"/>
      <c r="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J805" s="3"/>
      <c r="K805" s="3"/>
      <c r="L805" s="3"/>
      <c r="M805" s="3"/>
      <c r="N805" s="3"/>
      <c r="O805" s="3"/>
      <c r="P805" s="3"/>
      <c r="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J806" s="3"/>
      <c r="K806" s="3"/>
      <c r="L806" s="3"/>
      <c r="M806" s="3"/>
      <c r="N806" s="3"/>
      <c r="O806" s="3"/>
      <c r="P806" s="3"/>
      <c r="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J807" s="3"/>
      <c r="K807" s="3"/>
      <c r="L807" s="3"/>
      <c r="M807" s="3"/>
      <c r="N807" s="3"/>
      <c r="O807" s="3"/>
      <c r="P807" s="3"/>
      <c r="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J808" s="3"/>
      <c r="K808" s="3"/>
      <c r="L808" s="3"/>
      <c r="M808" s="3"/>
      <c r="N808" s="3"/>
      <c r="O808" s="3"/>
      <c r="P808" s="3"/>
      <c r="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J809" s="3"/>
      <c r="K809" s="3"/>
      <c r="L809" s="3"/>
      <c r="M809" s="3"/>
      <c r="N809" s="3"/>
      <c r="O809" s="3"/>
      <c r="P809" s="3"/>
      <c r="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J810" s="3"/>
      <c r="K810" s="3"/>
      <c r="L810" s="3"/>
      <c r="M810" s="3"/>
      <c r="N810" s="3"/>
      <c r="O810" s="3"/>
      <c r="P810" s="3"/>
      <c r="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J811" s="3"/>
      <c r="K811" s="3"/>
      <c r="L811" s="3"/>
      <c r="M811" s="3"/>
      <c r="N811" s="3"/>
      <c r="O811" s="3"/>
      <c r="P811" s="3"/>
      <c r="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J812" s="3"/>
      <c r="K812" s="3"/>
      <c r="L812" s="3"/>
      <c r="M812" s="3"/>
      <c r="N812" s="3"/>
      <c r="O812" s="3"/>
      <c r="P812" s="3"/>
      <c r="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J813" s="3"/>
      <c r="K813" s="3"/>
      <c r="L813" s="3"/>
      <c r="M813" s="3"/>
      <c r="N813" s="3"/>
      <c r="O813" s="3"/>
      <c r="P813" s="3"/>
      <c r="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J814" s="3"/>
      <c r="K814" s="3"/>
      <c r="L814" s="3"/>
      <c r="M814" s="3"/>
      <c r="N814" s="3"/>
      <c r="O814" s="3"/>
      <c r="P814" s="3"/>
      <c r="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J815" s="3"/>
      <c r="K815" s="3"/>
      <c r="L815" s="3"/>
      <c r="M815" s="3"/>
      <c r="N815" s="3"/>
      <c r="O815" s="3"/>
      <c r="P815" s="3"/>
      <c r="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J816" s="3"/>
      <c r="K816" s="3"/>
      <c r="L816" s="3"/>
      <c r="M816" s="3"/>
      <c r="N816" s="3"/>
      <c r="O816" s="3"/>
      <c r="P816" s="3"/>
      <c r="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J817" s="3"/>
      <c r="K817" s="3"/>
      <c r="L817" s="3"/>
      <c r="M817" s="3"/>
      <c r="N817" s="3"/>
      <c r="O817" s="3"/>
      <c r="P817" s="3"/>
      <c r="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J818" s="3"/>
      <c r="K818" s="3"/>
      <c r="L818" s="3"/>
      <c r="M818" s="3"/>
      <c r="N818" s="3"/>
      <c r="O818" s="3"/>
      <c r="P818" s="3"/>
      <c r="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J819" s="3"/>
      <c r="K819" s="3"/>
      <c r="L819" s="3"/>
      <c r="M819" s="3"/>
      <c r="N819" s="3"/>
      <c r="O819" s="3"/>
      <c r="P819" s="3"/>
      <c r="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J820" s="3"/>
      <c r="K820" s="3"/>
      <c r="L820" s="3"/>
      <c r="M820" s="3"/>
      <c r="N820" s="3"/>
      <c r="O820" s="3"/>
      <c r="P820" s="3"/>
      <c r="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J821" s="3"/>
      <c r="K821" s="3"/>
      <c r="L821" s="3"/>
      <c r="M821" s="3"/>
      <c r="N821" s="3"/>
      <c r="O821" s="3"/>
      <c r="P821" s="3"/>
      <c r="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J822" s="3"/>
      <c r="K822" s="3"/>
      <c r="L822" s="3"/>
      <c r="M822" s="3"/>
      <c r="N822" s="3"/>
      <c r="O822" s="3"/>
      <c r="P822" s="3"/>
      <c r="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J823" s="3"/>
      <c r="K823" s="3"/>
      <c r="L823" s="3"/>
      <c r="M823" s="3"/>
      <c r="N823" s="3"/>
      <c r="O823" s="3"/>
      <c r="P823" s="3"/>
      <c r="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J824" s="3"/>
      <c r="K824" s="3"/>
      <c r="L824" s="3"/>
      <c r="M824" s="3"/>
      <c r="N824" s="3"/>
      <c r="O824" s="3"/>
      <c r="P824" s="3"/>
      <c r="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J825" s="3"/>
      <c r="K825" s="3"/>
      <c r="L825" s="3"/>
      <c r="M825" s="3"/>
      <c r="N825" s="3"/>
      <c r="O825" s="3"/>
      <c r="P825" s="3"/>
      <c r="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J826" s="3"/>
      <c r="K826" s="3"/>
      <c r="L826" s="3"/>
      <c r="M826" s="3"/>
      <c r="N826" s="3"/>
      <c r="O826" s="3"/>
      <c r="P826" s="3"/>
      <c r="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J827" s="3"/>
      <c r="K827" s="3"/>
      <c r="L827" s="3"/>
      <c r="M827" s="3"/>
      <c r="N827" s="3"/>
      <c r="O827" s="3"/>
      <c r="P827" s="3"/>
      <c r="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J828" s="3"/>
      <c r="K828" s="3"/>
      <c r="L828" s="3"/>
      <c r="M828" s="3"/>
      <c r="N828" s="3"/>
      <c r="O828" s="3"/>
      <c r="P828" s="3"/>
      <c r="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J829" s="3"/>
      <c r="K829" s="3"/>
      <c r="L829" s="3"/>
      <c r="M829" s="3"/>
      <c r="N829" s="3"/>
      <c r="O829" s="3"/>
      <c r="P829" s="3"/>
      <c r="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J830" s="3"/>
      <c r="K830" s="3"/>
      <c r="L830" s="3"/>
      <c r="M830" s="3"/>
      <c r="N830" s="3"/>
      <c r="O830" s="3"/>
      <c r="P830" s="3"/>
      <c r="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J831" s="3"/>
      <c r="K831" s="3"/>
      <c r="L831" s="3"/>
      <c r="M831" s="3"/>
      <c r="N831" s="3"/>
      <c r="O831" s="3"/>
      <c r="P831" s="3"/>
      <c r="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J832" s="3"/>
      <c r="K832" s="3"/>
      <c r="L832" s="3"/>
      <c r="M832" s="3"/>
      <c r="N832" s="3"/>
      <c r="O832" s="3"/>
      <c r="P832" s="3"/>
      <c r="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J833" s="3"/>
      <c r="K833" s="3"/>
      <c r="L833" s="3"/>
      <c r="M833" s="3"/>
      <c r="N833" s="3"/>
      <c r="O833" s="3"/>
      <c r="P833" s="3"/>
      <c r="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J834" s="3"/>
      <c r="K834" s="3"/>
      <c r="L834" s="3"/>
      <c r="M834" s="3"/>
      <c r="N834" s="3"/>
      <c r="O834" s="3"/>
      <c r="P834" s="3"/>
      <c r="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J835" s="3"/>
      <c r="K835" s="3"/>
      <c r="L835" s="3"/>
      <c r="M835" s="3"/>
      <c r="N835" s="3"/>
      <c r="O835" s="3"/>
      <c r="P835" s="3"/>
      <c r="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J836" s="3"/>
      <c r="K836" s="3"/>
      <c r="L836" s="3"/>
      <c r="M836" s="3"/>
      <c r="N836" s="3"/>
      <c r="O836" s="3"/>
      <c r="P836" s="3"/>
      <c r="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J837" s="3"/>
      <c r="K837" s="3"/>
      <c r="L837" s="3"/>
      <c r="M837" s="3"/>
      <c r="N837" s="3"/>
      <c r="O837" s="3"/>
      <c r="P837" s="3"/>
      <c r="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J838" s="3"/>
      <c r="K838" s="3"/>
      <c r="L838" s="3"/>
      <c r="M838" s="3"/>
      <c r="N838" s="3"/>
      <c r="O838" s="3"/>
      <c r="P838" s="3"/>
      <c r="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J839" s="3"/>
      <c r="K839" s="3"/>
      <c r="L839" s="3"/>
      <c r="M839" s="3"/>
      <c r="N839" s="3"/>
      <c r="O839" s="3"/>
      <c r="P839" s="3"/>
      <c r="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J840" s="3"/>
      <c r="K840" s="3"/>
      <c r="L840" s="3"/>
      <c r="M840" s="3"/>
      <c r="N840" s="3"/>
      <c r="O840" s="3"/>
      <c r="P840" s="3"/>
      <c r="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J841" s="3"/>
      <c r="K841" s="3"/>
      <c r="L841" s="3"/>
      <c r="M841" s="3"/>
      <c r="N841" s="3"/>
      <c r="O841" s="3"/>
      <c r="P841" s="3"/>
      <c r="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J842" s="3"/>
      <c r="K842" s="3"/>
      <c r="L842" s="3"/>
      <c r="M842" s="3"/>
      <c r="N842" s="3"/>
      <c r="O842" s="3"/>
      <c r="P842" s="3"/>
      <c r="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J843" s="3"/>
      <c r="K843" s="3"/>
      <c r="L843" s="3"/>
      <c r="M843" s="3"/>
      <c r="N843" s="3"/>
      <c r="O843" s="3"/>
      <c r="P843" s="3"/>
      <c r="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J844" s="3"/>
      <c r="K844" s="3"/>
      <c r="L844" s="3"/>
      <c r="M844" s="3"/>
      <c r="N844" s="3"/>
      <c r="O844" s="3"/>
      <c r="P844" s="3"/>
      <c r="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J845" s="3"/>
      <c r="K845" s="3"/>
      <c r="L845" s="3"/>
      <c r="M845" s="3"/>
      <c r="N845" s="3"/>
      <c r="O845" s="3"/>
      <c r="P845" s="3"/>
      <c r="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J846" s="3"/>
      <c r="K846" s="3"/>
      <c r="L846" s="3"/>
      <c r="M846" s="3"/>
      <c r="N846" s="3"/>
      <c r="O846" s="3"/>
      <c r="P846" s="3"/>
      <c r="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J847" s="3"/>
      <c r="K847" s="3"/>
      <c r="L847" s="3"/>
      <c r="M847" s="3"/>
      <c r="N847" s="3"/>
      <c r="O847" s="3"/>
      <c r="P847" s="3"/>
      <c r="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J848" s="3"/>
      <c r="K848" s="3"/>
      <c r="L848" s="3"/>
      <c r="M848" s="3"/>
      <c r="N848" s="3"/>
      <c r="O848" s="3"/>
      <c r="P848" s="3"/>
      <c r="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J849" s="3"/>
      <c r="K849" s="3"/>
      <c r="L849" s="3"/>
      <c r="M849" s="3"/>
      <c r="N849" s="3"/>
      <c r="O849" s="3"/>
      <c r="P849" s="3"/>
      <c r="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J850" s="3"/>
      <c r="K850" s="3"/>
      <c r="L850" s="3"/>
      <c r="M850" s="3"/>
      <c r="N850" s="3"/>
      <c r="O850" s="3"/>
      <c r="P850" s="3"/>
      <c r="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J851" s="3"/>
      <c r="K851" s="3"/>
      <c r="L851" s="3"/>
      <c r="M851" s="3"/>
      <c r="N851" s="3"/>
      <c r="O851" s="3"/>
      <c r="P851" s="3"/>
      <c r="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J852" s="3"/>
      <c r="K852" s="3"/>
      <c r="L852" s="3"/>
      <c r="M852" s="3"/>
      <c r="N852" s="3"/>
      <c r="O852" s="3"/>
      <c r="P852" s="3"/>
      <c r="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J853" s="3"/>
      <c r="K853" s="3"/>
      <c r="L853" s="3"/>
      <c r="M853" s="3"/>
      <c r="N853" s="3"/>
      <c r="O853" s="3"/>
      <c r="P853" s="3"/>
      <c r="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J854" s="3"/>
      <c r="K854" s="3"/>
      <c r="L854" s="3"/>
      <c r="M854" s="3"/>
      <c r="N854" s="3"/>
      <c r="O854" s="3"/>
      <c r="P854" s="3"/>
      <c r="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J855" s="3"/>
      <c r="K855" s="3"/>
      <c r="L855" s="3"/>
      <c r="M855" s="3"/>
      <c r="N855" s="3"/>
      <c r="O855" s="3"/>
      <c r="P855" s="3"/>
      <c r="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J856" s="3"/>
      <c r="K856" s="3"/>
      <c r="L856" s="3"/>
      <c r="M856" s="3"/>
      <c r="N856" s="3"/>
      <c r="O856" s="3"/>
      <c r="P856" s="3"/>
      <c r="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J857" s="3"/>
      <c r="K857" s="3"/>
      <c r="L857" s="3"/>
      <c r="M857" s="3"/>
      <c r="N857" s="3"/>
      <c r="O857" s="3"/>
      <c r="P857" s="3"/>
      <c r="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J858" s="3"/>
      <c r="K858" s="3"/>
      <c r="L858" s="3"/>
      <c r="M858" s="3"/>
      <c r="N858" s="3"/>
      <c r="O858" s="3"/>
      <c r="P858" s="3"/>
      <c r="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J859" s="3"/>
      <c r="K859" s="3"/>
      <c r="L859" s="3"/>
      <c r="M859" s="3"/>
      <c r="N859" s="3"/>
      <c r="O859" s="3"/>
      <c r="P859" s="3"/>
      <c r="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J860" s="3"/>
      <c r="K860" s="3"/>
      <c r="L860" s="3"/>
      <c r="M860" s="3"/>
      <c r="N860" s="3"/>
      <c r="O860" s="3"/>
      <c r="P860" s="3"/>
      <c r="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J861" s="3"/>
      <c r="K861" s="3"/>
      <c r="L861" s="3"/>
      <c r="M861" s="3"/>
      <c r="N861" s="3"/>
      <c r="O861" s="3"/>
      <c r="P861" s="3"/>
      <c r="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J862" s="3"/>
      <c r="K862" s="3"/>
      <c r="L862" s="3"/>
      <c r="M862" s="3"/>
      <c r="N862" s="3"/>
      <c r="O862" s="3"/>
      <c r="P862" s="3"/>
      <c r="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J863" s="3"/>
      <c r="K863" s="3"/>
      <c r="L863" s="3"/>
      <c r="M863" s="3"/>
      <c r="N863" s="3"/>
      <c r="O863" s="3"/>
      <c r="P863" s="3"/>
      <c r="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J864" s="3"/>
      <c r="K864" s="3"/>
      <c r="L864" s="3"/>
      <c r="M864" s="3"/>
      <c r="N864" s="3"/>
      <c r="O864" s="3"/>
      <c r="P864" s="3"/>
      <c r="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J865" s="3"/>
      <c r="K865" s="3"/>
      <c r="L865" s="3"/>
      <c r="M865" s="3"/>
      <c r="N865" s="3"/>
      <c r="O865" s="3"/>
      <c r="P865" s="3"/>
      <c r="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J866" s="3"/>
      <c r="K866" s="3"/>
      <c r="L866" s="3"/>
      <c r="M866" s="3"/>
      <c r="N866" s="3"/>
      <c r="O866" s="3"/>
      <c r="P866" s="3"/>
      <c r="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J867" s="3"/>
      <c r="K867" s="3"/>
      <c r="L867" s="3"/>
      <c r="M867" s="3"/>
      <c r="N867" s="3"/>
      <c r="O867" s="3"/>
      <c r="P867" s="3"/>
      <c r="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J868" s="3"/>
      <c r="K868" s="3"/>
      <c r="L868" s="3"/>
      <c r="M868" s="3"/>
      <c r="N868" s="3"/>
      <c r="O868" s="3"/>
      <c r="P868" s="3"/>
      <c r="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J869" s="3"/>
      <c r="K869" s="3"/>
      <c r="L869" s="3"/>
      <c r="M869" s="3"/>
      <c r="N869" s="3"/>
      <c r="O869" s="3"/>
      <c r="P869" s="3"/>
      <c r="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J870" s="3"/>
      <c r="K870" s="3"/>
      <c r="L870" s="3"/>
      <c r="M870" s="3"/>
      <c r="N870" s="3"/>
      <c r="O870" s="3"/>
      <c r="P870" s="3"/>
      <c r="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J871" s="3"/>
      <c r="K871" s="3"/>
      <c r="L871" s="3"/>
      <c r="M871" s="3"/>
      <c r="N871" s="3"/>
      <c r="O871" s="3"/>
      <c r="P871" s="3"/>
      <c r="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J872" s="3"/>
      <c r="K872" s="3"/>
      <c r="L872" s="3"/>
      <c r="M872" s="3"/>
      <c r="N872" s="3"/>
      <c r="O872" s="3"/>
      <c r="P872" s="3"/>
      <c r="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J873" s="3"/>
      <c r="K873" s="3"/>
      <c r="L873" s="3"/>
      <c r="M873" s="3"/>
      <c r="N873" s="3"/>
      <c r="O873" s="3"/>
      <c r="P873" s="3"/>
      <c r="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J874" s="3"/>
      <c r="K874" s="3"/>
      <c r="L874" s="3"/>
      <c r="M874" s="3"/>
      <c r="N874" s="3"/>
      <c r="O874" s="3"/>
      <c r="P874" s="3"/>
      <c r="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J875" s="3"/>
      <c r="K875" s="3"/>
      <c r="L875" s="3"/>
      <c r="M875" s="3"/>
      <c r="N875" s="3"/>
      <c r="O875" s="3"/>
      <c r="P875" s="3"/>
      <c r="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J876" s="3"/>
      <c r="K876" s="3"/>
      <c r="L876" s="3"/>
      <c r="M876" s="3"/>
      <c r="N876" s="3"/>
      <c r="O876" s="3"/>
      <c r="P876" s="3"/>
      <c r="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J877" s="3"/>
      <c r="K877" s="3"/>
      <c r="L877" s="3"/>
      <c r="M877" s="3"/>
      <c r="N877" s="3"/>
      <c r="O877" s="3"/>
      <c r="P877" s="3"/>
      <c r="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J878" s="3"/>
      <c r="K878" s="3"/>
      <c r="L878" s="3"/>
      <c r="M878" s="3"/>
      <c r="N878" s="3"/>
      <c r="O878" s="3"/>
      <c r="P878" s="3"/>
      <c r="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J879" s="3"/>
      <c r="K879" s="3"/>
      <c r="L879" s="3"/>
      <c r="M879" s="3"/>
      <c r="N879" s="3"/>
      <c r="O879" s="3"/>
      <c r="P879" s="3"/>
      <c r="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J880" s="3"/>
      <c r="K880" s="3"/>
      <c r="L880" s="3"/>
      <c r="M880" s="3"/>
      <c r="N880" s="3"/>
      <c r="O880" s="3"/>
      <c r="P880" s="3"/>
      <c r="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J881" s="3"/>
      <c r="K881" s="3"/>
      <c r="L881" s="3"/>
      <c r="M881" s="3"/>
      <c r="N881" s="3"/>
      <c r="O881" s="3"/>
      <c r="P881" s="3"/>
      <c r="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J882" s="3"/>
      <c r="K882" s="3"/>
      <c r="L882" s="3"/>
      <c r="M882" s="3"/>
      <c r="N882" s="3"/>
      <c r="O882" s="3"/>
      <c r="P882" s="3"/>
      <c r="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J883" s="3"/>
      <c r="K883" s="3"/>
      <c r="L883" s="3"/>
      <c r="M883" s="3"/>
      <c r="N883" s="3"/>
      <c r="O883" s="3"/>
      <c r="P883" s="3"/>
      <c r="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J884" s="3"/>
      <c r="K884" s="3"/>
      <c r="L884" s="3"/>
      <c r="M884" s="3"/>
      <c r="N884" s="3"/>
      <c r="O884" s="3"/>
      <c r="P884" s="3"/>
      <c r="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J885" s="3"/>
      <c r="K885" s="3"/>
      <c r="L885" s="3"/>
      <c r="M885" s="3"/>
      <c r="N885" s="3"/>
      <c r="O885" s="3"/>
      <c r="P885" s="3"/>
      <c r="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J886" s="3"/>
      <c r="K886" s="3"/>
      <c r="L886" s="3"/>
      <c r="M886" s="3"/>
      <c r="N886" s="3"/>
      <c r="O886" s="3"/>
      <c r="P886" s="3"/>
      <c r="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J887" s="3"/>
      <c r="K887" s="3"/>
      <c r="L887" s="3"/>
      <c r="M887" s="3"/>
      <c r="N887" s="3"/>
      <c r="O887" s="3"/>
      <c r="P887" s="3"/>
      <c r="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J888" s="3"/>
      <c r="K888" s="3"/>
      <c r="L888" s="3"/>
      <c r="M888" s="3"/>
      <c r="N888" s="3"/>
      <c r="O888" s="3"/>
      <c r="P888" s="3"/>
      <c r="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J889" s="3"/>
      <c r="K889" s="3"/>
      <c r="L889" s="3"/>
      <c r="M889" s="3"/>
      <c r="N889" s="3"/>
      <c r="O889" s="3"/>
      <c r="P889" s="3"/>
      <c r="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J890" s="3"/>
      <c r="K890" s="3"/>
      <c r="L890" s="3"/>
      <c r="M890" s="3"/>
      <c r="N890" s="3"/>
      <c r="O890" s="3"/>
      <c r="P890" s="3"/>
      <c r="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J891" s="3"/>
      <c r="K891" s="3"/>
      <c r="L891" s="3"/>
      <c r="M891" s="3"/>
      <c r="N891" s="3"/>
      <c r="O891" s="3"/>
      <c r="P891" s="3"/>
      <c r="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J892" s="3"/>
      <c r="K892" s="3"/>
      <c r="L892" s="3"/>
      <c r="M892" s="3"/>
      <c r="N892" s="3"/>
      <c r="O892" s="3"/>
      <c r="P892" s="3"/>
      <c r="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J893" s="3"/>
      <c r="K893" s="3"/>
      <c r="L893" s="3"/>
      <c r="M893" s="3"/>
      <c r="N893" s="3"/>
      <c r="O893" s="3"/>
      <c r="P893" s="3"/>
      <c r="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J894" s="3"/>
      <c r="K894" s="3"/>
      <c r="L894" s="3"/>
      <c r="M894" s="3"/>
      <c r="N894" s="3"/>
      <c r="O894" s="3"/>
      <c r="P894" s="3"/>
      <c r="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J895" s="3"/>
      <c r="K895" s="3"/>
      <c r="L895" s="3"/>
      <c r="M895" s="3"/>
      <c r="N895" s="3"/>
      <c r="O895" s="3"/>
      <c r="P895" s="3"/>
      <c r="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J896" s="3"/>
      <c r="K896" s="3"/>
      <c r="L896" s="3"/>
      <c r="M896" s="3"/>
      <c r="N896" s="3"/>
      <c r="O896" s="3"/>
      <c r="P896" s="3"/>
      <c r="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J897" s="3"/>
      <c r="K897" s="3"/>
      <c r="L897" s="3"/>
      <c r="M897" s="3"/>
      <c r="N897" s="3"/>
      <c r="O897" s="3"/>
      <c r="P897" s="3"/>
      <c r="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J898" s="3"/>
      <c r="K898" s="3"/>
      <c r="L898" s="3"/>
      <c r="M898" s="3"/>
      <c r="N898" s="3"/>
      <c r="O898" s="3"/>
      <c r="P898" s="3"/>
      <c r="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J899" s="3"/>
      <c r="K899" s="3"/>
      <c r="L899" s="3"/>
      <c r="M899" s="3"/>
      <c r="N899" s="3"/>
      <c r="O899" s="3"/>
      <c r="P899" s="3"/>
      <c r="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J900" s="3"/>
      <c r="K900" s="3"/>
      <c r="L900" s="3"/>
      <c r="M900" s="3"/>
      <c r="N900" s="3"/>
      <c r="O900" s="3"/>
      <c r="P900" s="3"/>
      <c r="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J901" s="3"/>
      <c r="K901" s="3"/>
      <c r="L901" s="3"/>
      <c r="M901" s="3"/>
      <c r="N901" s="3"/>
      <c r="O901" s="3"/>
      <c r="P901" s="3"/>
      <c r="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J902" s="3"/>
      <c r="K902" s="3"/>
      <c r="L902" s="3"/>
      <c r="M902" s="3"/>
      <c r="N902" s="3"/>
      <c r="O902" s="3"/>
      <c r="P902" s="3"/>
      <c r="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J903" s="3"/>
      <c r="K903" s="3"/>
      <c r="L903" s="3"/>
      <c r="M903" s="3"/>
      <c r="N903" s="3"/>
      <c r="O903" s="3"/>
      <c r="P903" s="3"/>
      <c r="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J904" s="3"/>
      <c r="K904" s="3"/>
      <c r="L904" s="3"/>
      <c r="M904" s="3"/>
      <c r="N904" s="3"/>
      <c r="O904" s="3"/>
      <c r="P904" s="3"/>
      <c r="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J905" s="3"/>
      <c r="K905" s="3"/>
      <c r="L905" s="3"/>
      <c r="M905" s="3"/>
      <c r="N905" s="3"/>
      <c r="O905" s="3"/>
      <c r="P905" s="3"/>
      <c r="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J906" s="3"/>
      <c r="K906" s="3"/>
      <c r="L906" s="3"/>
      <c r="M906" s="3"/>
      <c r="N906" s="3"/>
      <c r="O906" s="3"/>
      <c r="P906" s="3"/>
      <c r="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J907" s="3"/>
      <c r="K907" s="3"/>
      <c r="L907" s="3"/>
      <c r="M907" s="3"/>
      <c r="N907" s="3"/>
      <c r="O907" s="3"/>
      <c r="P907" s="3"/>
      <c r="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J908" s="3"/>
      <c r="K908" s="3"/>
      <c r="L908" s="3"/>
      <c r="M908" s="3"/>
      <c r="N908" s="3"/>
      <c r="O908" s="3"/>
      <c r="P908" s="3"/>
      <c r="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J909" s="3"/>
      <c r="K909" s="3"/>
      <c r="L909" s="3"/>
      <c r="M909" s="3"/>
      <c r="N909" s="3"/>
      <c r="O909" s="3"/>
      <c r="P909" s="3"/>
      <c r="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J910" s="3"/>
      <c r="K910" s="3"/>
      <c r="L910" s="3"/>
      <c r="M910" s="3"/>
      <c r="N910" s="3"/>
      <c r="O910" s="3"/>
      <c r="P910" s="3"/>
      <c r="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J911" s="3"/>
      <c r="K911" s="3"/>
      <c r="L911" s="3"/>
      <c r="M911" s="3"/>
      <c r="N911" s="3"/>
      <c r="O911" s="3"/>
      <c r="P911" s="3"/>
      <c r="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J912" s="3"/>
      <c r="K912" s="3"/>
      <c r="L912" s="3"/>
      <c r="M912" s="3"/>
      <c r="N912" s="3"/>
      <c r="O912" s="3"/>
      <c r="P912" s="3"/>
      <c r="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J913" s="3"/>
      <c r="K913" s="3"/>
      <c r="L913" s="3"/>
      <c r="M913" s="3"/>
      <c r="N913" s="3"/>
      <c r="O913" s="3"/>
      <c r="P913" s="3"/>
      <c r="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J914" s="3"/>
      <c r="K914" s="3"/>
      <c r="L914" s="3"/>
      <c r="M914" s="3"/>
      <c r="N914" s="3"/>
      <c r="O914" s="3"/>
      <c r="P914" s="3"/>
      <c r="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J915" s="3"/>
      <c r="K915" s="3"/>
      <c r="L915" s="3"/>
      <c r="M915" s="3"/>
      <c r="N915" s="3"/>
      <c r="O915" s="3"/>
      <c r="P915" s="3"/>
      <c r="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J916" s="3"/>
      <c r="K916" s="3"/>
      <c r="L916" s="3"/>
      <c r="M916" s="3"/>
      <c r="N916" s="3"/>
      <c r="O916" s="3"/>
      <c r="P916" s="3"/>
      <c r="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J917" s="3"/>
      <c r="K917" s="3"/>
      <c r="L917" s="3"/>
      <c r="M917" s="3"/>
      <c r="N917" s="3"/>
      <c r="O917" s="3"/>
      <c r="P917" s="3"/>
      <c r="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J918" s="3"/>
      <c r="K918" s="3"/>
      <c r="L918" s="3"/>
      <c r="M918" s="3"/>
      <c r="N918" s="3"/>
      <c r="O918" s="3"/>
      <c r="P918" s="3"/>
      <c r="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J919" s="3"/>
      <c r="K919" s="3"/>
      <c r="L919" s="3"/>
      <c r="M919" s="3"/>
      <c r="N919" s="3"/>
      <c r="O919" s="3"/>
      <c r="P919" s="3"/>
      <c r="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J920" s="3"/>
      <c r="K920" s="3"/>
      <c r="L920" s="3"/>
      <c r="M920" s="3"/>
      <c r="N920" s="3"/>
      <c r="O920" s="3"/>
      <c r="P920" s="3"/>
      <c r="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J921" s="3"/>
      <c r="K921" s="3"/>
      <c r="L921" s="3"/>
      <c r="M921" s="3"/>
      <c r="N921" s="3"/>
      <c r="O921" s="3"/>
      <c r="P921" s="3"/>
      <c r="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J922" s="3"/>
      <c r="K922" s="3"/>
      <c r="L922" s="3"/>
      <c r="M922" s="3"/>
      <c r="N922" s="3"/>
      <c r="O922" s="3"/>
      <c r="P922" s="3"/>
      <c r="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J923" s="3"/>
      <c r="K923" s="3"/>
      <c r="L923" s="3"/>
      <c r="M923" s="3"/>
      <c r="N923" s="3"/>
      <c r="O923" s="3"/>
      <c r="P923" s="3"/>
      <c r="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J924" s="3"/>
      <c r="K924" s="3"/>
      <c r="L924" s="3"/>
      <c r="M924" s="3"/>
      <c r="N924" s="3"/>
      <c r="O924" s="3"/>
      <c r="P924" s="3"/>
      <c r="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J925" s="3"/>
      <c r="K925" s="3"/>
      <c r="L925" s="3"/>
      <c r="M925" s="3"/>
      <c r="N925" s="3"/>
      <c r="O925" s="3"/>
      <c r="P925" s="3"/>
      <c r="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J926" s="3"/>
      <c r="K926" s="3"/>
      <c r="L926" s="3"/>
      <c r="M926" s="3"/>
      <c r="N926" s="3"/>
      <c r="O926" s="3"/>
      <c r="P926" s="3"/>
      <c r="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J927" s="3"/>
      <c r="K927" s="3"/>
      <c r="L927" s="3"/>
      <c r="M927" s="3"/>
      <c r="N927" s="3"/>
      <c r="O927" s="3"/>
      <c r="P927" s="3"/>
      <c r="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J928" s="3"/>
      <c r="K928" s="3"/>
      <c r="L928" s="3"/>
      <c r="M928" s="3"/>
      <c r="N928" s="3"/>
      <c r="O928" s="3"/>
      <c r="P928" s="3"/>
      <c r="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J929" s="3"/>
      <c r="K929" s="3"/>
      <c r="L929" s="3"/>
      <c r="M929" s="3"/>
      <c r="N929" s="3"/>
      <c r="O929" s="3"/>
      <c r="P929" s="3"/>
      <c r="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J930" s="3"/>
      <c r="K930" s="3"/>
      <c r="L930" s="3"/>
      <c r="M930" s="3"/>
      <c r="N930" s="3"/>
      <c r="O930" s="3"/>
      <c r="P930" s="3"/>
      <c r="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J931" s="3"/>
      <c r="K931" s="3"/>
      <c r="L931" s="3"/>
      <c r="M931" s="3"/>
      <c r="N931" s="3"/>
      <c r="O931" s="3"/>
      <c r="P931" s="3"/>
      <c r="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J932" s="3"/>
      <c r="K932" s="3"/>
      <c r="L932" s="3"/>
      <c r="M932" s="3"/>
      <c r="N932" s="3"/>
      <c r="O932" s="3"/>
      <c r="P932" s="3"/>
      <c r="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J933" s="3"/>
      <c r="K933" s="3"/>
      <c r="L933" s="3"/>
      <c r="M933" s="3"/>
      <c r="N933" s="3"/>
      <c r="O933" s="3"/>
      <c r="P933" s="3"/>
      <c r="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J934" s="3"/>
      <c r="K934" s="3"/>
      <c r="L934" s="3"/>
      <c r="M934" s="3"/>
      <c r="N934" s="3"/>
      <c r="O934" s="3"/>
      <c r="P934" s="3"/>
      <c r="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J935" s="3"/>
      <c r="K935" s="3"/>
      <c r="L935" s="3"/>
      <c r="M935" s="3"/>
      <c r="N935" s="3"/>
      <c r="O935" s="3"/>
      <c r="P935" s="3"/>
      <c r="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J936" s="3"/>
      <c r="K936" s="3"/>
      <c r="L936" s="3"/>
      <c r="M936" s="3"/>
      <c r="N936" s="3"/>
      <c r="O936" s="3"/>
      <c r="P936" s="3"/>
      <c r="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J937" s="3"/>
      <c r="K937" s="3"/>
      <c r="L937" s="3"/>
      <c r="M937" s="3"/>
      <c r="N937" s="3"/>
      <c r="O937" s="3"/>
      <c r="P937" s="3"/>
      <c r="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J938" s="3"/>
      <c r="K938" s="3"/>
      <c r="L938" s="3"/>
      <c r="M938" s="3"/>
      <c r="N938" s="3"/>
      <c r="O938" s="3"/>
      <c r="P938" s="3"/>
      <c r="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J939" s="3"/>
      <c r="K939" s="3"/>
      <c r="L939" s="3"/>
      <c r="M939" s="3"/>
      <c r="N939" s="3"/>
      <c r="O939" s="3"/>
      <c r="P939" s="3"/>
      <c r="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J940" s="3"/>
      <c r="K940" s="3"/>
      <c r="L940" s="3"/>
      <c r="M940" s="3"/>
      <c r="N940" s="3"/>
      <c r="O940" s="3"/>
      <c r="P940" s="3"/>
      <c r="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J941" s="3"/>
      <c r="K941" s="3"/>
      <c r="L941" s="3"/>
      <c r="M941" s="3"/>
      <c r="N941" s="3"/>
      <c r="O941" s="3"/>
      <c r="P941" s="3"/>
      <c r="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J942" s="3"/>
      <c r="K942" s="3"/>
      <c r="L942" s="3"/>
      <c r="M942" s="3"/>
      <c r="N942" s="3"/>
      <c r="O942" s="3"/>
      <c r="P942" s="3"/>
      <c r="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J943" s="3"/>
      <c r="K943" s="3"/>
      <c r="L943" s="3"/>
      <c r="M943" s="3"/>
      <c r="N943" s="3"/>
      <c r="O943" s="3"/>
      <c r="P943" s="3"/>
      <c r="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J944" s="3"/>
      <c r="K944" s="3"/>
      <c r="L944" s="3"/>
      <c r="M944" s="3"/>
      <c r="N944" s="3"/>
      <c r="O944" s="3"/>
      <c r="P944" s="3"/>
      <c r="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J945" s="3"/>
      <c r="K945" s="3"/>
      <c r="L945" s="3"/>
      <c r="M945" s="3"/>
      <c r="N945" s="3"/>
      <c r="O945" s="3"/>
      <c r="P945" s="3"/>
      <c r="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J946" s="3"/>
      <c r="K946" s="3"/>
      <c r="L946" s="3"/>
      <c r="M946" s="3"/>
      <c r="N946" s="3"/>
      <c r="O946" s="3"/>
      <c r="P946" s="3"/>
      <c r="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J947" s="3"/>
      <c r="K947" s="3"/>
      <c r="L947" s="3"/>
      <c r="M947" s="3"/>
      <c r="N947" s="3"/>
      <c r="O947" s="3"/>
      <c r="P947" s="3"/>
      <c r="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J948" s="3"/>
      <c r="K948" s="3"/>
      <c r="L948" s="3"/>
      <c r="M948" s="3"/>
      <c r="N948" s="3"/>
      <c r="O948" s="3"/>
      <c r="P948" s="3"/>
      <c r="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J949" s="3"/>
      <c r="K949" s="3"/>
      <c r="L949" s="3"/>
      <c r="M949" s="3"/>
      <c r="N949" s="3"/>
      <c r="O949" s="3"/>
      <c r="P949" s="3"/>
      <c r="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J950" s="3"/>
      <c r="K950" s="3"/>
      <c r="L950" s="3"/>
      <c r="M950" s="3"/>
      <c r="N950" s="3"/>
      <c r="O950" s="3"/>
      <c r="P950" s="3"/>
      <c r="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J951" s="3"/>
      <c r="K951" s="3"/>
      <c r="L951" s="3"/>
      <c r="M951" s="3"/>
      <c r="N951" s="3"/>
      <c r="O951" s="3"/>
      <c r="P951" s="3"/>
      <c r="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J952" s="3"/>
      <c r="K952" s="3"/>
      <c r="L952" s="3"/>
      <c r="M952" s="3"/>
      <c r="N952" s="3"/>
      <c r="O952" s="3"/>
      <c r="P952" s="3"/>
      <c r="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J953" s="3"/>
      <c r="K953" s="3"/>
      <c r="L953" s="3"/>
      <c r="M953" s="3"/>
      <c r="N953" s="3"/>
      <c r="O953" s="3"/>
      <c r="P953" s="3"/>
      <c r="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J954" s="3"/>
      <c r="K954" s="3"/>
      <c r="L954" s="3"/>
      <c r="M954" s="3"/>
      <c r="N954" s="3"/>
      <c r="O954" s="3"/>
      <c r="P954" s="3"/>
      <c r="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J955" s="3"/>
      <c r="K955" s="3"/>
      <c r="L955" s="3"/>
      <c r="M955" s="3"/>
      <c r="N955" s="3"/>
      <c r="O955" s="3"/>
      <c r="P955" s="3"/>
      <c r="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J956" s="3"/>
      <c r="K956" s="3"/>
      <c r="L956" s="3"/>
      <c r="M956" s="3"/>
      <c r="N956" s="3"/>
      <c r="O956" s="3"/>
      <c r="P956" s="3"/>
      <c r="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J957" s="3"/>
      <c r="K957" s="3"/>
      <c r="L957" s="3"/>
      <c r="M957" s="3"/>
      <c r="N957" s="3"/>
      <c r="O957" s="3"/>
      <c r="P957" s="3"/>
      <c r="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J958" s="3"/>
      <c r="K958" s="3"/>
      <c r="L958" s="3"/>
      <c r="M958" s="3"/>
      <c r="N958" s="3"/>
      <c r="O958" s="3"/>
      <c r="P958" s="3"/>
      <c r="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J959" s="3"/>
      <c r="K959" s="3"/>
      <c r="L959" s="3"/>
      <c r="M959" s="3"/>
      <c r="N959" s="3"/>
      <c r="O959" s="3"/>
      <c r="P959" s="3"/>
      <c r="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J960" s="3"/>
      <c r="K960" s="3"/>
      <c r="L960" s="3"/>
      <c r="M960" s="3"/>
      <c r="N960" s="3"/>
      <c r="O960" s="3"/>
      <c r="P960" s="3"/>
      <c r="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J961" s="3"/>
      <c r="K961" s="3"/>
      <c r="L961" s="3"/>
      <c r="M961" s="3"/>
      <c r="N961" s="3"/>
      <c r="O961" s="3"/>
      <c r="P961" s="3"/>
      <c r="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J962" s="3"/>
      <c r="K962" s="3"/>
      <c r="L962" s="3"/>
      <c r="M962" s="3"/>
      <c r="N962" s="3"/>
      <c r="O962" s="3"/>
      <c r="P962" s="3"/>
      <c r="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J963" s="3"/>
      <c r="K963" s="3"/>
      <c r="L963" s="3"/>
      <c r="M963" s="3"/>
      <c r="N963" s="3"/>
      <c r="O963" s="3"/>
      <c r="P963" s="3"/>
      <c r="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J964" s="3"/>
      <c r="K964" s="3"/>
      <c r="L964" s="3"/>
      <c r="M964" s="3"/>
      <c r="N964" s="3"/>
      <c r="O964" s="3"/>
      <c r="P964" s="3"/>
      <c r="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J965" s="3"/>
      <c r="K965" s="3"/>
      <c r="L965" s="3"/>
      <c r="M965" s="3"/>
      <c r="N965" s="3"/>
      <c r="O965" s="3"/>
      <c r="P965" s="3"/>
      <c r="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J966" s="3"/>
      <c r="K966" s="3"/>
      <c r="L966" s="3"/>
      <c r="M966" s="3"/>
      <c r="N966" s="3"/>
      <c r="O966" s="3"/>
      <c r="P966" s="3"/>
      <c r="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J967" s="3"/>
      <c r="K967" s="3"/>
      <c r="L967" s="3"/>
      <c r="M967" s="3"/>
      <c r="N967" s="3"/>
      <c r="O967" s="3"/>
      <c r="P967" s="3"/>
      <c r="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J968" s="3"/>
      <c r="K968" s="3"/>
      <c r="L968" s="3"/>
      <c r="M968" s="3"/>
      <c r="N968" s="3"/>
      <c r="O968" s="3"/>
      <c r="P968" s="3"/>
      <c r="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J969" s="3"/>
      <c r="K969" s="3"/>
      <c r="L969" s="3"/>
      <c r="M969" s="3"/>
      <c r="N969" s="3"/>
      <c r="O969" s="3"/>
      <c r="P969" s="3"/>
      <c r="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J970" s="3"/>
      <c r="K970" s="3"/>
      <c r="L970" s="3"/>
      <c r="M970" s="3"/>
      <c r="N970" s="3"/>
      <c r="O970" s="3"/>
      <c r="P970" s="3"/>
      <c r="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J971" s="3"/>
      <c r="K971" s="3"/>
      <c r="L971" s="3"/>
      <c r="M971" s="3"/>
      <c r="N971" s="3"/>
      <c r="O971" s="3"/>
      <c r="P971" s="3"/>
      <c r="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J972" s="3"/>
      <c r="K972" s="3"/>
      <c r="L972" s="3"/>
      <c r="M972" s="3"/>
      <c r="N972" s="3"/>
      <c r="O972" s="3"/>
      <c r="P972" s="3"/>
      <c r="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J973" s="3"/>
      <c r="K973" s="3"/>
      <c r="L973" s="3"/>
      <c r="M973" s="3"/>
      <c r="N973" s="3"/>
      <c r="O973" s="3"/>
      <c r="P973" s="3"/>
      <c r="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J974" s="3"/>
      <c r="K974" s="3"/>
      <c r="L974" s="3"/>
      <c r="M974" s="3"/>
      <c r="N974" s="3"/>
      <c r="O974" s="3"/>
      <c r="P974" s="3"/>
      <c r="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J975" s="3"/>
      <c r="K975" s="3"/>
      <c r="L975" s="3"/>
      <c r="M975" s="3"/>
      <c r="N975" s="3"/>
      <c r="O975" s="3"/>
      <c r="P975" s="3"/>
      <c r="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J976" s="3"/>
      <c r="K976" s="3"/>
      <c r="L976" s="3"/>
      <c r="M976" s="3"/>
      <c r="N976" s="3"/>
      <c r="O976" s="3"/>
      <c r="P976" s="3"/>
      <c r="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J977" s="3"/>
      <c r="K977" s="3"/>
      <c r="L977" s="3"/>
      <c r="M977" s="3"/>
      <c r="N977" s="3"/>
      <c r="O977" s="3"/>
      <c r="P977" s="3"/>
      <c r="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J978" s="3"/>
      <c r="K978" s="3"/>
      <c r="L978" s="3"/>
      <c r="M978" s="3"/>
      <c r="N978" s="3"/>
      <c r="O978" s="3"/>
      <c r="P978" s="3"/>
      <c r="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J979" s="3"/>
      <c r="K979" s="3"/>
      <c r="L979" s="3"/>
      <c r="M979" s="3"/>
      <c r="N979" s="3"/>
      <c r="O979" s="3"/>
      <c r="P979" s="3"/>
      <c r="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J980" s="3"/>
      <c r="K980" s="3"/>
      <c r="L980" s="3"/>
      <c r="M980" s="3"/>
      <c r="N980" s="3"/>
      <c r="O980" s="3"/>
      <c r="P980" s="3"/>
      <c r="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J981" s="3"/>
      <c r="K981" s="3"/>
      <c r="L981" s="3"/>
      <c r="M981" s="3"/>
      <c r="N981" s="3"/>
      <c r="O981" s="3"/>
      <c r="P981" s="3"/>
      <c r="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J982" s="3"/>
      <c r="K982" s="3"/>
      <c r="L982" s="3"/>
      <c r="M982" s="3"/>
      <c r="N982" s="3"/>
      <c r="O982" s="3"/>
      <c r="P982" s="3"/>
      <c r="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J983" s="3"/>
      <c r="K983" s="3"/>
      <c r="L983" s="3"/>
      <c r="M983" s="3"/>
      <c r="N983" s="3"/>
      <c r="O983" s="3"/>
      <c r="P983" s="3"/>
      <c r="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J984" s="3"/>
      <c r="K984" s="3"/>
      <c r="L984" s="3"/>
      <c r="M984" s="3"/>
      <c r="N984" s="3"/>
      <c r="O984" s="3"/>
      <c r="P984" s="3"/>
      <c r="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J985" s="3"/>
      <c r="K985" s="3"/>
      <c r="L985" s="3"/>
      <c r="M985" s="3"/>
      <c r="N985" s="3"/>
      <c r="O985" s="3"/>
      <c r="P985" s="3"/>
      <c r="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J986" s="3"/>
      <c r="K986" s="3"/>
      <c r="L986" s="3"/>
      <c r="M986" s="3"/>
      <c r="N986" s="3"/>
      <c r="O986" s="3"/>
      <c r="P986" s="3"/>
      <c r="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J987" s="3"/>
      <c r="K987" s="3"/>
      <c r="L987" s="3"/>
      <c r="M987" s="3"/>
      <c r="N987" s="3"/>
      <c r="O987" s="3"/>
      <c r="P987" s="3"/>
      <c r="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J988" s="3"/>
      <c r="K988" s="3"/>
      <c r="L988" s="3"/>
      <c r="M988" s="3"/>
      <c r="N988" s="3"/>
      <c r="O988" s="3"/>
      <c r="P988" s="3"/>
      <c r="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J989" s="3"/>
      <c r="K989" s="3"/>
      <c r="L989" s="3"/>
      <c r="M989" s="3"/>
      <c r="N989" s="3"/>
      <c r="O989" s="3"/>
      <c r="P989" s="3"/>
      <c r="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J990" s="3"/>
      <c r="K990" s="3"/>
      <c r="L990" s="3"/>
      <c r="M990" s="3"/>
      <c r="N990" s="3"/>
      <c r="O990" s="3"/>
      <c r="P990" s="3"/>
      <c r="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J991" s="3"/>
      <c r="K991" s="3"/>
      <c r="L991" s="3"/>
      <c r="M991" s="3"/>
      <c r="N991" s="3"/>
      <c r="O991" s="3"/>
      <c r="P991" s="3"/>
      <c r="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J992" s="3"/>
      <c r="K992" s="3"/>
      <c r="L992" s="3"/>
      <c r="M992" s="3"/>
      <c r="N992" s="3"/>
      <c r="O992" s="3"/>
      <c r="P992" s="3"/>
      <c r="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J993" s="3"/>
      <c r="K993" s="3"/>
      <c r="L993" s="3"/>
      <c r="M993" s="3"/>
      <c r="N993" s="3"/>
      <c r="O993" s="3"/>
      <c r="P993" s="3"/>
      <c r="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J994" s="3"/>
      <c r="K994" s="3"/>
      <c r="L994" s="3"/>
      <c r="M994" s="3"/>
      <c r="N994" s="3"/>
      <c r="O994" s="3"/>
      <c r="P994" s="3"/>
      <c r="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J995" s="3"/>
      <c r="K995" s="3"/>
      <c r="L995" s="3"/>
      <c r="M995" s="3"/>
      <c r="N995" s="3"/>
      <c r="O995" s="3"/>
      <c r="P995" s="3"/>
      <c r="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J996" s="3"/>
      <c r="K996" s="3"/>
      <c r="L996" s="3"/>
      <c r="M996" s="3"/>
      <c r="N996" s="3"/>
      <c r="O996" s="3"/>
      <c r="P996" s="3"/>
      <c r="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J997" s="3"/>
      <c r="K997" s="3"/>
      <c r="L997" s="3"/>
      <c r="M997" s="3"/>
      <c r="N997" s="3"/>
      <c r="O997" s="3"/>
      <c r="P997" s="3"/>
      <c r="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J998" s="3"/>
      <c r="K998" s="3"/>
      <c r="L998" s="3"/>
      <c r="M998" s="3"/>
      <c r="N998" s="3"/>
      <c r="O998" s="3"/>
      <c r="P998" s="3"/>
      <c r="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J999" s="3"/>
      <c r="K999" s="3"/>
      <c r="L999" s="3"/>
      <c r="M999" s="3"/>
      <c r="N999" s="3"/>
      <c r="O999" s="3"/>
      <c r="P999" s="3"/>
      <c r="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J1000" s="3"/>
      <c r="K1000" s="3"/>
      <c r="L1000" s="3"/>
      <c r="M1000" s="3"/>
      <c r="N1000" s="3"/>
      <c r="O1000" s="3"/>
      <c r="P1000" s="3"/>
      <c r="Q1000" s="3"/>
    </row>
  </sheetData>
  <autoFilter ref="$A$18:$H$218"/>
  <mergeCells count="7">
    <mergeCell ref="A1:H1"/>
    <mergeCell ref="A2:H2"/>
    <mergeCell ref="A3:H3"/>
    <mergeCell ref="A6:H6"/>
    <mergeCell ref="A7:H7"/>
    <mergeCell ref="C16:H16"/>
    <mergeCell ref="A17:H17"/>
  </mergeCells>
  <dataValidations>
    <dataValidation type="list" allowBlank="1" showErrorMessage="1" sqref="D19:D218">
      <formula1>"데일리,주간"</formula1>
    </dataValidation>
    <dataValidation type="list" allowBlank="1" showErrorMessage="1" sqref="C19:C218">
      <formula1>"서재형,김기훈,알상무,박종훈,월가아재,기타"</formula1>
    </dataValidation>
    <dataValidation type="list" allowBlank="1" showErrorMessage="1" sqref="C5 E19:E218">
      <formula1>"🔴 Strong Bear,🟠 Bear,⚪ Neutral,🟢 Bull,🔵 Strong Bull"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1.0"/>
    <col customWidth="1" min="2" max="4" width="15.0"/>
    <col customWidth="1" min="5" max="8" width="10.0"/>
    <col customWidth="1" min="9" max="9" width="11.0"/>
    <col customWidth="1" min="10" max="12" width="15.0"/>
    <col customWidth="1" min="13" max="14" width="14.0"/>
    <col customWidth="1" min="15" max="15" width="17.0"/>
    <col customWidth="1" min="16" max="16" width="9.0"/>
    <col customWidth="1" min="17" max="18" width="10.0"/>
    <col customWidth="1" min="19" max="19" width="40.0"/>
  </cols>
  <sheetData>
    <row r="1">
      <c r="A1" s="19" t="s">
        <v>459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460</v>
      </c>
      <c r="B4" s="4" t="s">
        <v>461</v>
      </c>
      <c r="C4" s="4" t="s">
        <v>462</v>
      </c>
      <c r="D4" s="4" t="s">
        <v>463</v>
      </c>
      <c r="E4" s="4" t="s">
        <v>464</v>
      </c>
      <c r="F4" s="4" t="s">
        <v>465</v>
      </c>
      <c r="G4" s="4" t="s">
        <v>466</v>
      </c>
      <c r="H4" s="4" t="s">
        <v>467</v>
      </c>
      <c r="I4" s="4" t="s">
        <v>468</v>
      </c>
      <c r="J4" s="4" t="s">
        <v>469</v>
      </c>
      <c r="K4" s="4" t="s">
        <v>470</v>
      </c>
      <c r="L4" s="4" t="s">
        <v>471</v>
      </c>
      <c r="M4" s="4" t="s">
        <v>472</v>
      </c>
      <c r="N4" s="4" t="s">
        <v>473</v>
      </c>
      <c r="O4" s="4" t="s">
        <v>474</v>
      </c>
      <c r="P4" s="4" t="s">
        <v>475</v>
      </c>
      <c r="Q4" s="4" t="s">
        <v>476</v>
      </c>
      <c r="R4" s="4" t="s">
        <v>477</v>
      </c>
      <c r="S4" s="4" t="s">
        <v>478</v>
      </c>
      <c r="T4" s="3"/>
      <c r="U4" s="3"/>
      <c r="V4" s="3"/>
      <c r="W4" s="3"/>
      <c r="X4" s="3"/>
      <c r="Y4" s="3"/>
      <c r="Z4" s="3"/>
    </row>
    <row r="5">
      <c r="A5" s="143">
        <v>45931.0</v>
      </c>
      <c r="B5" s="103"/>
      <c r="C5" s="103" t="str">
        <f>IFERROR(LOOKUP(2,1/(('01_일별로그'!$AK$5:$AK$276=YEAR($A5)*100+MONTH($A5))*('01_일별로그'!$B$5:$B$276&lt;&gt;"")),'01_일별로그'!$B$5:$B$276),"")</f>
        <v/>
      </c>
      <c r="D5" s="111">
        <f>IFERROR(SUMIFS('01_일별로그'!$C$5:$C$276,'01_일별로그'!$AK$5:$AK$276,YEAR($A5)*100+MONTH($A5)),"")</f>
        <v>0</v>
      </c>
      <c r="E5" s="104" t="str">
        <f t="shared" ref="E5:E15" si="1">IFERROR(D5/B5,"")</f>
        <v/>
      </c>
      <c r="F5" s="104">
        <f>IFERROR(MINIFS('01_일별로그'!$E$5:$E$276,'01_일별로그'!$AK$5:$AK$276,YEAR($A5)*100+MONTH($A5)),"")</f>
        <v>0</v>
      </c>
      <c r="G5" s="104" t="str">
        <f>IFERROR(AVERAGEIFS('01_일별로그'!$L$5:$L$276,'01_일별로그'!$AK$5:$AK$276,YEAR($A5)*100+MONTH($A5)),"")</f>
        <v/>
      </c>
      <c r="H5" s="104" t="str">
        <f>IFERROR(AVERAGEIFS('01_일별로그'!$K$5:$K$276,'01_일별로그'!$AK$5:$AK$276,YEAR($A5)*100+MONTH($A5)),"")</f>
        <v/>
      </c>
      <c r="I5" s="144" t="str">
        <f>IFERROR(AVERAGEIFS('01_일별로그'!$J$5:$J$276,'01_일별로그'!$AK$5:$AK$276,YEAR($A5)*100+MONTH($A5)),"")</f>
        <v/>
      </c>
      <c r="J5" s="103">
        <f>IFERROR(LOOKUP(2,1/(('01_일별로그'!$AK$5:$AK$276=YEAR($A5)*100+MONTH($A5))*('01_일별로그'!$M$5:$M$276&lt;&gt;"")),'01_일별로그'!$M$5:$M$276),"")</f>
        <v>48440000</v>
      </c>
      <c r="K5" s="103">
        <f>IFERROR(LOOKUP(2,1/(('01_일별로그'!$AK$5:$AK$276=YEAR($A5)*100+MONTH($A5))*('01_일별로그'!$N$5:$N$276&lt;&gt;"")),'01_일별로그'!$N$5:$N$276),"")</f>
        <v>32256167</v>
      </c>
      <c r="L5" s="103" t="str">
        <f>IFERROR(LOOKUP(2,1/(('01_일별로그'!$AK$5:$AK$276=YEAR($A5)*100+MONTH($A5))*('01_일별로그'!$O$5:$O$276&lt;&gt;"")),'01_일별로그'!$O$5:$O$276),"")</f>
        <v/>
      </c>
      <c r="M5" s="145">
        <f>IFERROR(SUMPRODUCT(('09_CF_원금'!$A$113:$A$126=$A5)*'09_CF_원금'!$E$113:$E$126),0)</f>
        <v>0</v>
      </c>
      <c r="N5" s="145">
        <f>IF(MONTH($A5)=12,IFERROR(SUMPRODUCT(('09_CF_원금'!$A$133:$A$134=YEAR($A5))*'09_CF_원금'!$F$133:$F$134),0),0)</f>
        <v>0</v>
      </c>
      <c r="O5" s="111">
        <f t="shared" ref="O5:O19" si="2">IF(D5="","",D5-M5-N5)</f>
        <v>0</v>
      </c>
      <c r="P5" s="71">
        <f>COUNTIFS('01_일별로그'!$AK$5:$AK$276,YEAR($A5)*100+MONTH($A5))</f>
        <v>2</v>
      </c>
      <c r="Q5" s="146">
        <f>SUMIFS('01_일별로그'!$AK$5:$AK$276,'01_일별로그'!$AK$5:$AK$276,YEAR($A5)*100+MONTH($A5))</f>
        <v>405020</v>
      </c>
      <c r="R5" s="114">
        <f t="shared" ref="R5:R19" si="3">IFERROR(1-Q5/P5,"")</f>
        <v>-202509</v>
      </c>
      <c r="S5" s="105"/>
      <c r="T5" s="3"/>
      <c r="U5" s="3"/>
      <c r="V5" s="3"/>
      <c r="W5" s="3"/>
      <c r="X5" s="3"/>
      <c r="Y5" s="3"/>
      <c r="Z5" s="3"/>
    </row>
    <row r="6">
      <c r="A6" s="143">
        <v>45962.0</v>
      </c>
      <c r="B6" s="103" t="str">
        <f t="shared" ref="B6:B15" si="4">IFERROR(C5,"")</f>
        <v/>
      </c>
      <c r="C6" s="103" t="str">
        <f>IFERROR(LOOKUP(2,1/(('01_일별로그'!$AK$5:$AK$276=YEAR($A6)*100+MONTH($A6))*('01_일별로그'!$B$5:$B$276&lt;&gt;"")),'01_일별로그'!$B$5:$B$276),"")</f>
        <v/>
      </c>
      <c r="D6" s="111">
        <f>IFERROR(SUMIFS('01_일별로그'!$C$5:$C$276,'01_일별로그'!$AK$5:$AK$276,YEAR($A6)*100+MONTH($A6)),"")</f>
        <v>0</v>
      </c>
      <c r="E6" s="104" t="str">
        <f t="shared" si="1"/>
        <v/>
      </c>
      <c r="F6" s="104">
        <f>IFERROR(MINIFS('01_일별로그'!$E$5:$E$276,'01_일별로그'!$AK$5:$AK$276,YEAR($A6)*100+MONTH($A6)),"")</f>
        <v>0</v>
      </c>
      <c r="G6" s="104" t="str">
        <f>IFERROR(AVERAGEIFS('01_일별로그'!$L$5:$L$276,'01_일별로그'!$AK$5:$AK$276,YEAR($A6)*100+MONTH($A6)),"")</f>
        <v/>
      </c>
      <c r="H6" s="104" t="str">
        <f>IFERROR(AVERAGEIFS('01_일별로그'!$K$5:$K$276,'01_일별로그'!$AK$5:$AK$276,YEAR($A6)*100+MONTH($A6)),"")</f>
        <v/>
      </c>
      <c r="I6" s="144" t="str">
        <f>IFERROR(AVERAGEIFS('01_일별로그'!$J$5:$J$276,'01_일별로그'!$AK$5:$AK$276,YEAR($A6)*100+MONTH($A6)),"")</f>
        <v/>
      </c>
      <c r="J6" s="103" t="str">
        <f>IFERROR(LOOKUP(2,1/(('01_일별로그'!$AK$5:$AK$276=YEAR($A6)*100+MONTH($A6))*('01_일별로그'!$M$5:$M$276&lt;&gt;"")),'01_일별로그'!$M$5:$M$276),"")</f>
        <v/>
      </c>
      <c r="K6" s="103" t="str">
        <f>IFERROR(LOOKUP(2,1/(('01_일별로그'!$AK$5:$AK$276=YEAR($A6)*100+MONTH($A6))*('01_일별로그'!$N$5:$N$276&lt;&gt;"")),'01_일별로그'!$N$5:$N$276),"")</f>
        <v/>
      </c>
      <c r="L6" s="103" t="str">
        <f>IFERROR(LOOKUP(2,1/(('01_일별로그'!$AK$5:$AK$276=YEAR($A6)*100+MONTH($A6))*('01_일별로그'!$O$5:$O$276&lt;&gt;"")),'01_일별로그'!$O$5:$O$276),"")</f>
        <v/>
      </c>
      <c r="M6" s="145">
        <f>IFERROR(SUMPRODUCT(('09_CF_원금'!$A$113:$A$126=$A6)*'09_CF_원금'!$E$113:$E$126),0)</f>
        <v>609108</v>
      </c>
      <c r="N6" s="145">
        <f>IF(MONTH($A6)=12,IFERROR(SUMPRODUCT(('09_CF_원금'!$A$133:$A$134=YEAR($A6))*'09_CF_원금'!$F$133:$F$134),0),0)</f>
        <v>0</v>
      </c>
      <c r="O6" s="111">
        <f t="shared" si="2"/>
        <v>-609108</v>
      </c>
      <c r="P6" s="71">
        <f>COUNTIFS('01_일별로그'!$AK$5:$AK$276,YEAR($A6)*100+MONTH($A6))</f>
        <v>4</v>
      </c>
      <c r="Q6" s="146">
        <f>SUMIFS('01_일별로그'!$AK$5:$AK$276,'01_일별로그'!$AK$5:$AK$276,YEAR($A6)*100+MONTH($A6))</f>
        <v>810044</v>
      </c>
      <c r="R6" s="114">
        <f t="shared" si="3"/>
        <v>-202510</v>
      </c>
      <c r="S6" s="105"/>
      <c r="T6" s="3"/>
      <c r="U6" s="3"/>
      <c r="V6" s="3"/>
      <c r="W6" s="3"/>
      <c r="X6" s="3"/>
      <c r="Y6" s="3"/>
      <c r="Z6" s="3"/>
    </row>
    <row r="7">
      <c r="A7" s="143">
        <v>45992.0</v>
      </c>
      <c r="B7" s="103" t="str">
        <f t="shared" si="4"/>
        <v/>
      </c>
      <c r="C7" s="103" t="str">
        <f>IFERROR(LOOKUP(2,1/(('01_일별로그'!$AK$5:$AK$276=YEAR($A7)*100+MONTH($A7))*('01_일별로그'!$B$5:$B$276&lt;&gt;"")),'01_일별로그'!$B$5:$B$276),"")</f>
        <v/>
      </c>
      <c r="D7" s="111">
        <f>IFERROR(SUMIFS('01_일별로그'!$C$5:$C$276,'01_일별로그'!$AK$5:$AK$276,YEAR($A7)*100+MONTH($A7)),"")</f>
        <v>0</v>
      </c>
      <c r="E7" s="104" t="str">
        <f t="shared" si="1"/>
        <v/>
      </c>
      <c r="F7" s="104">
        <f>IFERROR(MINIFS('01_일별로그'!$E$5:$E$276,'01_일별로그'!$AK$5:$AK$276,YEAR($A7)*100+MONTH($A7)),"")</f>
        <v>0</v>
      </c>
      <c r="G7" s="104" t="str">
        <f>IFERROR(AVERAGEIFS('01_일별로그'!$L$5:$L$276,'01_일별로그'!$AK$5:$AK$276,YEAR($A7)*100+MONTH($A7)),"")</f>
        <v/>
      </c>
      <c r="H7" s="104" t="str">
        <f>IFERROR(AVERAGEIFS('01_일별로그'!$K$5:$K$276,'01_일별로그'!$AK$5:$AK$276,YEAR($A7)*100+MONTH($A7)),"")</f>
        <v/>
      </c>
      <c r="I7" s="144" t="str">
        <f>IFERROR(AVERAGEIFS('01_일별로그'!$J$5:$J$276,'01_일별로그'!$AK$5:$AK$276,YEAR($A7)*100+MONTH($A7)),"")</f>
        <v/>
      </c>
      <c r="J7" s="103" t="str">
        <f>IFERROR(LOOKUP(2,1/(('01_일별로그'!$AK$5:$AK$276=YEAR($A7)*100+MONTH($A7))*('01_일별로그'!$M$5:$M$276&lt;&gt;"")),'01_일별로그'!$M$5:$M$276),"")</f>
        <v/>
      </c>
      <c r="K7" s="103" t="str">
        <f>IFERROR(LOOKUP(2,1/(('01_일별로그'!$AK$5:$AK$276=YEAR($A7)*100+MONTH($A7))*('01_일별로그'!$N$5:$N$276&lt;&gt;"")),'01_일별로그'!$N$5:$N$276),"")</f>
        <v/>
      </c>
      <c r="L7" s="103" t="str">
        <f>IFERROR(LOOKUP(2,1/(('01_일별로그'!$AK$5:$AK$276=YEAR($A7)*100+MONTH($A7))*('01_일별로그'!$O$5:$O$276&lt;&gt;"")),'01_일별로그'!$O$5:$O$276),"")</f>
        <v/>
      </c>
      <c r="M7" s="145">
        <f>IFERROR(SUMPRODUCT(('09_CF_원금'!$A$113:$A$126=$A7)*'09_CF_원금'!$E$113:$E$126),0)</f>
        <v>404008</v>
      </c>
      <c r="N7" s="145">
        <f>IF(MONTH($A7)=12,IFERROR(SUMPRODUCT(('09_CF_원금'!$A$133:$A$134=YEAR($A7))*'09_CF_원금'!$F$133:$F$134),0),0)</f>
        <v>0</v>
      </c>
      <c r="O7" s="111">
        <f t="shared" si="2"/>
        <v>-404008</v>
      </c>
      <c r="P7" s="71">
        <f>COUNTIFS('01_일별로그'!$AK$5:$AK$276,YEAR($A7)*100+MONTH($A7))</f>
        <v>5</v>
      </c>
      <c r="Q7" s="146">
        <f>SUMIFS('01_일별로그'!$AK$5:$AK$276,'01_일별로그'!$AK$5:$AK$276,YEAR($A7)*100+MONTH($A7))</f>
        <v>1012560</v>
      </c>
      <c r="R7" s="114">
        <f t="shared" si="3"/>
        <v>-202511</v>
      </c>
      <c r="S7" s="105"/>
      <c r="T7" s="3"/>
      <c r="U7" s="3"/>
      <c r="V7" s="3"/>
      <c r="W7" s="3"/>
      <c r="X7" s="3"/>
      <c r="Y7" s="3"/>
      <c r="Z7" s="3"/>
    </row>
    <row r="8">
      <c r="A8" s="143">
        <v>46023.0</v>
      </c>
      <c r="B8" s="103" t="str">
        <f t="shared" si="4"/>
        <v/>
      </c>
      <c r="C8" s="103" t="str">
        <f>IFERROR(LOOKUP(2,1/(('01_일별로그'!$AK$5:$AK$276=YEAR($A8)*100+MONTH($A8))*('01_일별로그'!$B$5:$B$276&lt;&gt;"")),'01_일별로그'!$B$5:$B$276),"")</f>
        <v/>
      </c>
      <c r="D8" s="111">
        <f>IFERROR(SUMIFS('01_일별로그'!$C$5:$C$276,'01_일별로그'!$AK$5:$AK$276,YEAR($A8)*100+MONTH($A8)),"")</f>
        <v>0</v>
      </c>
      <c r="E8" s="104" t="str">
        <f t="shared" si="1"/>
        <v/>
      </c>
      <c r="F8" s="104">
        <f>IFERROR(MINIFS('01_일별로그'!$E$5:$E$276,'01_일별로그'!$AK$5:$AK$276,YEAR($A8)*100+MONTH($A8)),"")</f>
        <v>-0.0628642318</v>
      </c>
      <c r="G8" s="104" t="str">
        <f>IFERROR(AVERAGEIFS('01_일별로그'!$L$5:$L$276,'01_일별로그'!$AK$5:$AK$276,YEAR($A8)*100+MONTH($A8)),"")</f>
        <v/>
      </c>
      <c r="H8" s="104" t="str">
        <f>IFERROR(AVERAGEIFS('01_일별로그'!$K$5:$K$276,'01_일별로그'!$AK$5:$AK$276,YEAR($A8)*100+MONTH($A8)),"")</f>
        <v/>
      </c>
      <c r="I8" s="144" t="str">
        <f>IFERROR(AVERAGEIFS('01_일별로그'!$J$5:$J$276,'01_일별로그'!$AK$5:$AK$276,YEAR($A8)*100+MONTH($A8)),"")</f>
        <v/>
      </c>
      <c r="J8" s="103" t="str">
        <f>IFERROR(LOOKUP(2,1/(('01_일별로그'!$AK$5:$AK$276=YEAR($A8)*100+MONTH($A8))*('01_일별로그'!$M$5:$M$276&lt;&gt;"")),'01_일별로그'!$M$5:$M$276),"")</f>
        <v/>
      </c>
      <c r="K8" s="103" t="str">
        <f>IFERROR(LOOKUP(2,1/(('01_일별로그'!$AK$5:$AK$276=YEAR($A8)*100+MONTH($A8))*('01_일별로그'!$N$5:$N$276&lt;&gt;"")),'01_일별로그'!$N$5:$N$276),"")</f>
        <v/>
      </c>
      <c r="L8" s="103" t="str">
        <f>IFERROR(LOOKUP(2,1/(('01_일별로그'!$AK$5:$AK$276=YEAR($A8)*100+MONTH($A8))*('01_일별로그'!$O$5:$O$276&lt;&gt;"")),'01_일별로그'!$O$5:$O$276),"")</f>
        <v/>
      </c>
      <c r="M8" s="145">
        <f>IFERROR(SUMPRODUCT(('09_CF_원금'!$A$113:$A$126=$A8)*'09_CF_원금'!$E$113:$E$126),0)</f>
        <v>2034300</v>
      </c>
      <c r="N8" s="145">
        <f>IF(MONTH($A8)=12,IFERROR(SUMPRODUCT(('09_CF_원금'!$A$133:$A$134=YEAR($A8))*'09_CF_원금'!$F$133:$F$134),0),0)</f>
        <v>0</v>
      </c>
      <c r="O8" s="111">
        <f t="shared" si="2"/>
        <v>-2034300</v>
      </c>
      <c r="P8" s="71">
        <f>COUNTIFS('01_일별로그'!$AK$5:$AK$276,YEAR($A8)*100+MONTH($A8))</f>
        <v>22</v>
      </c>
      <c r="Q8" s="146">
        <f>SUMIFS('01_일별로그'!$AK$5:$AK$276,'01_일별로그'!$AK$5:$AK$276,YEAR($A8)*100+MONTH($A8))</f>
        <v>4457222</v>
      </c>
      <c r="R8" s="114">
        <f t="shared" si="3"/>
        <v>-202600</v>
      </c>
      <c r="S8" s="105"/>
      <c r="T8" s="3"/>
      <c r="U8" s="3"/>
      <c r="V8" s="3"/>
      <c r="W8" s="3"/>
      <c r="X8" s="3"/>
      <c r="Y8" s="3"/>
      <c r="Z8" s="3"/>
    </row>
    <row r="9">
      <c r="A9" s="143">
        <v>46054.0</v>
      </c>
      <c r="B9" s="103" t="str">
        <f t="shared" si="4"/>
        <v/>
      </c>
      <c r="C9" s="103" t="str">
        <f>IFERROR(LOOKUP(2,1/(('01_일별로그'!$AK$5:$AK$276=YEAR($A9)*100+MONTH($A9))*('01_일별로그'!$B$5:$B$276&lt;&gt;"")),'01_일별로그'!$B$5:$B$276),"")</f>
        <v/>
      </c>
      <c r="D9" s="111">
        <f>IFERROR(SUMIFS('01_일별로그'!$C$5:$C$276,'01_일별로그'!$AK$5:$AK$276,YEAR($A9)*100+MONTH($A9)),"")</f>
        <v>0</v>
      </c>
      <c r="E9" s="104" t="str">
        <f t="shared" si="1"/>
        <v/>
      </c>
      <c r="F9" s="104">
        <f>IFERROR(MINIFS('01_일별로그'!$E$5:$E$276,'01_일별로그'!$AK$5:$AK$276,YEAR($A9)*100+MONTH($A9)),"")</f>
        <v>-0.1357551259</v>
      </c>
      <c r="G9" s="104" t="str">
        <f>IFERROR(AVERAGEIFS('01_일별로그'!$L$5:$L$276,'01_일별로그'!$AK$5:$AK$276,YEAR($A9)*100+MONTH($A9)),"")</f>
        <v/>
      </c>
      <c r="H9" s="104" t="str">
        <f>IFERROR(AVERAGEIFS('01_일별로그'!$K$5:$K$276,'01_일별로그'!$AK$5:$AK$276,YEAR($A9)*100+MONTH($A9)),"")</f>
        <v/>
      </c>
      <c r="I9" s="144" t="str">
        <f>IFERROR(AVERAGEIFS('01_일별로그'!$J$5:$J$276,'01_일별로그'!$AK$5:$AK$276,YEAR($A9)*100+MONTH($A9)),"")</f>
        <v/>
      </c>
      <c r="J9" s="103" t="str">
        <f>IFERROR(LOOKUP(2,1/(('01_일별로그'!$AK$5:$AK$276=YEAR($A9)*100+MONTH($A9))*('01_일별로그'!$M$5:$M$276&lt;&gt;"")),'01_일별로그'!$M$5:$M$276),"")</f>
        <v/>
      </c>
      <c r="K9" s="103" t="str">
        <f>IFERROR(LOOKUP(2,1/(('01_일별로그'!$AK$5:$AK$276=YEAR($A9)*100+MONTH($A9))*('01_일별로그'!$N$5:$N$276&lt;&gt;"")),'01_일별로그'!$N$5:$N$276),"")</f>
        <v/>
      </c>
      <c r="L9" s="103" t="str">
        <f>IFERROR(LOOKUP(2,1/(('01_일별로그'!$AK$5:$AK$276=YEAR($A9)*100+MONTH($A9))*('01_일별로그'!$O$5:$O$276&lt;&gt;"")),'01_일별로그'!$O$5:$O$276),"")</f>
        <v/>
      </c>
      <c r="M9" s="145">
        <f>IFERROR(SUMPRODUCT(('09_CF_원금'!$A$113:$A$126=$A9)*'09_CF_원금'!$E$113:$E$126),0)</f>
        <v>1255350</v>
      </c>
      <c r="N9" s="145">
        <f>IF(MONTH($A9)=12,IFERROR(SUMPRODUCT(('09_CF_원금'!$A$133:$A$134=YEAR($A9))*'09_CF_원금'!$F$133:$F$134),0),0)</f>
        <v>0</v>
      </c>
      <c r="O9" s="111">
        <f t="shared" si="2"/>
        <v>-1255350</v>
      </c>
      <c r="P9" s="71">
        <f>COUNTIFS('01_일별로그'!$AK$5:$AK$276,YEAR($A9)*100+MONTH($A9))</f>
        <v>20</v>
      </c>
      <c r="Q9" s="146">
        <f>SUMIFS('01_일별로그'!$AK$5:$AK$276,'01_일별로그'!$AK$5:$AK$276,YEAR($A9)*100+MONTH($A9))</f>
        <v>4052040</v>
      </c>
      <c r="R9" s="114">
        <f t="shared" si="3"/>
        <v>-202601</v>
      </c>
      <c r="S9" s="105"/>
      <c r="T9" s="3"/>
      <c r="U9" s="3"/>
      <c r="V9" s="3"/>
      <c r="W9" s="3"/>
      <c r="X9" s="3"/>
      <c r="Y9" s="3"/>
      <c r="Z9" s="3"/>
    </row>
    <row r="10">
      <c r="A10" s="143">
        <v>46082.0</v>
      </c>
      <c r="B10" s="103" t="str">
        <f t="shared" si="4"/>
        <v/>
      </c>
      <c r="C10" s="103" t="str">
        <f>IFERROR(LOOKUP(2,1/(('01_일별로그'!$AK$5:$AK$276=YEAR($A10)*100+MONTH($A10))*('01_일별로그'!$B$5:$B$276&lt;&gt;"")),'01_일별로그'!$B$5:$B$276),"")</f>
        <v/>
      </c>
      <c r="D10" s="111">
        <f>IFERROR(SUMIFS('01_일별로그'!$C$5:$C$276,'01_일별로그'!$AK$5:$AK$276,YEAR($A10)*100+MONTH($A10)),"")</f>
        <v>0</v>
      </c>
      <c r="E10" s="104" t="str">
        <f t="shared" si="1"/>
        <v/>
      </c>
      <c r="F10" s="104">
        <f>IFERROR(MINIFS('01_일별로그'!$E$5:$E$276,'01_일별로그'!$AK$5:$AK$276,YEAR($A10)*100+MONTH($A10)),"")</f>
        <v>-0.1769358389</v>
      </c>
      <c r="G10" s="104" t="str">
        <f>IFERROR(AVERAGEIFS('01_일별로그'!$L$5:$L$276,'01_일별로그'!$AK$5:$AK$276,YEAR($A10)*100+MONTH($A10)),"")</f>
        <v/>
      </c>
      <c r="H10" s="104" t="str">
        <f>IFERROR(AVERAGEIFS('01_일별로그'!$K$5:$K$276,'01_일별로그'!$AK$5:$AK$276,YEAR($A10)*100+MONTH($A10)),"")</f>
        <v/>
      </c>
      <c r="I10" s="144" t="str">
        <f>IFERROR(AVERAGEIFS('01_일별로그'!$J$5:$J$276,'01_일별로그'!$AK$5:$AK$276,YEAR($A10)*100+MONTH($A10)),"")</f>
        <v/>
      </c>
      <c r="J10" s="103" t="str">
        <f>IFERROR(LOOKUP(2,1/(('01_일별로그'!$AK$5:$AK$276=YEAR($A10)*100+MONTH($A10))*('01_일별로그'!$M$5:$M$276&lt;&gt;"")),'01_일별로그'!$M$5:$M$276),"")</f>
        <v/>
      </c>
      <c r="K10" s="103" t="str">
        <f>IFERROR(LOOKUP(2,1/(('01_일별로그'!$AK$5:$AK$276=YEAR($A10)*100+MONTH($A10))*('01_일별로그'!$N$5:$N$276&lt;&gt;"")),'01_일별로그'!$N$5:$N$276),"")</f>
        <v/>
      </c>
      <c r="L10" s="103" t="str">
        <f>IFERROR(LOOKUP(2,1/(('01_일별로그'!$AK$5:$AK$276=YEAR($A10)*100+MONTH($A10))*('01_일별로그'!$O$5:$O$276&lt;&gt;"")),'01_일별로그'!$O$5:$O$276),"")</f>
        <v/>
      </c>
      <c r="M10" s="145">
        <f>IFERROR(SUMPRODUCT(('09_CF_원금'!$A$113:$A$126=$A10)*'09_CF_원금'!$E$113:$E$126),0)</f>
        <v>2720632</v>
      </c>
      <c r="N10" s="145">
        <f>IF(MONTH($A10)=12,IFERROR(SUMPRODUCT(('09_CF_원금'!$A$133:$A$134=YEAR($A10))*'09_CF_원금'!$F$133:$F$134),0),0)</f>
        <v>0</v>
      </c>
      <c r="O10" s="111">
        <f t="shared" si="2"/>
        <v>-2720632</v>
      </c>
      <c r="P10" s="71">
        <f>COUNTIFS('01_일별로그'!$AK$5:$AK$276,YEAR($A10)*100+MONTH($A10))</f>
        <v>22</v>
      </c>
      <c r="Q10" s="146">
        <f>SUMIFS('01_일별로그'!$AK$5:$AK$276,'01_일별로그'!$AK$5:$AK$276,YEAR($A10)*100+MONTH($A10))</f>
        <v>4457266</v>
      </c>
      <c r="R10" s="114">
        <f t="shared" si="3"/>
        <v>-202602</v>
      </c>
      <c r="S10" s="105"/>
      <c r="T10" s="3"/>
      <c r="U10" s="3"/>
      <c r="V10" s="3"/>
      <c r="W10" s="3"/>
      <c r="X10" s="3"/>
      <c r="Y10" s="3"/>
      <c r="Z10" s="3"/>
    </row>
    <row r="11">
      <c r="A11" s="143">
        <v>46113.0</v>
      </c>
      <c r="B11" s="103" t="str">
        <f t="shared" si="4"/>
        <v/>
      </c>
      <c r="C11" s="103" t="str">
        <f>IFERROR(LOOKUP(2,1/(('01_일별로그'!$AK$5:$AK$276=YEAR($A11)*100+MONTH($A11))*('01_일별로그'!$B$5:$B$276&lt;&gt;"")),'01_일별로그'!$B$5:$B$276),"")</f>
        <v/>
      </c>
      <c r="D11" s="111">
        <f>IFERROR(SUMIFS('01_일별로그'!$C$5:$C$276,'01_일별로그'!$AK$5:$AK$276,YEAR($A11)*100+MONTH($A11)),"")</f>
        <v>0</v>
      </c>
      <c r="E11" s="104" t="str">
        <f t="shared" si="1"/>
        <v/>
      </c>
      <c r="F11" s="104">
        <f>IFERROR(MINIFS('01_일별로그'!$E$5:$E$276,'01_일별로그'!$AK$5:$AK$276,YEAR($A11)*100+MONTH($A11)),"")</f>
        <v>0</v>
      </c>
      <c r="G11" s="104" t="str">
        <f>IFERROR(AVERAGEIFS('01_일별로그'!$L$5:$L$276,'01_일별로그'!$AK$5:$AK$276,YEAR($A11)*100+MONTH($A11)),"")</f>
        <v/>
      </c>
      <c r="H11" s="104" t="str">
        <f>IFERROR(AVERAGEIFS('01_일별로그'!$K$5:$K$276,'01_일별로그'!$AK$5:$AK$276,YEAR($A11)*100+MONTH($A11)),"")</f>
        <v/>
      </c>
      <c r="I11" s="144" t="str">
        <f>IFERROR(AVERAGEIFS('01_일별로그'!$J$5:$J$276,'01_일별로그'!$AK$5:$AK$276,YEAR($A11)*100+MONTH($A11)),"")</f>
        <v/>
      </c>
      <c r="J11" s="103" t="str">
        <f>IFERROR(LOOKUP(2,1/(('01_일별로그'!$AK$5:$AK$276=YEAR($A11)*100+MONTH($A11))*('01_일별로그'!$M$5:$M$276&lt;&gt;"")),'01_일별로그'!$M$5:$M$276),"")</f>
        <v/>
      </c>
      <c r="K11" s="103" t="str">
        <f>IFERROR(LOOKUP(2,1/(('01_일별로그'!$AK$5:$AK$276=YEAR($A11)*100+MONTH($A11))*('01_일별로그'!$N$5:$N$276&lt;&gt;"")),'01_일별로그'!$N$5:$N$276),"")</f>
        <v/>
      </c>
      <c r="L11" s="103" t="str">
        <f>IFERROR(LOOKUP(2,1/(('01_일별로그'!$AK$5:$AK$276=YEAR($A11)*100+MONTH($A11))*('01_일별로그'!$O$5:$O$276&lt;&gt;"")),'01_일별로그'!$O$5:$O$276),"")</f>
        <v/>
      </c>
      <c r="M11" s="145">
        <f>IFERROR(SUMPRODUCT(('09_CF_원금'!$A$113:$A$126=$A11)*'09_CF_원금'!$E$113:$E$126),0)</f>
        <v>3178286</v>
      </c>
      <c r="N11" s="145">
        <f>IF(MONTH($A11)=12,IFERROR(SUMPRODUCT(('09_CF_원금'!$A$133:$A$134=YEAR($A11))*'09_CF_원금'!$F$133:$F$134),0),0)</f>
        <v>0</v>
      </c>
      <c r="O11" s="111">
        <f t="shared" si="2"/>
        <v>-3178286</v>
      </c>
      <c r="P11" s="71">
        <f>COUNTIFS('01_일별로그'!$AK$5:$AK$276,YEAR($A11)*100+MONTH($A11))</f>
        <v>22</v>
      </c>
      <c r="Q11" s="146">
        <f>SUMIFS('01_일별로그'!$AK$5:$AK$276,'01_일별로그'!$AK$5:$AK$276,YEAR($A11)*100+MONTH($A11))</f>
        <v>4457288</v>
      </c>
      <c r="R11" s="114">
        <f t="shared" si="3"/>
        <v>-202603</v>
      </c>
      <c r="S11" s="105"/>
      <c r="T11" s="3"/>
      <c r="U11" s="3"/>
      <c r="V11" s="3"/>
      <c r="W11" s="3"/>
      <c r="X11" s="3"/>
      <c r="Y11" s="3"/>
      <c r="Z11" s="3"/>
    </row>
    <row r="12">
      <c r="A12" s="143">
        <v>46143.0</v>
      </c>
      <c r="B12" s="103" t="str">
        <f t="shared" si="4"/>
        <v/>
      </c>
      <c r="C12" s="103" t="str">
        <f>IFERROR(LOOKUP(2,1/(('01_일별로그'!$AK$5:$AK$276=YEAR($A12)*100+MONTH($A12))*('01_일별로그'!$B$5:$B$276&lt;&gt;"")),'01_일별로그'!$B$5:$B$276),"")</f>
        <v/>
      </c>
      <c r="D12" s="111">
        <f>IFERROR(SUMIFS('01_일별로그'!$C$5:$C$276,'01_일별로그'!$AK$5:$AK$276,YEAR($A12)*100+MONTH($A12)),"")</f>
        <v>0</v>
      </c>
      <c r="E12" s="104" t="str">
        <f t="shared" si="1"/>
        <v/>
      </c>
      <c r="F12" s="104">
        <f>IFERROR(MINIFS('01_일별로그'!$E$5:$E$276,'01_일별로그'!$AK$5:$AK$276,YEAR($A12)*100+MONTH($A12)),"")</f>
        <v>0</v>
      </c>
      <c r="G12" s="104" t="str">
        <f>IFERROR(AVERAGEIFS('01_일별로그'!$L$5:$L$276,'01_일별로그'!$AK$5:$AK$276,YEAR($A12)*100+MONTH($A12)),"")</f>
        <v/>
      </c>
      <c r="H12" s="104" t="str">
        <f>IFERROR(AVERAGEIFS('01_일별로그'!$K$5:$K$276,'01_일별로그'!$AK$5:$AK$276,YEAR($A12)*100+MONTH($A12)),"")</f>
        <v/>
      </c>
      <c r="I12" s="144" t="str">
        <f>IFERROR(AVERAGEIFS('01_일별로그'!$J$5:$J$276,'01_일별로그'!$AK$5:$AK$276,YEAR($A12)*100+MONTH($A12)),"")</f>
        <v/>
      </c>
      <c r="J12" s="103" t="str">
        <f>IFERROR(LOOKUP(2,1/(('01_일별로그'!$AK$5:$AK$276=YEAR($A12)*100+MONTH($A12))*('01_일별로그'!$M$5:$M$276&lt;&gt;"")),'01_일별로그'!$M$5:$M$276),"")</f>
        <v/>
      </c>
      <c r="K12" s="103" t="str">
        <f>IFERROR(LOOKUP(2,1/(('01_일별로그'!$AK$5:$AK$276=YEAR($A12)*100+MONTH($A12))*('01_일별로그'!$N$5:$N$276&lt;&gt;"")),'01_일별로그'!$N$5:$N$276),"")</f>
        <v/>
      </c>
      <c r="L12" s="103" t="str">
        <f>IFERROR(LOOKUP(2,1/(('01_일별로그'!$AK$5:$AK$276=YEAR($A12)*100+MONTH($A12))*('01_일별로그'!$O$5:$O$276&lt;&gt;"")),'01_일별로그'!$O$5:$O$276),"")</f>
        <v/>
      </c>
      <c r="M12" s="145">
        <f>IFERROR(SUMPRODUCT(('09_CF_원금'!$A$113:$A$126=$A12)*'09_CF_원금'!$E$113:$E$126),0)</f>
        <v>2845377</v>
      </c>
      <c r="N12" s="145">
        <f>IF(MONTH($A12)=12,IFERROR(SUMPRODUCT(('09_CF_원금'!$A$133:$A$134=YEAR($A12))*'09_CF_원금'!$F$133:$F$134),0),0)</f>
        <v>0</v>
      </c>
      <c r="O12" s="111">
        <f t="shared" si="2"/>
        <v>-2845377</v>
      </c>
      <c r="P12" s="71">
        <f>COUNTIFS('01_일별로그'!$AK$5:$AK$276,YEAR($A12)*100+MONTH($A12))</f>
        <v>21</v>
      </c>
      <c r="Q12" s="146">
        <f>SUMIFS('01_일별로그'!$AK$5:$AK$276,'01_일별로그'!$AK$5:$AK$276,YEAR($A12)*100+MONTH($A12))</f>
        <v>4254705</v>
      </c>
      <c r="R12" s="114">
        <f t="shared" si="3"/>
        <v>-202604</v>
      </c>
      <c r="S12" s="105"/>
      <c r="T12" s="3"/>
      <c r="U12" s="3"/>
      <c r="V12" s="3"/>
      <c r="W12" s="3"/>
      <c r="X12" s="3"/>
      <c r="Y12" s="3"/>
      <c r="Z12" s="3"/>
    </row>
    <row r="13">
      <c r="A13" s="143">
        <v>46174.0</v>
      </c>
      <c r="B13" s="103" t="str">
        <f t="shared" si="4"/>
        <v/>
      </c>
      <c r="C13" s="103" t="str">
        <f>IFERROR(LOOKUP(2,1/(('01_일별로그'!$AK$5:$AK$276=YEAR($A13)*100+MONTH($A13))*('01_일별로그'!$B$5:$B$276&lt;&gt;"")),'01_일별로그'!$B$5:$B$276),"")</f>
        <v/>
      </c>
      <c r="D13" s="111">
        <f>IFERROR(SUMIFS('01_일별로그'!$C$5:$C$276,'01_일별로그'!$AK$5:$AK$276,YEAR($A13)*100+MONTH($A13)),"")</f>
        <v>0</v>
      </c>
      <c r="E13" s="104" t="str">
        <f t="shared" si="1"/>
        <v/>
      </c>
      <c r="F13" s="104">
        <f>IFERROR(MINIFS('01_일별로그'!$E$5:$E$276,'01_일별로그'!$AK$5:$AK$276,YEAR($A13)*100+MONTH($A13)),"")</f>
        <v>-0.3134168494</v>
      </c>
      <c r="G13" s="104" t="str">
        <f>IFERROR(AVERAGEIFS('01_일별로그'!$L$5:$L$276,'01_일별로그'!$AK$5:$AK$276,YEAR($A13)*100+MONTH($A13)),"")</f>
        <v/>
      </c>
      <c r="H13" s="104" t="str">
        <f>IFERROR(AVERAGEIFS('01_일별로그'!$K$5:$K$276,'01_일별로그'!$AK$5:$AK$276,YEAR($A13)*100+MONTH($A13)),"")</f>
        <v/>
      </c>
      <c r="I13" s="144" t="str">
        <f>IFERROR(AVERAGEIFS('01_일별로그'!$J$5:$J$276,'01_일별로그'!$AK$5:$AK$276,YEAR($A13)*100+MONTH($A13)),"")</f>
        <v/>
      </c>
      <c r="J13" s="103" t="str">
        <f>IFERROR(LOOKUP(2,1/(('01_일별로그'!$AK$5:$AK$276=YEAR($A13)*100+MONTH($A13))*('01_일별로그'!$M$5:$M$276&lt;&gt;"")),'01_일별로그'!$M$5:$M$276),"")</f>
        <v/>
      </c>
      <c r="K13" s="103" t="str">
        <f>IFERROR(LOOKUP(2,1/(('01_일별로그'!$AK$5:$AK$276=YEAR($A13)*100+MONTH($A13))*('01_일별로그'!$N$5:$N$276&lt;&gt;"")),'01_일별로그'!$N$5:$N$276),"")</f>
        <v/>
      </c>
      <c r="L13" s="103" t="str">
        <f>IFERROR(LOOKUP(2,1/(('01_일별로그'!$AK$5:$AK$276=YEAR($A13)*100+MONTH($A13))*('01_일별로그'!$O$5:$O$276&lt;&gt;"")),'01_일별로그'!$O$5:$O$276),"")</f>
        <v/>
      </c>
      <c r="M13" s="145">
        <f>IFERROR(SUMPRODUCT(('09_CF_원금'!$A$113:$A$126=$A13)*'09_CF_원금'!$E$113:$E$126),0)</f>
        <v>2766879</v>
      </c>
      <c r="N13" s="145">
        <f>IF(MONTH($A13)=12,IFERROR(SUMPRODUCT(('09_CF_원금'!$A$133:$A$134=YEAR($A13))*'09_CF_원금'!$F$133:$F$134),0),0)</f>
        <v>0</v>
      </c>
      <c r="O13" s="111">
        <f t="shared" si="2"/>
        <v>-2766879</v>
      </c>
      <c r="P13" s="71">
        <f>COUNTIFS('01_일별로그'!$AK$5:$AK$276,YEAR($A13)*100+MONTH($A13))</f>
        <v>22</v>
      </c>
      <c r="Q13" s="146">
        <f>SUMIFS('01_일별로그'!$AK$5:$AK$276,'01_일별로그'!$AK$5:$AK$276,YEAR($A13)*100+MONTH($A13))</f>
        <v>4457332</v>
      </c>
      <c r="R13" s="114">
        <f t="shared" si="3"/>
        <v>-202605</v>
      </c>
      <c r="S13" s="105"/>
      <c r="T13" s="3"/>
      <c r="U13" s="3"/>
      <c r="V13" s="3"/>
      <c r="W13" s="3"/>
      <c r="X13" s="3"/>
      <c r="Y13" s="3"/>
      <c r="Z13" s="3"/>
    </row>
    <row r="14">
      <c r="A14" s="143">
        <v>46204.0</v>
      </c>
      <c r="B14" s="103" t="str">
        <f t="shared" si="4"/>
        <v/>
      </c>
      <c r="C14" s="103" t="str">
        <f>IFERROR(LOOKUP(2,1/(('01_일별로그'!$AK$5:$AK$276=YEAR($A14)*100+MONTH($A14))*('01_일별로그'!$B$5:$B$276&lt;&gt;"")),'01_일별로그'!$B$5:$B$276),"")</f>
        <v/>
      </c>
      <c r="D14" s="111">
        <f>IFERROR(SUMIFS('01_일별로그'!$C$5:$C$276,'01_일별로그'!$AK$5:$AK$276,YEAR($A14)*100+MONTH($A14)),"")</f>
        <v>0</v>
      </c>
      <c r="E14" s="104" t="str">
        <f t="shared" si="1"/>
        <v/>
      </c>
      <c r="F14" s="104">
        <f>IFERROR(MINIFS('01_일별로그'!$E$5:$E$276,'01_일별로그'!$AK$5:$AK$276,YEAR($A14)*100+MONTH($A14)),"")</f>
        <v>-0.7542987572</v>
      </c>
      <c r="G14" s="104">
        <f>IFERROR(AVERAGEIFS('01_일별로그'!$L$5:$L$276,'01_일별로그'!$AK$5:$AK$276,YEAR($A14)*100+MONTH($A14)),"")</f>
        <v>0.02646742554</v>
      </c>
      <c r="H14" s="104">
        <f>IFERROR(AVERAGEIFS('01_일별로그'!$K$5:$K$276,'01_일별로그'!$AK$5:$AK$276,YEAR($A14)*100+MONTH($A14)),"")</f>
        <v>0.6704491401</v>
      </c>
      <c r="I14" s="144">
        <f>IFERROR(AVERAGEIFS('01_일별로그'!$J$5:$J$276,'01_일별로그'!$AK$5:$AK$276,YEAR($A14)*100+MONTH($A14)),"")</f>
        <v>8.978575594</v>
      </c>
      <c r="J14" s="103" t="str">
        <f>IFERROR(LOOKUP(2,1/(('01_일별로그'!$AK$5:$AK$276=YEAR($A14)*100+MONTH($A14))*('01_일별로그'!$M$5:$M$276&lt;&gt;"")),'01_일별로그'!$M$5:$M$276),"")</f>
        <v/>
      </c>
      <c r="K14" s="103" t="str">
        <f>IFERROR(LOOKUP(2,1/(('01_일별로그'!$AK$5:$AK$276=YEAR($A14)*100+MONTH($A14))*('01_일별로그'!$N$5:$N$276&lt;&gt;"")),'01_일별로그'!$N$5:$N$276),"")</f>
        <v/>
      </c>
      <c r="L14" s="103" t="str">
        <f>IFERROR(LOOKUP(2,1/(('01_일별로그'!$AK$5:$AK$276=YEAR($A14)*100+MONTH($A14))*('01_일별로그'!$O$5:$O$276&lt;&gt;"")),'01_일별로그'!$O$5:$O$276),"")</f>
        <v/>
      </c>
      <c r="M14" s="145">
        <f>IFERROR(SUMPRODUCT(('09_CF_원금'!$A$113:$A$126=$A14)*'09_CF_원금'!$E$113:$E$126),0)</f>
        <v>4024928</v>
      </c>
      <c r="N14" s="145">
        <f>IF(MONTH($A14)=12,IFERROR(SUMPRODUCT(('09_CF_원금'!$A$133:$A$134=YEAR($A14))*'09_CF_원금'!$F$133:$F$134),0),0)</f>
        <v>0</v>
      </c>
      <c r="O14" s="111">
        <f t="shared" si="2"/>
        <v>-4024928</v>
      </c>
      <c r="P14" s="71">
        <f>COUNTIFS('01_일별로그'!$AK$5:$AK$276,YEAR($A14)*100+MONTH($A14))</f>
        <v>23</v>
      </c>
      <c r="Q14" s="146">
        <f>SUMIFS('01_일별로그'!$AK$5:$AK$276,'01_일별로그'!$AK$5:$AK$276,YEAR($A14)*100+MONTH($A14))</f>
        <v>4659961</v>
      </c>
      <c r="R14" s="114">
        <f t="shared" si="3"/>
        <v>-202606</v>
      </c>
      <c r="S14" s="105"/>
      <c r="T14" s="3"/>
      <c r="U14" s="3"/>
      <c r="V14" s="3"/>
      <c r="W14" s="3"/>
      <c r="X14" s="3"/>
      <c r="Y14" s="3"/>
      <c r="Z14" s="3"/>
    </row>
    <row r="15">
      <c r="A15" s="143">
        <v>46235.0</v>
      </c>
      <c r="B15" s="103" t="str">
        <f t="shared" si="4"/>
        <v/>
      </c>
      <c r="C15" s="103" t="str">
        <f>IFERROR(LOOKUP(2,1/(('01_일별로그'!$AK$5:$AK$276=YEAR($A15)*100+MONTH($A15))*('01_일별로그'!$B$5:$B$276&lt;&gt;"")),'01_일별로그'!$B$5:$B$276),"")</f>
        <v/>
      </c>
      <c r="D15" s="111">
        <f>IFERROR(SUMIFS('01_일별로그'!$C$5:$C$276,'01_일별로그'!$AK$5:$AK$276,YEAR($A15)*100+MONTH($A15)),"")</f>
        <v>0</v>
      </c>
      <c r="E15" s="104" t="str">
        <f t="shared" si="1"/>
        <v/>
      </c>
      <c r="F15" s="104">
        <f>IFERROR(MINIFS('01_일별로그'!$E$5:$E$276,'01_일별로그'!$AK$5:$AK$276,YEAR($A15)*100+MONTH($A15)),"")</f>
        <v>-0.6019455039</v>
      </c>
      <c r="G15" s="104">
        <f>IFERROR(AVERAGEIFS('01_일별로그'!$L$5:$L$276,'01_일별로그'!$AK$5:$AK$276,YEAR($A15)*100+MONTH($A15)),"")</f>
        <v>0.002318380761</v>
      </c>
      <c r="H15" s="104">
        <f>IFERROR(AVERAGEIFS('01_일별로그'!$K$5:$K$276,'01_일별로그'!$AK$5:$AK$276,YEAR($A15)*100+MONTH($A15)),"")</f>
        <v>0.6528159802</v>
      </c>
      <c r="I15" s="144">
        <f>IFERROR(AVERAGEIFS('01_일별로그'!$J$5:$J$276,'01_일별로그'!$AK$5:$AK$276,YEAR($A15)*100+MONTH($A15)),"")</f>
        <v>9.235775804</v>
      </c>
      <c r="J15" s="103" t="str">
        <f>IFERROR(LOOKUP(2,1/(('01_일별로그'!$AK$5:$AK$276=YEAR($A15)*100+MONTH($A15))*('01_일별로그'!$M$5:$M$276&lt;&gt;"")),'01_일별로그'!$M$5:$M$276),"")</f>
        <v/>
      </c>
      <c r="K15" s="103" t="str">
        <f>IFERROR(LOOKUP(2,1/(('01_일별로그'!$AK$5:$AK$276=YEAR($A15)*100+MONTH($A15))*('01_일별로그'!$N$5:$N$276&lt;&gt;"")),'01_일별로그'!$N$5:$N$276),"")</f>
        <v/>
      </c>
      <c r="L15" s="103" t="str">
        <f>IFERROR(LOOKUP(2,1/(('01_일별로그'!$AK$5:$AK$276=YEAR($A15)*100+MONTH($A15))*('01_일별로그'!$O$5:$O$276&lt;&gt;"")),'01_일별로그'!$O$5:$O$276),"")</f>
        <v/>
      </c>
      <c r="M15" s="145">
        <f>IFERROR(SUMPRODUCT(('09_CF_원금'!$A$113:$A$126=$A15)*'09_CF_원금'!$E$113:$E$126),0)</f>
        <v>0</v>
      </c>
      <c r="N15" s="145">
        <f>IF(MONTH($A15)=12,IFERROR(SUMPRODUCT(('09_CF_원금'!$A$133:$A$134=YEAR($A15))*'09_CF_원금'!$F$133:$F$134),0),0)</f>
        <v>0</v>
      </c>
      <c r="O15" s="111">
        <f t="shared" si="2"/>
        <v>0</v>
      </c>
      <c r="P15" s="71">
        <f>COUNTIFS('01_일별로그'!$AK$5:$AK$276,YEAR($A15)*100+MONTH($A15))</f>
        <v>21</v>
      </c>
      <c r="Q15" s="146">
        <f>SUMIFS('01_일별로그'!$AK$5:$AK$276,'01_일별로그'!$AK$5:$AK$276,YEAR($A15)*100+MONTH($A15))</f>
        <v>4254768</v>
      </c>
      <c r="R15" s="114">
        <f t="shared" si="3"/>
        <v>-202607</v>
      </c>
      <c r="S15" s="105"/>
      <c r="T15" s="3"/>
      <c r="U15" s="3"/>
      <c r="V15" s="3"/>
      <c r="W15" s="3"/>
      <c r="X15" s="3"/>
      <c r="Y15" s="3"/>
      <c r="Z15" s="3"/>
    </row>
    <row r="16">
      <c r="A16" s="143"/>
      <c r="B16" s="103"/>
      <c r="C16" s="103"/>
      <c r="D16" s="111"/>
      <c r="E16" s="104"/>
      <c r="F16" s="104"/>
      <c r="G16" s="104"/>
      <c r="H16" s="104"/>
      <c r="I16" s="144"/>
      <c r="J16" s="103"/>
      <c r="K16" s="103"/>
      <c r="L16" s="103"/>
      <c r="M16" s="145">
        <f>IFERROR(SUMPRODUCT(('09_CF_원금'!$A$113:$A$126=$A16)*'09_CF_원금'!$E$113:$E$126),0)</f>
        <v>0</v>
      </c>
      <c r="N16" s="145">
        <f>IF(MONTH($A16)=12,IFERROR(SUMPRODUCT(('09_CF_원금'!$A$133:$A$134=YEAR($A16))*'09_CF_원금'!$F$133:$F$134),0),0)</f>
        <v>0</v>
      </c>
      <c r="O16" s="111" t="str">
        <f t="shared" si="2"/>
        <v/>
      </c>
      <c r="P16" s="71">
        <f>COUNTIFS('01_일별로그'!$AK$5:$AK$276,YEAR($A16)*100+MONTH($A16))</f>
        <v>0</v>
      </c>
      <c r="Q16" s="146">
        <f>SUMIFS('01_일별로그'!$AK$5:$AK$276,'01_일별로그'!$AK$5:$AK$276,YEAR($A16)*100+MONTH($A16))</f>
        <v>0</v>
      </c>
      <c r="R16" s="114" t="str">
        <f t="shared" si="3"/>
        <v/>
      </c>
      <c r="S16" s="105"/>
      <c r="T16" s="3"/>
      <c r="U16" s="3"/>
      <c r="V16" s="3"/>
      <c r="W16" s="3"/>
      <c r="X16" s="3"/>
      <c r="Y16" s="3"/>
      <c r="Z16" s="3"/>
    </row>
    <row r="17">
      <c r="A17" s="143"/>
      <c r="B17" s="103"/>
      <c r="C17" s="103"/>
      <c r="D17" s="111"/>
      <c r="E17" s="104"/>
      <c r="F17" s="104"/>
      <c r="G17" s="104"/>
      <c r="H17" s="104"/>
      <c r="I17" s="144"/>
      <c r="J17" s="103"/>
      <c r="K17" s="103"/>
      <c r="L17" s="103"/>
      <c r="M17" s="145">
        <f>IFERROR(SUMPRODUCT(('09_CF_원금'!$A$113:$A$126=$A17)*'09_CF_원금'!$E$113:$E$126),0)</f>
        <v>0</v>
      </c>
      <c r="N17" s="145">
        <f>IF(MONTH($A17)=12,IFERROR(SUMPRODUCT(('09_CF_원금'!$A$133:$A$134=YEAR($A17))*'09_CF_원금'!$F$133:$F$134),0),0)</f>
        <v>0</v>
      </c>
      <c r="O17" s="111" t="str">
        <f t="shared" si="2"/>
        <v/>
      </c>
      <c r="P17" s="71">
        <f>COUNTIFS('01_일별로그'!$AK$5:$AK$276,YEAR($A17)*100+MONTH($A17))</f>
        <v>0</v>
      </c>
      <c r="Q17" s="146">
        <f>SUMIFS('01_일별로그'!$AK$5:$AK$276,'01_일별로그'!$AK$5:$AK$276,YEAR($A17)*100+MONTH($A17))</f>
        <v>0</v>
      </c>
      <c r="R17" s="114" t="str">
        <f t="shared" si="3"/>
        <v/>
      </c>
      <c r="S17" s="105"/>
      <c r="T17" s="3"/>
      <c r="U17" s="3"/>
      <c r="V17" s="3"/>
      <c r="W17" s="3"/>
      <c r="X17" s="3"/>
      <c r="Y17" s="3"/>
      <c r="Z17" s="3"/>
    </row>
    <row r="18">
      <c r="A18" s="143"/>
      <c r="B18" s="103"/>
      <c r="C18" s="103"/>
      <c r="D18" s="111"/>
      <c r="E18" s="104"/>
      <c r="F18" s="104"/>
      <c r="G18" s="104"/>
      <c r="H18" s="104"/>
      <c r="I18" s="144"/>
      <c r="J18" s="103"/>
      <c r="K18" s="103"/>
      <c r="L18" s="103"/>
      <c r="M18" s="145">
        <f>IFERROR(SUMPRODUCT(('09_CF_원금'!$A$113:$A$126=$A18)*'09_CF_원금'!$E$113:$E$126),0)</f>
        <v>0</v>
      </c>
      <c r="N18" s="145">
        <f>IF(MONTH($A18)=12,IFERROR(SUMPRODUCT(('09_CF_원금'!$A$133:$A$134=YEAR($A18))*'09_CF_원금'!$F$133:$F$134),0),0)</f>
        <v>0</v>
      </c>
      <c r="O18" s="111" t="str">
        <f t="shared" si="2"/>
        <v/>
      </c>
      <c r="P18" s="71">
        <f>COUNTIFS('01_일별로그'!$AK$5:$AK$276,YEAR($A18)*100+MONTH($A18))</f>
        <v>0</v>
      </c>
      <c r="Q18" s="146">
        <f>SUMIFS('01_일별로그'!$AK$5:$AK$276,'01_일별로그'!$AK$5:$AK$276,YEAR($A18)*100+MONTH($A18))</f>
        <v>0</v>
      </c>
      <c r="R18" s="114" t="str">
        <f t="shared" si="3"/>
        <v/>
      </c>
      <c r="S18" s="105"/>
      <c r="T18" s="3"/>
      <c r="U18" s="3"/>
      <c r="V18" s="3"/>
      <c r="W18" s="3"/>
      <c r="X18" s="3"/>
      <c r="Y18" s="3"/>
      <c r="Z18" s="3"/>
    </row>
    <row r="19">
      <c r="A19" s="143"/>
      <c r="B19" s="103"/>
      <c r="C19" s="103"/>
      <c r="D19" s="111"/>
      <c r="E19" s="104"/>
      <c r="F19" s="104"/>
      <c r="G19" s="104"/>
      <c r="H19" s="104"/>
      <c r="I19" s="144"/>
      <c r="J19" s="103"/>
      <c r="K19" s="103"/>
      <c r="L19" s="103"/>
      <c r="M19" s="145">
        <f>IFERROR(SUMPRODUCT(('09_CF_원금'!$A$113:$A$126=$A19)*'09_CF_원금'!$E$113:$E$126),0)</f>
        <v>0</v>
      </c>
      <c r="N19" s="145">
        <f>IF(MONTH($A19)=12,IFERROR(SUMPRODUCT(('09_CF_원금'!$A$133:$A$134=YEAR($A19))*'09_CF_원금'!$F$133:$F$134),0),0)</f>
        <v>0</v>
      </c>
      <c r="O19" s="111" t="str">
        <f t="shared" si="2"/>
        <v/>
      </c>
      <c r="P19" s="71">
        <f>COUNTIFS('01_일별로그'!$AK$5:$AK$276,YEAR($A19)*100+MONTH($A19))</f>
        <v>0</v>
      </c>
      <c r="Q19" s="146">
        <f>SUMIFS('01_일별로그'!$AK$5:$AK$276,'01_일별로그'!$AK$5:$AK$276,YEAR($A19)*100+MONTH($A19))</f>
        <v>0</v>
      </c>
      <c r="R19" s="114" t="str">
        <f t="shared" si="3"/>
        <v/>
      </c>
      <c r="S19" s="105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mergeCells count="1">
    <mergeCell ref="A1:S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9" t="s">
        <v>568</v>
      </c>
      <c r="B1" s="20"/>
      <c r="C1" s="20"/>
      <c r="D1" s="20"/>
      <c r="E1" s="20"/>
      <c r="F1" s="20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6" width="16.0"/>
    <col customWidth="1" min="7" max="7" width="46.0"/>
    <col customWidth="1" min="8" max="12" width="16.0"/>
  </cols>
  <sheetData>
    <row r="1">
      <c r="A1" s="19" t="s">
        <v>479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7" t="s">
        <v>480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2" t="s">
        <v>481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482</v>
      </c>
      <c r="B5" s="4" t="s">
        <v>483</v>
      </c>
      <c r="C5" s="4" t="s">
        <v>484</v>
      </c>
      <c r="D5" s="4" t="s">
        <v>485</v>
      </c>
      <c r="E5" s="4" t="s">
        <v>351</v>
      </c>
      <c r="F5" s="4" t="s">
        <v>486</v>
      </c>
      <c r="G5" s="4" t="s">
        <v>19</v>
      </c>
      <c r="H5" s="4" t="s">
        <v>487</v>
      </c>
      <c r="I5" s="4" t="s">
        <v>488</v>
      </c>
      <c r="J5" s="4" t="s">
        <v>489</v>
      </c>
      <c r="K5" s="4" t="s">
        <v>490</v>
      </c>
      <c r="L5" s="4" t="s">
        <v>491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9">
        <v>45979.0</v>
      </c>
      <c r="B6" s="10" t="s">
        <v>492</v>
      </c>
      <c r="C6" s="10"/>
      <c r="D6" s="10" t="s">
        <v>123</v>
      </c>
      <c r="E6" s="12">
        <v>1.5E8</v>
      </c>
      <c r="F6" s="10" t="s">
        <v>493</v>
      </c>
      <c r="G6" s="105" t="s">
        <v>494</v>
      </c>
      <c r="H6" s="103">
        <f t="shared" ref="H6:H92" si="1">IF($A6="","",SUMIFS($E$6:$E6,$D$6:$D6,"국장")-SUMIFS($E$6:$E6,$C$6:$C6,"국장"))</f>
        <v>0</v>
      </c>
      <c r="I6" s="103">
        <f t="shared" ref="I6:I92" si="2">IF($A6="","",SUMIFS($E$6:$E6,$D$6:$D6,"미장")-SUMIFS($E$6:$E6,$C$6:$C6,"미장"))</f>
        <v>150000000</v>
      </c>
      <c r="J6" s="103">
        <f t="shared" ref="J6:J92" si="3">IF($A6="","",SUMIFS($E$6:$E6,$D$6:$D6,"ISA")-SUMIFS($E$6:$E6,$C$6:$C6,"ISA"))</f>
        <v>0</v>
      </c>
      <c r="K6" s="103">
        <f t="shared" ref="K6:K92" si="4">IF($A6="","",SUMIFS($E$6:$E6,$D$6:$D6,"중국")-SUMIFS($E$6:$E6,$C$6:$C6,"중국")+SUMIFS($E$6:$E6,$D$6:$D6,"업비트")-SUMIFS($E$6:$E6,$C$6:$C6,"업비트"))</f>
        <v>0</v>
      </c>
      <c r="L6" s="103">
        <f t="shared" ref="L6:L92" si="5">sum(H6:K6)</f>
        <v>150000000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9">
        <v>45979.0</v>
      </c>
      <c r="B7" s="10" t="s">
        <v>492</v>
      </c>
      <c r="C7" s="10"/>
      <c r="D7" s="10" t="s">
        <v>117</v>
      </c>
      <c r="E7" s="12">
        <v>8.0E7</v>
      </c>
      <c r="F7" s="10" t="s">
        <v>493</v>
      </c>
      <c r="G7" s="105" t="s">
        <v>494</v>
      </c>
      <c r="H7" s="103">
        <f t="shared" si="1"/>
        <v>80000000</v>
      </c>
      <c r="I7" s="103">
        <f t="shared" si="2"/>
        <v>150000000</v>
      </c>
      <c r="J7" s="103">
        <f t="shared" si="3"/>
        <v>0</v>
      </c>
      <c r="K7" s="103">
        <f t="shared" si="4"/>
        <v>0</v>
      </c>
      <c r="L7" s="103">
        <f t="shared" si="5"/>
        <v>230000000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9">
        <v>45979.0</v>
      </c>
      <c r="B8" s="10" t="s">
        <v>492</v>
      </c>
      <c r="C8" s="10"/>
      <c r="D8" s="10" t="s">
        <v>126</v>
      </c>
      <c r="E8" s="12">
        <v>4.0E7</v>
      </c>
      <c r="F8" s="10" t="s">
        <v>493</v>
      </c>
      <c r="G8" s="105" t="s">
        <v>494</v>
      </c>
      <c r="H8" s="103">
        <f t="shared" si="1"/>
        <v>80000000</v>
      </c>
      <c r="I8" s="103">
        <f t="shared" si="2"/>
        <v>150000000</v>
      </c>
      <c r="J8" s="103">
        <f t="shared" si="3"/>
        <v>40000000</v>
      </c>
      <c r="K8" s="103">
        <f t="shared" si="4"/>
        <v>0</v>
      </c>
      <c r="L8" s="103">
        <f t="shared" si="5"/>
        <v>270000000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9">
        <v>45979.0</v>
      </c>
      <c r="B9" s="10" t="s">
        <v>492</v>
      </c>
      <c r="C9" s="10"/>
      <c r="D9" s="10" t="s">
        <v>495</v>
      </c>
      <c r="E9" s="12">
        <v>3.3E7</v>
      </c>
      <c r="F9" s="10" t="s">
        <v>493</v>
      </c>
      <c r="G9" s="105" t="s">
        <v>494</v>
      </c>
      <c r="H9" s="103">
        <f t="shared" si="1"/>
        <v>80000000</v>
      </c>
      <c r="I9" s="103">
        <f t="shared" si="2"/>
        <v>150000000</v>
      </c>
      <c r="J9" s="103">
        <f t="shared" si="3"/>
        <v>40000000</v>
      </c>
      <c r="K9" s="103">
        <f t="shared" si="4"/>
        <v>33000000</v>
      </c>
      <c r="L9" s="103">
        <f t="shared" si="5"/>
        <v>303000000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9">
        <v>45986.0</v>
      </c>
      <c r="B10" s="10" t="s">
        <v>496</v>
      </c>
      <c r="C10" s="10"/>
      <c r="D10" s="10" t="s">
        <v>497</v>
      </c>
      <c r="E10" s="12">
        <v>4.0E7</v>
      </c>
      <c r="F10" s="10" t="s">
        <v>498</v>
      </c>
      <c r="G10" s="105" t="s">
        <v>499</v>
      </c>
      <c r="H10" s="103">
        <f t="shared" si="1"/>
        <v>80000000</v>
      </c>
      <c r="I10" s="103">
        <f t="shared" si="2"/>
        <v>150000000</v>
      </c>
      <c r="J10" s="103">
        <f t="shared" si="3"/>
        <v>40000000</v>
      </c>
      <c r="K10" s="103">
        <f t="shared" si="4"/>
        <v>73000000</v>
      </c>
      <c r="L10" s="103">
        <f t="shared" si="5"/>
        <v>343000000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9">
        <v>45988.0</v>
      </c>
      <c r="B11" s="10" t="s">
        <v>500</v>
      </c>
      <c r="C11" s="10" t="s">
        <v>497</v>
      </c>
      <c r="D11" s="10" t="s">
        <v>117</v>
      </c>
      <c r="E11" s="12">
        <v>2.0E7</v>
      </c>
      <c r="F11" s="10"/>
      <c r="G11" s="105" t="s">
        <v>501</v>
      </c>
      <c r="H11" s="103">
        <f t="shared" si="1"/>
        <v>100000000</v>
      </c>
      <c r="I11" s="103">
        <f t="shared" si="2"/>
        <v>150000000</v>
      </c>
      <c r="J11" s="103">
        <f t="shared" si="3"/>
        <v>40000000</v>
      </c>
      <c r="K11" s="103">
        <f t="shared" si="4"/>
        <v>53000000</v>
      </c>
      <c r="L11" s="103">
        <f t="shared" si="5"/>
        <v>343000000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9">
        <v>45989.0</v>
      </c>
      <c r="B12" s="10" t="s">
        <v>500</v>
      </c>
      <c r="C12" s="10" t="s">
        <v>497</v>
      </c>
      <c r="D12" s="10" t="s">
        <v>117</v>
      </c>
      <c r="E12" s="12">
        <v>1.0E7</v>
      </c>
      <c r="F12" s="10"/>
      <c r="G12" s="105" t="s">
        <v>502</v>
      </c>
      <c r="H12" s="103">
        <f t="shared" si="1"/>
        <v>110000000</v>
      </c>
      <c r="I12" s="103">
        <f t="shared" si="2"/>
        <v>150000000</v>
      </c>
      <c r="J12" s="103">
        <f t="shared" si="3"/>
        <v>40000000</v>
      </c>
      <c r="K12" s="103">
        <f t="shared" si="4"/>
        <v>43000000</v>
      </c>
      <c r="L12" s="103">
        <f t="shared" si="5"/>
        <v>343000000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9">
        <v>45992.0</v>
      </c>
      <c r="B13" s="10" t="s">
        <v>500</v>
      </c>
      <c r="C13" s="10" t="s">
        <v>117</v>
      </c>
      <c r="D13" s="10" t="s">
        <v>497</v>
      </c>
      <c r="E13" s="12">
        <v>5000000.0</v>
      </c>
      <c r="F13" s="10"/>
      <c r="G13" s="105"/>
      <c r="H13" s="103">
        <f t="shared" si="1"/>
        <v>105000000</v>
      </c>
      <c r="I13" s="103">
        <f t="shared" si="2"/>
        <v>150000000</v>
      </c>
      <c r="J13" s="103">
        <f t="shared" si="3"/>
        <v>40000000</v>
      </c>
      <c r="K13" s="103">
        <f t="shared" si="4"/>
        <v>48000000</v>
      </c>
      <c r="L13" s="103">
        <f t="shared" si="5"/>
        <v>343000000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9">
        <v>45999.0</v>
      </c>
      <c r="B14" s="10" t="s">
        <v>500</v>
      </c>
      <c r="C14" s="10" t="s">
        <v>497</v>
      </c>
      <c r="D14" s="10" t="s">
        <v>117</v>
      </c>
      <c r="E14" s="12">
        <v>5000000.0</v>
      </c>
      <c r="F14" s="10"/>
      <c r="G14" s="105" t="s">
        <v>503</v>
      </c>
      <c r="H14" s="103">
        <f t="shared" si="1"/>
        <v>110000000</v>
      </c>
      <c r="I14" s="103">
        <f t="shared" si="2"/>
        <v>150000000</v>
      </c>
      <c r="J14" s="103">
        <f t="shared" si="3"/>
        <v>40000000</v>
      </c>
      <c r="K14" s="103">
        <f t="shared" si="4"/>
        <v>43000000</v>
      </c>
      <c r="L14" s="103">
        <f t="shared" si="5"/>
        <v>343000000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9">
        <v>46003.0</v>
      </c>
      <c r="B15" s="10" t="s">
        <v>500</v>
      </c>
      <c r="C15" s="10" t="s">
        <v>495</v>
      </c>
      <c r="D15" s="10" t="s">
        <v>117</v>
      </c>
      <c r="E15" s="12">
        <v>1.0E7</v>
      </c>
      <c r="F15" s="10"/>
      <c r="G15" s="105" t="s">
        <v>504</v>
      </c>
      <c r="H15" s="103">
        <f t="shared" si="1"/>
        <v>120000000</v>
      </c>
      <c r="I15" s="103">
        <f t="shared" si="2"/>
        <v>150000000</v>
      </c>
      <c r="J15" s="103">
        <f t="shared" si="3"/>
        <v>40000000</v>
      </c>
      <c r="K15" s="103">
        <f t="shared" si="4"/>
        <v>33000000</v>
      </c>
      <c r="L15" s="103">
        <f t="shared" si="5"/>
        <v>343000000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9">
        <v>46007.0</v>
      </c>
      <c r="B16" s="10" t="s">
        <v>500</v>
      </c>
      <c r="C16" s="10" t="s">
        <v>497</v>
      </c>
      <c r="D16" s="10" t="s">
        <v>117</v>
      </c>
      <c r="E16" s="12">
        <v>1.0E7</v>
      </c>
      <c r="F16" s="10"/>
      <c r="G16" s="105" t="s">
        <v>505</v>
      </c>
      <c r="H16" s="103">
        <f t="shared" si="1"/>
        <v>130000000</v>
      </c>
      <c r="I16" s="103">
        <f t="shared" si="2"/>
        <v>150000000</v>
      </c>
      <c r="J16" s="103">
        <f t="shared" si="3"/>
        <v>40000000</v>
      </c>
      <c r="K16" s="103">
        <f t="shared" si="4"/>
        <v>23000000</v>
      </c>
      <c r="L16" s="103">
        <f t="shared" si="5"/>
        <v>343000000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9">
        <v>46013.0</v>
      </c>
      <c r="B17" s="10" t="s">
        <v>500</v>
      </c>
      <c r="C17" s="10" t="s">
        <v>495</v>
      </c>
      <c r="D17" s="10" t="s">
        <v>497</v>
      </c>
      <c r="E17" s="12">
        <v>3000000.0</v>
      </c>
      <c r="F17" s="10"/>
      <c r="G17" s="105" t="s">
        <v>506</v>
      </c>
      <c r="H17" s="103">
        <f t="shared" si="1"/>
        <v>130000000</v>
      </c>
      <c r="I17" s="103">
        <f t="shared" si="2"/>
        <v>150000000</v>
      </c>
      <c r="J17" s="103">
        <f t="shared" si="3"/>
        <v>40000000</v>
      </c>
      <c r="K17" s="103">
        <f t="shared" si="4"/>
        <v>23000000</v>
      </c>
      <c r="L17" s="103">
        <f t="shared" si="5"/>
        <v>343000000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9">
        <v>46024.0</v>
      </c>
      <c r="B18" s="10" t="s">
        <v>496</v>
      </c>
      <c r="C18" s="10"/>
      <c r="D18" s="10" t="s">
        <v>497</v>
      </c>
      <c r="E18" s="12">
        <v>4000000.0</v>
      </c>
      <c r="F18" s="10" t="s">
        <v>507</v>
      </c>
      <c r="G18" s="105" t="s">
        <v>508</v>
      </c>
      <c r="H18" s="103">
        <f t="shared" si="1"/>
        <v>130000000</v>
      </c>
      <c r="I18" s="103">
        <f t="shared" si="2"/>
        <v>150000000</v>
      </c>
      <c r="J18" s="103">
        <f t="shared" si="3"/>
        <v>40000000</v>
      </c>
      <c r="K18" s="103">
        <f t="shared" si="4"/>
        <v>27000000</v>
      </c>
      <c r="L18" s="103">
        <f t="shared" si="5"/>
        <v>347000000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9">
        <v>46035.0</v>
      </c>
      <c r="B19" s="10" t="s">
        <v>500</v>
      </c>
      <c r="C19" s="10" t="s">
        <v>495</v>
      </c>
      <c r="D19" s="10" t="s">
        <v>117</v>
      </c>
      <c r="E19" s="12">
        <v>2.0E7</v>
      </c>
      <c r="F19" s="10"/>
      <c r="G19" s="105" t="s">
        <v>509</v>
      </c>
      <c r="H19" s="103">
        <f t="shared" si="1"/>
        <v>150000000</v>
      </c>
      <c r="I19" s="103">
        <f t="shared" si="2"/>
        <v>150000000</v>
      </c>
      <c r="J19" s="103">
        <f t="shared" si="3"/>
        <v>40000000</v>
      </c>
      <c r="K19" s="103">
        <f t="shared" si="4"/>
        <v>7000000</v>
      </c>
      <c r="L19" s="103">
        <f t="shared" si="5"/>
        <v>347000000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9">
        <v>46035.0</v>
      </c>
      <c r="B20" s="10" t="s">
        <v>510</v>
      </c>
      <c r="C20" s="10" t="s">
        <v>497</v>
      </c>
      <c r="D20" s="10"/>
      <c r="E20" s="12">
        <v>7000000.0</v>
      </c>
      <c r="F20" s="10"/>
      <c r="G20" s="105" t="s">
        <v>511</v>
      </c>
      <c r="H20" s="103">
        <f t="shared" si="1"/>
        <v>150000000</v>
      </c>
      <c r="I20" s="103">
        <f t="shared" si="2"/>
        <v>150000000</v>
      </c>
      <c r="J20" s="103">
        <f t="shared" si="3"/>
        <v>40000000</v>
      </c>
      <c r="K20" s="103">
        <f t="shared" si="4"/>
        <v>0</v>
      </c>
      <c r="L20" s="103">
        <f t="shared" si="5"/>
        <v>340000000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69">
        <v>46043.0</v>
      </c>
      <c r="B21" s="10" t="s">
        <v>500</v>
      </c>
      <c r="C21" s="10" t="s">
        <v>123</v>
      </c>
      <c r="D21" s="10" t="s">
        <v>117</v>
      </c>
      <c r="E21" s="12">
        <v>2.7E7</v>
      </c>
      <c r="F21" s="10"/>
      <c r="G21" s="105" t="s">
        <v>512</v>
      </c>
      <c r="H21" s="103">
        <f t="shared" si="1"/>
        <v>177000000</v>
      </c>
      <c r="I21" s="103">
        <f t="shared" si="2"/>
        <v>123000000</v>
      </c>
      <c r="J21" s="103">
        <f t="shared" si="3"/>
        <v>40000000</v>
      </c>
      <c r="K21" s="103">
        <f t="shared" si="4"/>
        <v>0</v>
      </c>
      <c r="L21" s="103">
        <f t="shared" si="5"/>
        <v>340000000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9">
        <v>46043.0</v>
      </c>
      <c r="B22" s="10" t="s">
        <v>500</v>
      </c>
      <c r="C22" s="10" t="s">
        <v>123</v>
      </c>
      <c r="D22" s="10" t="s">
        <v>117</v>
      </c>
      <c r="E22" s="12">
        <v>1.3E7</v>
      </c>
      <c r="F22" s="10"/>
      <c r="G22" s="105" t="s">
        <v>513</v>
      </c>
      <c r="H22" s="103">
        <f t="shared" si="1"/>
        <v>190000000</v>
      </c>
      <c r="I22" s="103">
        <f t="shared" si="2"/>
        <v>110000000</v>
      </c>
      <c r="J22" s="103">
        <f t="shared" si="3"/>
        <v>40000000</v>
      </c>
      <c r="K22" s="103">
        <f t="shared" si="4"/>
        <v>0</v>
      </c>
      <c r="L22" s="103">
        <f t="shared" si="5"/>
        <v>340000000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9">
        <v>46043.0</v>
      </c>
      <c r="B23" s="10" t="s">
        <v>496</v>
      </c>
      <c r="C23" s="10"/>
      <c r="D23" s="10" t="s">
        <v>117</v>
      </c>
      <c r="E23" s="12">
        <v>7000000.0</v>
      </c>
      <c r="F23" s="10" t="s">
        <v>507</v>
      </c>
      <c r="G23" s="105" t="s">
        <v>514</v>
      </c>
      <c r="H23" s="103">
        <f t="shared" si="1"/>
        <v>197000000</v>
      </c>
      <c r="I23" s="103">
        <f t="shared" si="2"/>
        <v>110000000</v>
      </c>
      <c r="J23" s="103">
        <f t="shared" si="3"/>
        <v>40000000</v>
      </c>
      <c r="K23" s="103">
        <f t="shared" si="4"/>
        <v>0</v>
      </c>
      <c r="L23" s="103">
        <f t="shared" si="5"/>
        <v>347000000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9">
        <v>46055.0</v>
      </c>
      <c r="B24" s="10" t="s">
        <v>496</v>
      </c>
      <c r="C24" s="10"/>
      <c r="D24" s="10" t="s">
        <v>117</v>
      </c>
      <c r="E24" s="12">
        <v>1000000.0</v>
      </c>
      <c r="F24" s="10" t="s">
        <v>507</v>
      </c>
      <c r="G24" s="105" t="s">
        <v>515</v>
      </c>
      <c r="H24" s="103">
        <f t="shared" si="1"/>
        <v>198000000</v>
      </c>
      <c r="I24" s="103">
        <f t="shared" si="2"/>
        <v>110000000</v>
      </c>
      <c r="J24" s="103">
        <f t="shared" si="3"/>
        <v>40000000</v>
      </c>
      <c r="K24" s="103">
        <f t="shared" si="4"/>
        <v>0</v>
      </c>
      <c r="L24" s="103">
        <f t="shared" si="5"/>
        <v>348000000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9">
        <v>46066.0</v>
      </c>
      <c r="B25" s="10" t="s">
        <v>496</v>
      </c>
      <c r="C25" s="10"/>
      <c r="D25" s="10" t="s">
        <v>117</v>
      </c>
      <c r="E25" s="12">
        <v>2000000.0</v>
      </c>
      <c r="F25" s="10" t="s">
        <v>507</v>
      </c>
      <c r="G25" s="105" t="s">
        <v>516</v>
      </c>
      <c r="H25" s="103">
        <f t="shared" si="1"/>
        <v>200000000</v>
      </c>
      <c r="I25" s="103">
        <f t="shared" si="2"/>
        <v>110000000</v>
      </c>
      <c r="J25" s="103">
        <f t="shared" si="3"/>
        <v>40000000</v>
      </c>
      <c r="K25" s="103">
        <f t="shared" si="4"/>
        <v>0</v>
      </c>
      <c r="L25" s="103">
        <f t="shared" si="5"/>
        <v>350000000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9">
        <v>46097.0</v>
      </c>
      <c r="B26" s="10" t="s">
        <v>500</v>
      </c>
      <c r="C26" s="10" t="s">
        <v>123</v>
      </c>
      <c r="D26" s="10" t="s">
        <v>117</v>
      </c>
      <c r="E26" s="12">
        <v>1.0E7</v>
      </c>
      <c r="F26" s="10"/>
      <c r="G26" s="105"/>
      <c r="H26" s="103">
        <f t="shared" si="1"/>
        <v>210000000</v>
      </c>
      <c r="I26" s="103">
        <f t="shared" si="2"/>
        <v>100000000</v>
      </c>
      <c r="J26" s="103">
        <f t="shared" si="3"/>
        <v>40000000</v>
      </c>
      <c r="K26" s="103">
        <f t="shared" si="4"/>
        <v>0</v>
      </c>
      <c r="L26" s="103">
        <f t="shared" si="5"/>
        <v>350000000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9">
        <v>46101.0</v>
      </c>
      <c r="B27" s="10" t="s">
        <v>500</v>
      </c>
      <c r="C27" s="10" t="s">
        <v>123</v>
      </c>
      <c r="D27" s="10" t="s">
        <v>117</v>
      </c>
      <c r="E27" s="12">
        <v>1.0E7</v>
      </c>
      <c r="F27" s="10"/>
      <c r="G27" s="105"/>
      <c r="H27" s="103">
        <f t="shared" si="1"/>
        <v>220000000</v>
      </c>
      <c r="I27" s="103">
        <f t="shared" si="2"/>
        <v>90000000</v>
      </c>
      <c r="J27" s="103">
        <f t="shared" si="3"/>
        <v>40000000</v>
      </c>
      <c r="K27" s="103">
        <f t="shared" si="4"/>
        <v>0</v>
      </c>
      <c r="L27" s="103">
        <f t="shared" si="5"/>
        <v>350000000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9">
        <v>46125.0</v>
      </c>
      <c r="B28" s="10" t="s">
        <v>500</v>
      </c>
      <c r="C28" s="10" t="s">
        <v>117</v>
      </c>
      <c r="D28" s="10" t="s">
        <v>123</v>
      </c>
      <c r="E28" s="12">
        <v>1.0E7</v>
      </c>
      <c r="F28" s="10"/>
      <c r="G28" s="105"/>
      <c r="H28" s="103">
        <f t="shared" si="1"/>
        <v>210000000</v>
      </c>
      <c r="I28" s="103">
        <f t="shared" si="2"/>
        <v>100000000</v>
      </c>
      <c r="J28" s="103">
        <f t="shared" si="3"/>
        <v>40000000</v>
      </c>
      <c r="K28" s="103">
        <f t="shared" si="4"/>
        <v>0</v>
      </c>
      <c r="L28" s="103">
        <f t="shared" si="5"/>
        <v>350000000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9">
        <v>46133.0</v>
      </c>
      <c r="B29" s="10" t="s">
        <v>510</v>
      </c>
      <c r="C29" s="10" t="s">
        <v>117</v>
      </c>
      <c r="D29" s="10"/>
      <c r="E29" s="12">
        <v>1.0E7</v>
      </c>
      <c r="F29" s="10"/>
      <c r="G29" s="105" t="s">
        <v>517</v>
      </c>
      <c r="H29" s="103">
        <f t="shared" si="1"/>
        <v>200000000</v>
      </c>
      <c r="I29" s="103">
        <f t="shared" si="2"/>
        <v>100000000</v>
      </c>
      <c r="J29" s="103">
        <f t="shared" si="3"/>
        <v>40000000</v>
      </c>
      <c r="K29" s="103">
        <f t="shared" si="4"/>
        <v>0</v>
      </c>
      <c r="L29" s="103">
        <f t="shared" si="5"/>
        <v>340000000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9">
        <v>46223.0</v>
      </c>
      <c r="B30" s="10" t="s">
        <v>500</v>
      </c>
      <c r="C30" s="10" t="s">
        <v>123</v>
      </c>
      <c r="D30" s="10" t="s">
        <v>117</v>
      </c>
      <c r="E30" s="12">
        <v>4.0E7</v>
      </c>
      <c r="F30" s="10"/>
      <c r="G30" s="105" t="s">
        <v>518</v>
      </c>
      <c r="H30" s="103">
        <f t="shared" si="1"/>
        <v>240000000</v>
      </c>
      <c r="I30" s="103">
        <f t="shared" si="2"/>
        <v>60000000</v>
      </c>
      <c r="J30" s="103">
        <f t="shared" si="3"/>
        <v>40000000</v>
      </c>
      <c r="K30" s="103">
        <f t="shared" si="4"/>
        <v>0</v>
      </c>
      <c r="L30" s="103">
        <f t="shared" si="5"/>
        <v>340000000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9">
        <v>46231.0</v>
      </c>
      <c r="B31" s="10" t="s">
        <v>500</v>
      </c>
      <c r="C31" s="10" t="s">
        <v>123</v>
      </c>
      <c r="D31" s="10" t="s">
        <v>117</v>
      </c>
      <c r="E31" s="12">
        <v>4.0E7</v>
      </c>
      <c r="F31" s="10"/>
      <c r="G31" s="105" t="s">
        <v>518</v>
      </c>
      <c r="H31" s="103">
        <f t="shared" si="1"/>
        <v>280000000</v>
      </c>
      <c r="I31" s="103">
        <f t="shared" si="2"/>
        <v>20000000</v>
      </c>
      <c r="J31" s="103">
        <f t="shared" si="3"/>
        <v>40000000</v>
      </c>
      <c r="K31" s="103">
        <f t="shared" si="4"/>
        <v>0</v>
      </c>
      <c r="L31" s="103">
        <f t="shared" si="5"/>
        <v>340000000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69">
        <v>46232.0</v>
      </c>
      <c r="B32" s="10" t="s">
        <v>500</v>
      </c>
      <c r="C32" s="10" t="s">
        <v>123</v>
      </c>
      <c r="D32" s="10" t="s">
        <v>117</v>
      </c>
      <c r="E32" s="12">
        <v>6.5E7</v>
      </c>
      <c r="F32" s="10"/>
      <c r="G32" s="105" t="s">
        <v>519</v>
      </c>
      <c r="H32" s="103">
        <f t="shared" si="1"/>
        <v>345000000</v>
      </c>
      <c r="I32" s="103">
        <f t="shared" si="2"/>
        <v>-45000000</v>
      </c>
      <c r="J32" s="103">
        <f t="shared" si="3"/>
        <v>40000000</v>
      </c>
      <c r="K32" s="103">
        <f t="shared" si="4"/>
        <v>0</v>
      </c>
      <c r="L32" s="103">
        <f t="shared" si="5"/>
        <v>340000000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69">
        <v>46237.0</v>
      </c>
      <c r="B33" s="10" t="s">
        <v>500</v>
      </c>
      <c r="C33" s="10" t="s">
        <v>123</v>
      </c>
      <c r="D33" s="10" t="s">
        <v>117</v>
      </c>
      <c r="E33" s="12">
        <v>2.0E7</v>
      </c>
      <c r="F33" s="10"/>
      <c r="G33" s="105" t="s">
        <v>520</v>
      </c>
      <c r="H33" s="103">
        <f t="shared" si="1"/>
        <v>365000000</v>
      </c>
      <c r="I33" s="103">
        <f t="shared" si="2"/>
        <v>-65000000</v>
      </c>
      <c r="J33" s="103">
        <f t="shared" si="3"/>
        <v>40000000</v>
      </c>
      <c r="K33" s="103">
        <f t="shared" si="4"/>
        <v>0</v>
      </c>
      <c r="L33" s="103">
        <f t="shared" si="5"/>
        <v>340000000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9"/>
      <c r="B34" s="10"/>
      <c r="C34" s="10"/>
      <c r="D34" s="10"/>
      <c r="E34" s="12"/>
      <c r="F34" s="10"/>
      <c r="G34" s="107"/>
      <c r="H34" s="103" t="str">
        <f t="shared" si="1"/>
        <v/>
      </c>
      <c r="I34" s="103" t="str">
        <f t="shared" si="2"/>
        <v/>
      </c>
      <c r="J34" s="103" t="str">
        <f t="shared" si="3"/>
        <v/>
      </c>
      <c r="K34" s="103" t="str">
        <f t="shared" si="4"/>
        <v/>
      </c>
      <c r="L34" s="103">
        <f t="shared" si="5"/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9"/>
      <c r="B35" s="10"/>
      <c r="C35" s="10"/>
      <c r="D35" s="10"/>
      <c r="E35" s="12"/>
      <c r="F35" s="10"/>
      <c r="G35" s="107"/>
      <c r="H35" s="103" t="str">
        <f t="shared" si="1"/>
        <v/>
      </c>
      <c r="I35" s="103" t="str">
        <f t="shared" si="2"/>
        <v/>
      </c>
      <c r="J35" s="103" t="str">
        <f t="shared" si="3"/>
        <v/>
      </c>
      <c r="K35" s="103" t="str">
        <f t="shared" si="4"/>
        <v/>
      </c>
      <c r="L35" s="103">
        <f t="shared" si="5"/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69"/>
      <c r="B36" s="10"/>
      <c r="C36" s="10"/>
      <c r="D36" s="10"/>
      <c r="E36" s="12"/>
      <c r="F36" s="10"/>
      <c r="G36" s="107"/>
      <c r="H36" s="103" t="str">
        <f t="shared" si="1"/>
        <v/>
      </c>
      <c r="I36" s="103" t="str">
        <f t="shared" si="2"/>
        <v/>
      </c>
      <c r="J36" s="103" t="str">
        <f t="shared" si="3"/>
        <v/>
      </c>
      <c r="K36" s="103" t="str">
        <f t="shared" si="4"/>
        <v/>
      </c>
      <c r="L36" s="103">
        <f t="shared" si="5"/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69"/>
      <c r="B37" s="10"/>
      <c r="C37" s="10"/>
      <c r="D37" s="10"/>
      <c r="E37" s="12"/>
      <c r="F37" s="10"/>
      <c r="G37" s="107"/>
      <c r="H37" s="103" t="str">
        <f t="shared" si="1"/>
        <v/>
      </c>
      <c r="I37" s="103" t="str">
        <f t="shared" si="2"/>
        <v/>
      </c>
      <c r="J37" s="103" t="str">
        <f t="shared" si="3"/>
        <v/>
      </c>
      <c r="K37" s="103" t="str">
        <f t="shared" si="4"/>
        <v/>
      </c>
      <c r="L37" s="103">
        <f t="shared" si="5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69"/>
      <c r="B38" s="10"/>
      <c r="C38" s="10"/>
      <c r="D38" s="10"/>
      <c r="E38" s="12"/>
      <c r="F38" s="10"/>
      <c r="G38" s="107"/>
      <c r="H38" s="103" t="str">
        <f t="shared" si="1"/>
        <v/>
      </c>
      <c r="I38" s="103" t="str">
        <f t="shared" si="2"/>
        <v/>
      </c>
      <c r="J38" s="103" t="str">
        <f t="shared" si="3"/>
        <v/>
      </c>
      <c r="K38" s="103" t="str">
        <f t="shared" si="4"/>
        <v/>
      </c>
      <c r="L38" s="103">
        <f t="shared" si="5"/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69"/>
      <c r="B39" s="10"/>
      <c r="C39" s="10"/>
      <c r="D39" s="10"/>
      <c r="E39" s="12"/>
      <c r="F39" s="10"/>
      <c r="G39" s="107"/>
      <c r="H39" s="103" t="str">
        <f t="shared" si="1"/>
        <v/>
      </c>
      <c r="I39" s="103" t="str">
        <f t="shared" si="2"/>
        <v/>
      </c>
      <c r="J39" s="103" t="str">
        <f t="shared" si="3"/>
        <v/>
      </c>
      <c r="K39" s="103" t="str">
        <f t="shared" si="4"/>
        <v/>
      </c>
      <c r="L39" s="103">
        <f t="shared" si="5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69"/>
      <c r="B40" s="10"/>
      <c r="C40" s="10"/>
      <c r="D40" s="10"/>
      <c r="E40" s="12"/>
      <c r="F40" s="10"/>
      <c r="G40" s="107"/>
      <c r="H40" s="103" t="str">
        <f t="shared" si="1"/>
        <v/>
      </c>
      <c r="I40" s="103" t="str">
        <f t="shared" si="2"/>
        <v/>
      </c>
      <c r="J40" s="103" t="str">
        <f t="shared" si="3"/>
        <v/>
      </c>
      <c r="K40" s="103" t="str">
        <f t="shared" si="4"/>
        <v/>
      </c>
      <c r="L40" s="103">
        <f t="shared" si="5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69"/>
      <c r="B41" s="10"/>
      <c r="C41" s="10"/>
      <c r="D41" s="10"/>
      <c r="E41" s="12"/>
      <c r="F41" s="10"/>
      <c r="G41" s="107"/>
      <c r="H41" s="103" t="str">
        <f t="shared" si="1"/>
        <v/>
      </c>
      <c r="I41" s="103" t="str">
        <f t="shared" si="2"/>
        <v/>
      </c>
      <c r="J41" s="103" t="str">
        <f t="shared" si="3"/>
        <v/>
      </c>
      <c r="K41" s="103" t="str">
        <f t="shared" si="4"/>
        <v/>
      </c>
      <c r="L41" s="103">
        <f t="shared" si="5"/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69"/>
      <c r="B42" s="10"/>
      <c r="C42" s="10"/>
      <c r="D42" s="10"/>
      <c r="E42" s="12"/>
      <c r="F42" s="10"/>
      <c r="G42" s="107"/>
      <c r="H42" s="103" t="str">
        <f t="shared" si="1"/>
        <v/>
      </c>
      <c r="I42" s="103" t="str">
        <f t="shared" si="2"/>
        <v/>
      </c>
      <c r="J42" s="103" t="str">
        <f t="shared" si="3"/>
        <v/>
      </c>
      <c r="K42" s="103" t="str">
        <f t="shared" si="4"/>
        <v/>
      </c>
      <c r="L42" s="103">
        <f t="shared" si="5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69"/>
      <c r="B43" s="10"/>
      <c r="C43" s="10"/>
      <c r="D43" s="10"/>
      <c r="E43" s="12"/>
      <c r="F43" s="10"/>
      <c r="G43" s="107"/>
      <c r="H43" s="103" t="str">
        <f t="shared" si="1"/>
        <v/>
      </c>
      <c r="I43" s="103" t="str">
        <f t="shared" si="2"/>
        <v/>
      </c>
      <c r="J43" s="103" t="str">
        <f t="shared" si="3"/>
        <v/>
      </c>
      <c r="K43" s="103" t="str">
        <f t="shared" si="4"/>
        <v/>
      </c>
      <c r="L43" s="103">
        <f t="shared" si="5"/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69"/>
      <c r="B44" s="10"/>
      <c r="C44" s="10"/>
      <c r="D44" s="10"/>
      <c r="E44" s="12"/>
      <c r="F44" s="10"/>
      <c r="G44" s="107"/>
      <c r="H44" s="103" t="str">
        <f t="shared" si="1"/>
        <v/>
      </c>
      <c r="I44" s="103" t="str">
        <f t="shared" si="2"/>
        <v/>
      </c>
      <c r="J44" s="103" t="str">
        <f t="shared" si="3"/>
        <v/>
      </c>
      <c r="K44" s="103" t="str">
        <f t="shared" si="4"/>
        <v/>
      </c>
      <c r="L44" s="103">
        <f t="shared" si="5"/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69"/>
      <c r="B45" s="10"/>
      <c r="C45" s="10"/>
      <c r="D45" s="10"/>
      <c r="E45" s="12"/>
      <c r="F45" s="10"/>
      <c r="G45" s="107"/>
      <c r="H45" s="103" t="str">
        <f t="shared" si="1"/>
        <v/>
      </c>
      <c r="I45" s="103" t="str">
        <f t="shared" si="2"/>
        <v/>
      </c>
      <c r="J45" s="103" t="str">
        <f t="shared" si="3"/>
        <v/>
      </c>
      <c r="K45" s="103" t="str">
        <f t="shared" si="4"/>
        <v/>
      </c>
      <c r="L45" s="103">
        <f t="shared" si="5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9"/>
      <c r="B46" s="10"/>
      <c r="C46" s="10"/>
      <c r="D46" s="10"/>
      <c r="E46" s="12"/>
      <c r="F46" s="10"/>
      <c r="G46" s="107"/>
      <c r="H46" s="103" t="str">
        <f t="shared" si="1"/>
        <v/>
      </c>
      <c r="I46" s="103" t="str">
        <f t="shared" si="2"/>
        <v/>
      </c>
      <c r="J46" s="103" t="str">
        <f t="shared" si="3"/>
        <v/>
      </c>
      <c r="K46" s="103" t="str">
        <f t="shared" si="4"/>
        <v/>
      </c>
      <c r="L46" s="103">
        <f t="shared" si="5"/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69"/>
      <c r="B47" s="10"/>
      <c r="C47" s="10"/>
      <c r="D47" s="10"/>
      <c r="E47" s="12"/>
      <c r="F47" s="10"/>
      <c r="G47" s="107"/>
      <c r="H47" s="103" t="str">
        <f t="shared" si="1"/>
        <v/>
      </c>
      <c r="I47" s="103" t="str">
        <f t="shared" si="2"/>
        <v/>
      </c>
      <c r="J47" s="103" t="str">
        <f t="shared" si="3"/>
        <v/>
      </c>
      <c r="K47" s="103" t="str">
        <f t="shared" si="4"/>
        <v/>
      </c>
      <c r="L47" s="103">
        <f t="shared" si="5"/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69"/>
      <c r="B48" s="10"/>
      <c r="C48" s="10"/>
      <c r="D48" s="10"/>
      <c r="E48" s="12"/>
      <c r="F48" s="10"/>
      <c r="G48" s="107"/>
      <c r="H48" s="103" t="str">
        <f t="shared" si="1"/>
        <v/>
      </c>
      <c r="I48" s="103" t="str">
        <f t="shared" si="2"/>
        <v/>
      </c>
      <c r="J48" s="103" t="str">
        <f t="shared" si="3"/>
        <v/>
      </c>
      <c r="K48" s="103" t="str">
        <f t="shared" si="4"/>
        <v/>
      </c>
      <c r="L48" s="103">
        <f t="shared" si="5"/>
        <v>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9"/>
      <c r="B49" s="10"/>
      <c r="C49" s="10"/>
      <c r="D49" s="10"/>
      <c r="E49" s="12"/>
      <c r="F49" s="10"/>
      <c r="G49" s="107"/>
      <c r="H49" s="103" t="str">
        <f t="shared" si="1"/>
        <v/>
      </c>
      <c r="I49" s="103" t="str">
        <f t="shared" si="2"/>
        <v/>
      </c>
      <c r="J49" s="103" t="str">
        <f t="shared" si="3"/>
        <v/>
      </c>
      <c r="K49" s="103" t="str">
        <f t="shared" si="4"/>
        <v/>
      </c>
      <c r="L49" s="103">
        <f t="shared" si="5"/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69"/>
      <c r="B50" s="10"/>
      <c r="C50" s="10"/>
      <c r="D50" s="10"/>
      <c r="E50" s="12"/>
      <c r="F50" s="10"/>
      <c r="G50" s="107"/>
      <c r="H50" s="103" t="str">
        <f t="shared" si="1"/>
        <v/>
      </c>
      <c r="I50" s="103" t="str">
        <f t="shared" si="2"/>
        <v/>
      </c>
      <c r="J50" s="103" t="str">
        <f t="shared" si="3"/>
        <v/>
      </c>
      <c r="K50" s="103" t="str">
        <f t="shared" si="4"/>
        <v/>
      </c>
      <c r="L50" s="103">
        <f t="shared" si="5"/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69"/>
      <c r="B51" s="10"/>
      <c r="C51" s="10"/>
      <c r="D51" s="10"/>
      <c r="E51" s="12"/>
      <c r="F51" s="10"/>
      <c r="G51" s="107"/>
      <c r="H51" s="103" t="str">
        <f t="shared" si="1"/>
        <v/>
      </c>
      <c r="I51" s="103" t="str">
        <f t="shared" si="2"/>
        <v/>
      </c>
      <c r="J51" s="103" t="str">
        <f t="shared" si="3"/>
        <v/>
      </c>
      <c r="K51" s="103" t="str">
        <f t="shared" si="4"/>
        <v/>
      </c>
      <c r="L51" s="103">
        <f t="shared" si="5"/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69"/>
      <c r="B52" s="10"/>
      <c r="C52" s="10"/>
      <c r="D52" s="10"/>
      <c r="E52" s="12"/>
      <c r="F52" s="10"/>
      <c r="G52" s="107"/>
      <c r="H52" s="103" t="str">
        <f t="shared" si="1"/>
        <v/>
      </c>
      <c r="I52" s="103" t="str">
        <f t="shared" si="2"/>
        <v/>
      </c>
      <c r="J52" s="103" t="str">
        <f t="shared" si="3"/>
        <v/>
      </c>
      <c r="K52" s="103" t="str">
        <f t="shared" si="4"/>
        <v/>
      </c>
      <c r="L52" s="103">
        <f t="shared" si="5"/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69"/>
      <c r="B53" s="10"/>
      <c r="C53" s="10"/>
      <c r="D53" s="10"/>
      <c r="E53" s="12"/>
      <c r="F53" s="10"/>
      <c r="G53" s="107"/>
      <c r="H53" s="103" t="str">
        <f t="shared" si="1"/>
        <v/>
      </c>
      <c r="I53" s="103" t="str">
        <f t="shared" si="2"/>
        <v/>
      </c>
      <c r="J53" s="103" t="str">
        <f t="shared" si="3"/>
        <v/>
      </c>
      <c r="K53" s="103" t="str">
        <f t="shared" si="4"/>
        <v/>
      </c>
      <c r="L53" s="103">
        <f t="shared" si="5"/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69"/>
      <c r="B54" s="10"/>
      <c r="C54" s="10"/>
      <c r="D54" s="10"/>
      <c r="E54" s="12"/>
      <c r="F54" s="10"/>
      <c r="G54" s="107"/>
      <c r="H54" s="103" t="str">
        <f t="shared" si="1"/>
        <v/>
      </c>
      <c r="I54" s="103" t="str">
        <f t="shared" si="2"/>
        <v/>
      </c>
      <c r="J54" s="103" t="str">
        <f t="shared" si="3"/>
        <v/>
      </c>
      <c r="K54" s="103" t="str">
        <f t="shared" si="4"/>
        <v/>
      </c>
      <c r="L54" s="103">
        <f t="shared" si="5"/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69"/>
      <c r="B55" s="10"/>
      <c r="C55" s="10"/>
      <c r="D55" s="10"/>
      <c r="E55" s="12"/>
      <c r="F55" s="10"/>
      <c r="G55" s="107"/>
      <c r="H55" s="103" t="str">
        <f t="shared" si="1"/>
        <v/>
      </c>
      <c r="I55" s="103" t="str">
        <f t="shared" si="2"/>
        <v/>
      </c>
      <c r="J55" s="103" t="str">
        <f t="shared" si="3"/>
        <v/>
      </c>
      <c r="K55" s="103" t="str">
        <f t="shared" si="4"/>
        <v/>
      </c>
      <c r="L55" s="103">
        <f t="shared" si="5"/>
        <v>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69"/>
      <c r="B56" s="10"/>
      <c r="C56" s="10"/>
      <c r="D56" s="10"/>
      <c r="E56" s="12"/>
      <c r="F56" s="10"/>
      <c r="G56" s="107"/>
      <c r="H56" s="103" t="str">
        <f t="shared" si="1"/>
        <v/>
      </c>
      <c r="I56" s="103" t="str">
        <f t="shared" si="2"/>
        <v/>
      </c>
      <c r="J56" s="103" t="str">
        <f t="shared" si="3"/>
        <v/>
      </c>
      <c r="K56" s="103" t="str">
        <f t="shared" si="4"/>
        <v/>
      </c>
      <c r="L56" s="103">
        <f t="shared" si="5"/>
        <v>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69"/>
      <c r="B57" s="10"/>
      <c r="C57" s="10"/>
      <c r="D57" s="10"/>
      <c r="E57" s="12"/>
      <c r="F57" s="10"/>
      <c r="G57" s="107"/>
      <c r="H57" s="103" t="str">
        <f t="shared" si="1"/>
        <v/>
      </c>
      <c r="I57" s="103" t="str">
        <f t="shared" si="2"/>
        <v/>
      </c>
      <c r="J57" s="103" t="str">
        <f t="shared" si="3"/>
        <v/>
      </c>
      <c r="K57" s="103" t="str">
        <f t="shared" si="4"/>
        <v/>
      </c>
      <c r="L57" s="103">
        <f t="shared" si="5"/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69"/>
      <c r="B58" s="10"/>
      <c r="C58" s="10"/>
      <c r="D58" s="10"/>
      <c r="E58" s="12"/>
      <c r="F58" s="10"/>
      <c r="G58" s="107"/>
      <c r="H58" s="103" t="str">
        <f t="shared" si="1"/>
        <v/>
      </c>
      <c r="I58" s="103" t="str">
        <f t="shared" si="2"/>
        <v/>
      </c>
      <c r="J58" s="103" t="str">
        <f t="shared" si="3"/>
        <v/>
      </c>
      <c r="K58" s="103" t="str">
        <f t="shared" si="4"/>
        <v/>
      </c>
      <c r="L58" s="103">
        <f t="shared" si="5"/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69"/>
      <c r="B59" s="10"/>
      <c r="C59" s="10"/>
      <c r="D59" s="10"/>
      <c r="E59" s="12"/>
      <c r="F59" s="10"/>
      <c r="G59" s="107"/>
      <c r="H59" s="103" t="str">
        <f t="shared" si="1"/>
        <v/>
      </c>
      <c r="I59" s="103" t="str">
        <f t="shared" si="2"/>
        <v/>
      </c>
      <c r="J59" s="103" t="str">
        <f t="shared" si="3"/>
        <v/>
      </c>
      <c r="K59" s="103" t="str">
        <f t="shared" si="4"/>
        <v/>
      </c>
      <c r="L59" s="103">
        <f t="shared" si="5"/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69"/>
      <c r="B60" s="10"/>
      <c r="C60" s="10"/>
      <c r="D60" s="10"/>
      <c r="E60" s="12"/>
      <c r="F60" s="10"/>
      <c r="G60" s="107"/>
      <c r="H60" s="103" t="str">
        <f t="shared" si="1"/>
        <v/>
      </c>
      <c r="I60" s="103" t="str">
        <f t="shared" si="2"/>
        <v/>
      </c>
      <c r="J60" s="103" t="str">
        <f t="shared" si="3"/>
        <v/>
      </c>
      <c r="K60" s="103" t="str">
        <f t="shared" si="4"/>
        <v/>
      </c>
      <c r="L60" s="103">
        <f t="shared" si="5"/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69"/>
      <c r="B61" s="10"/>
      <c r="C61" s="10"/>
      <c r="D61" s="10"/>
      <c r="E61" s="12"/>
      <c r="F61" s="10"/>
      <c r="G61" s="107"/>
      <c r="H61" s="103" t="str">
        <f t="shared" si="1"/>
        <v/>
      </c>
      <c r="I61" s="103" t="str">
        <f t="shared" si="2"/>
        <v/>
      </c>
      <c r="J61" s="103" t="str">
        <f t="shared" si="3"/>
        <v/>
      </c>
      <c r="K61" s="103" t="str">
        <f t="shared" si="4"/>
        <v/>
      </c>
      <c r="L61" s="103">
        <f t="shared" si="5"/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69"/>
      <c r="B62" s="10"/>
      <c r="C62" s="10"/>
      <c r="D62" s="10"/>
      <c r="E62" s="12"/>
      <c r="F62" s="10"/>
      <c r="G62" s="107"/>
      <c r="H62" s="103" t="str">
        <f t="shared" si="1"/>
        <v/>
      </c>
      <c r="I62" s="103" t="str">
        <f t="shared" si="2"/>
        <v/>
      </c>
      <c r="J62" s="103" t="str">
        <f t="shared" si="3"/>
        <v/>
      </c>
      <c r="K62" s="103" t="str">
        <f t="shared" si="4"/>
        <v/>
      </c>
      <c r="L62" s="103">
        <f t="shared" si="5"/>
        <v>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69"/>
      <c r="B63" s="10"/>
      <c r="C63" s="10"/>
      <c r="D63" s="10"/>
      <c r="E63" s="12"/>
      <c r="F63" s="10"/>
      <c r="G63" s="107"/>
      <c r="H63" s="103" t="str">
        <f t="shared" si="1"/>
        <v/>
      </c>
      <c r="I63" s="103" t="str">
        <f t="shared" si="2"/>
        <v/>
      </c>
      <c r="J63" s="103" t="str">
        <f t="shared" si="3"/>
        <v/>
      </c>
      <c r="K63" s="103" t="str">
        <f t="shared" si="4"/>
        <v/>
      </c>
      <c r="L63" s="103">
        <f t="shared" si="5"/>
        <v>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69"/>
      <c r="B64" s="10"/>
      <c r="C64" s="10"/>
      <c r="D64" s="10"/>
      <c r="E64" s="12"/>
      <c r="F64" s="10"/>
      <c r="G64" s="107"/>
      <c r="H64" s="103" t="str">
        <f t="shared" si="1"/>
        <v/>
      </c>
      <c r="I64" s="103" t="str">
        <f t="shared" si="2"/>
        <v/>
      </c>
      <c r="J64" s="103" t="str">
        <f t="shared" si="3"/>
        <v/>
      </c>
      <c r="K64" s="103" t="str">
        <f t="shared" si="4"/>
        <v/>
      </c>
      <c r="L64" s="103">
        <f t="shared" si="5"/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69"/>
      <c r="B65" s="10"/>
      <c r="C65" s="10"/>
      <c r="D65" s="10"/>
      <c r="E65" s="12"/>
      <c r="F65" s="10"/>
      <c r="G65" s="107"/>
      <c r="H65" s="103" t="str">
        <f t="shared" si="1"/>
        <v/>
      </c>
      <c r="I65" s="103" t="str">
        <f t="shared" si="2"/>
        <v/>
      </c>
      <c r="J65" s="103" t="str">
        <f t="shared" si="3"/>
        <v/>
      </c>
      <c r="K65" s="103" t="str">
        <f t="shared" si="4"/>
        <v/>
      </c>
      <c r="L65" s="103">
        <f t="shared" si="5"/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69"/>
      <c r="B66" s="10"/>
      <c r="C66" s="10"/>
      <c r="D66" s="10"/>
      <c r="E66" s="12"/>
      <c r="F66" s="10"/>
      <c r="G66" s="107"/>
      <c r="H66" s="103" t="str">
        <f t="shared" si="1"/>
        <v/>
      </c>
      <c r="I66" s="103" t="str">
        <f t="shared" si="2"/>
        <v/>
      </c>
      <c r="J66" s="103" t="str">
        <f t="shared" si="3"/>
        <v/>
      </c>
      <c r="K66" s="103" t="str">
        <f t="shared" si="4"/>
        <v/>
      </c>
      <c r="L66" s="103">
        <f t="shared" si="5"/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69"/>
      <c r="B67" s="10"/>
      <c r="C67" s="10"/>
      <c r="D67" s="10"/>
      <c r="E67" s="12"/>
      <c r="F67" s="10"/>
      <c r="G67" s="107"/>
      <c r="H67" s="103" t="str">
        <f t="shared" si="1"/>
        <v/>
      </c>
      <c r="I67" s="103" t="str">
        <f t="shared" si="2"/>
        <v/>
      </c>
      <c r="J67" s="103" t="str">
        <f t="shared" si="3"/>
        <v/>
      </c>
      <c r="K67" s="103" t="str">
        <f t="shared" si="4"/>
        <v/>
      </c>
      <c r="L67" s="103">
        <f t="shared" si="5"/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69"/>
      <c r="B68" s="10"/>
      <c r="C68" s="10"/>
      <c r="D68" s="10"/>
      <c r="E68" s="12"/>
      <c r="F68" s="10"/>
      <c r="G68" s="107"/>
      <c r="H68" s="103" t="str">
        <f t="shared" si="1"/>
        <v/>
      </c>
      <c r="I68" s="103" t="str">
        <f t="shared" si="2"/>
        <v/>
      </c>
      <c r="J68" s="103" t="str">
        <f t="shared" si="3"/>
        <v/>
      </c>
      <c r="K68" s="103" t="str">
        <f t="shared" si="4"/>
        <v/>
      </c>
      <c r="L68" s="103">
        <f t="shared" si="5"/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69"/>
      <c r="B69" s="10"/>
      <c r="C69" s="10"/>
      <c r="D69" s="10"/>
      <c r="E69" s="12"/>
      <c r="F69" s="10"/>
      <c r="G69" s="107"/>
      <c r="H69" s="103" t="str">
        <f t="shared" si="1"/>
        <v/>
      </c>
      <c r="I69" s="103" t="str">
        <f t="shared" si="2"/>
        <v/>
      </c>
      <c r="J69" s="103" t="str">
        <f t="shared" si="3"/>
        <v/>
      </c>
      <c r="K69" s="103" t="str">
        <f t="shared" si="4"/>
        <v/>
      </c>
      <c r="L69" s="103">
        <f t="shared" si="5"/>
        <v>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69"/>
      <c r="B70" s="10"/>
      <c r="C70" s="10"/>
      <c r="D70" s="10"/>
      <c r="E70" s="12"/>
      <c r="F70" s="10"/>
      <c r="G70" s="107"/>
      <c r="H70" s="103" t="str">
        <f t="shared" si="1"/>
        <v/>
      </c>
      <c r="I70" s="103" t="str">
        <f t="shared" si="2"/>
        <v/>
      </c>
      <c r="J70" s="103" t="str">
        <f t="shared" si="3"/>
        <v/>
      </c>
      <c r="K70" s="103" t="str">
        <f t="shared" si="4"/>
        <v/>
      </c>
      <c r="L70" s="103">
        <f t="shared" si="5"/>
        <v>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69"/>
      <c r="B71" s="10"/>
      <c r="C71" s="10"/>
      <c r="D71" s="10"/>
      <c r="E71" s="12"/>
      <c r="F71" s="10"/>
      <c r="G71" s="107"/>
      <c r="H71" s="103" t="str">
        <f t="shared" si="1"/>
        <v/>
      </c>
      <c r="I71" s="103" t="str">
        <f t="shared" si="2"/>
        <v/>
      </c>
      <c r="J71" s="103" t="str">
        <f t="shared" si="3"/>
        <v/>
      </c>
      <c r="K71" s="103" t="str">
        <f t="shared" si="4"/>
        <v/>
      </c>
      <c r="L71" s="103">
        <f t="shared" si="5"/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69"/>
      <c r="B72" s="10"/>
      <c r="C72" s="10"/>
      <c r="D72" s="10"/>
      <c r="E72" s="12"/>
      <c r="F72" s="10"/>
      <c r="G72" s="107"/>
      <c r="H72" s="103" t="str">
        <f t="shared" si="1"/>
        <v/>
      </c>
      <c r="I72" s="103" t="str">
        <f t="shared" si="2"/>
        <v/>
      </c>
      <c r="J72" s="103" t="str">
        <f t="shared" si="3"/>
        <v/>
      </c>
      <c r="K72" s="103" t="str">
        <f t="shared" si="4"/>
        <v/>
      </c>
      <c r="L72" s="103">
        <f t="shared" si="5"/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69"/>
      <c r="B73" s="10"/>
      <c r="C73" s="10"/>
      <c r="D73" s="10"/>
      <c r="E73" s="12"/>
      <c r="F73" s="10"/>
      <c r="G73" s="107"/>
      <c r="H73" s="103" t="str">
        <f t="shared" si="1"/>
        <v/>
      </c>
      <c r="I73" s="103" t="str">
        <f t="shared" si="2"/>
        <v/>
      </c>
      <c r="J73" s="103" t="str">
        <f t="shared" si="3"/>
        <v/>
      </c>
      <c r="K73" s="103" t="str">
        <f t="shared" si="4"/>
        <v/>
      </c>
      <c r="L73" s="103">
        <f t="shared" si="5"/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69"/>
      <c r="B74" s="10"/>
      <c r="C74" s="10"/>
      <c r="D74" s="10"/>
      <c r="E74" s="12"/>
      <c r="F74" s="10"/>
      <c r="G74" s="107"/>
      <c r="H74" s="103" t="str">
        <f t="shared" si="1"/>
        <v/>
      </c>
      <c r="I74" s="103" t="str">
        <f t="shared" si="2"/>
        <v/>
      </c>
      <c r="J74" s="103" t="str">
        <f t="shared" si="3"/>
        <v/>
      </c>
      <c r="K74" s="103" t="str">
        <f t="shared" si="4"/>
        <v/>
      </c>
      <c r="L74" s="103">
        <f t="shared" si="5"/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69"/>
      <c r="B75" s="10"/>
      <c r="C75" s="10"/>
      <c r="D75" s="10"/>
      <c r="E75" s="12"/>
      <c r="F75" s="10"/>
      <c r="G75" s="107"/>
      <c r="H75" s="103" t="str">
        <f t="shared" si="1"/>
        <v/>
      </c>
      <c r="I75" s="103" t="str">
        <f t="shared" si="2"/>
        <v/>
      </c>
      <c r="J75" s="103" t="str">
        <f t="shared" si="3"/>
        <v/>
      </c>
      <c r="K75" s="103" t="str">
        <f t="shared" si="4"/>
        <v/>
      </c>
      <c r="L75" s="103">
        <f t="shared" si="5"/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69"/>
      <c r="B76" s="10"/>
      <c r="C76" s="10"/>
      <c r="D76" s="10"/>
      <c r="E76" s="12"/>
      <c r="F76" s="10"/>
      <c r="G76" s="107"/>
      <c r="H76" s="103" t="str">
        <f t="shared" si="1"/>
        <v/>
      </c>
      <c r="I76" s="103" t="str">
        <f t="shared" si="2"/>
        <v/>
      </c>
      <c r="J76" s="103" t="str">
        <f t="shared" si="3"/>
        <v/>
      </c>
      <c r="K76" s="103" t="str">
        <f t="shared" si="4"/>
        <v/>
      </c>
      <c r="L76" s="103">
        <f t="shared" si="5"/>
        <v>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69"/>
      <c r="B77" s="10"/>
      <c r="C77" s="10"/>
      <c r="D77" s="10"/>
      <c r="E77" s="12"/>
      <c r="F77" s="10"/>
      <c r="G77" s="107"/>
      <c r="H77" s="103" t="str">
        <f t="shared" si="1"/>
        <v/>
      </c>
      <c r="I77" s="103" t="str">
        <f t="shared" si="2"/>
        <v/>
      </c>
      <c r="J77" s="103" t="str">
        <f t="shared" si="3"/>
        <v/>
      </c>
      <c r="K77" s="103" t="str">
        <f t="shared" si="4"/>
        <v/>
      </c>
      <c r="L77" s="103">
        <f t="shared" si="5"/>
        <v>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69"/>
      <c r="B78" s="10"/>
      <c r="C78" s="10"/>
      <c r="D78" s="10"/>
      <c r="E78" s="12"/>
      <c r="F78" s="10"/>
      <c r="G78" s="107"/>
      <c r="H78" s="103" t="str">
        <f t="shared" si="1"/>
        <v/>
      </c>
      <c r="I78" s="103" t="str">
        <f t="shared" si="2"/>
        <v/>
      </c>
      <c r="J78" s="103" t="str">
        <f t="shared" si="3"/>
        <v/>
      </c>
      <c r="K78" s="103" t="str">
        <f t="shared" si="4"/>
        <v/>
      </c>
      <c r="L78" s="103">
        <f t="shared" si="5"/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69"/>
      <c r="B79" s="10"/>
      <c r="C79" s="10"/>
      <c r="D79" s="10"/>
      <c r="E79" s="12"/>
      <c r="F79" s="10"/>
      <c r="G79" s="107"/>
      <c r="H79" s="103" t="str">
        <f t="shared" si="1"/>
        <v/>
      </c>
      <c r="I79" s="103" t="str">
        <f t="shared" si="2"/>
        <v/>
      </c>
      <c r="J79" s="103" t="str">
        <f t="shared" si="3"/>
        <v/>
      </c>
      <c r="K79" s="103" t="str">
        <f t="shared" si="4"/>
        <v/>
      </c>
      <c r="L79" s="103">
        <f t="shared" si="5"/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69"/>
      <c r="B80" s="10"/>
      <c r="C80" s="10"/>
      <c r="D80" s="10"/>
      <c r="E80" s="12"/>
      <c r="F80" s="10"/>
      <c r="G80" s="107"/>
      <c r="H80" s="103" t="str">
        <f t="shared" si="1"/>
        <v/>
      </c>
      <c r="I80" s="103" t="str">
        <f t="shared" si="2"/>
        <v/>
      </c>
      <c r="J80" s="103" t="str">
        <f t="shared" si="3"/>
        <v/>
      </c>
      <c r="K80" s="103" t="str">
        <f t="shared" si="4"/>
        <v/>
      </c>
      <c r="L80" s="103">
        <f t="shared" si="5"/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69"/>
      <c r="B81" s="10"/>
      <c r="C81" s="10"/>
      <c r="D81" s="10"/>
      <c r="E81" s="12"/>
      <c r="F81" s="10"/>
      <c r="G81" s="107"/>
      <c r="H81" s="103" t="str">
        <f t="shared" si="1"/>
        <v/>
      </c>
      <c r="I81" s="103" t="str">
        <f t="shared" si="2"/>
        <v/>
      </c>
      <c r="J81" s="103" t="str">
        <f t="shared" si="3"/>
        <v/>
      </c>
      <c r="K81" s="103" t="str">
        <f t="shared" si="4"/>
        <v/>
      </c>
      <c r="L81" s="103">
        <f t="shared" si="5"/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69"/>
      <c r="B82" s="10"/>
      <c r="C82" s="10"/>
      <c r="D82" s="10"/>
      <c r="E82" s="12"/>
      <c r="F82" s="10"/>
      <c r="G82" s="107"/>
      <c r="H82" s="103" t="str">
        <f t="shared" si="1"/>
        <v/>
      </c>
      <c r="I82" s="103" t="str">
        <f t="shared" si="2"/>
        <v/>
      </c>
      <c r="J82" s="103" t="str">
        <f t="shared" si="3"/>
        <v/>
      </c>
      <c r="K82" s="103" t="str">
        <f t="shared" si="4"/>
        <v/>
      </c>
      <c r="L82" s="103">
        <f t="shared" si="5"/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69"/>
      <c r="B83" s="10"/>
      <c r="C83" s="10"/>
      <c r="D83" s="10"/>
      <c r="E83" s="12"/>
      <c r="F83" s="10"/>
      <c r="G83" s="107"/>
      <c r="H83" s="103" t="str">
        <f t="shared" si="1"/>
        <v/>
      </c>
      <c r="I83" s="103" t="str">
        <f t="shared" si="2"/>
        <v/>
      </c>
      <c r="J83" s="103" t="str">
        <f t="shared" si="3"/>
        <v/>
      </c>
      <c r="K83" s="103" t="str">
        <f t="shared" si="4"/>
        <v/>
      </c>
      <c r="L83" s="103">
        <f t="shared" si="5"/>
        <v>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69"/>
      <c r="B84" s="10"/>
      <c r="C84" s="10"/>
      <c r="D84" s="10"/>
      <c r="E84" s="12"/>
      <c r="F84" s="10"/>
      <c r="G84" s="107"/>
      <c r="H84" s="103" t="str">
        <f t="shared" si="1"/>
        <v/>
      </c>
      <c r="I84" s="103" t="str">
        <f t="shared" si="2"/>
        <v/>
      </c>
      <c r="J84" s="103" t="str">
        <f t="shared" si="3"/>
        <v/>
      </c>
      <c r="K84" s="103" t="str">
        <f t="shared" si="4"/>
        <v/>
      </c>
      <c r="L84" s="103">
        <f t="shared" si="5"/>
        <v>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69"/>
      <c r="B85" s="10"/>
      <c r="C85" s="10"/>
      <c r="D85" s="10"/>
      <c r="E85" s="12"/>
      <c r="F85" s="10"/>
      <c r="G85" s="107"/>
      <c r="H85" s="103" t="str">
        <f t="shared" si="1"/>
        <v/>
      </c>
      <c r="I85" s="103" t="str">
        <f t="shared" si="2"/>
        <v/>
      </c>
      <c r="J85" s="103" t="str">
        <f t="shared" si="3"/>
        <v/>
      </c>
      <c r="K85" s="103" t="str">
        <f t="shared" si="4"/>
        <v/>
      </c>
      <c r="L85" s="103">
        <f t="shared" si="5"/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69"/>
      <c r="B86" s="10"/>
      <c r="C86" s="10"/>
      <c r="D86" s="10"/>
      <c r="E86" s="12"/>
      <c r="F86" s="10"/>
      <c r="G86" s="107"/>
      <c r="H86" s="103" t="str">
        <f t="shared" si="1"/>
        <v/>
      </c>
      <c r="I86" s="103" t="str">
        <f t="shared" si="2"/>
        <v/>
      </c>
      <c r="J86" s="103" t="str">
        <f t="shared" si="3"/>
        <v/>
      </c>
      <c r="K86" s="103" t="str">
        <f t="shared" si="4"/>
        <v/>
      </c>
      <c r="L86" s="103">
        <f t="shared" si="5"/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69"/>
      <c r="B87" s="10"/>
      <c r="C87" s="10"/>
      <c r="D87" s="10"/>
      <c r="E87" s="12"/>
      <c r="F87" s="10"/>
      <c r="G87" s="107"/>
      <c r="H87" s="103" t="str">
        <f t="shared" si="1"/>
        <v/>
      </c>
      <c r="I87" s="103" t="str">
        <f t="shared" si="2"/>
        <v/>
      </c>
      <c r="J87" s="103" t="str">
        <f t="shared" si="3"/>
        <v/>
      </c>
      <c r="K87" s="103" t="str">
        <f t="shared" si="4"/>
        <v/>
      </c>
      <c r="L87" s="103">
        <f t="shared" si="5"/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69"/>
      <c r="B88" s="10"/>
      <c r="C88" s="10"/>
      <c r="D88" s="10"/>
      <c r="E88" s="12"/>
      <c r="F88" s="10"/>
      <c r="G88" s="107"/>
      <c r="H88" s="103" t="str">
        <f t="shared" si="1"/>
        <v/>
      </c>
      <c r="I88" s="103" t="str">
        <f t="shared" si="2"/>
        <v/>
      </c>
      <c r="J88" s="103" t="str">
        <f t="shared" si="3"/>
        <v/>
      </c>
      <c r="K88" s="103" t="str">
        <f t="shared" si="4"/>
        <v/>
      </c>
      <c r="L88" s="103">
        <f t="shared" si="5"/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69"/>
      <c r="B89" s="10"/>
      <c r="C89" s="10"/>
      <c r="D89" s="10"/>
      <c r="E89" s="12"/>
      <c r="F89" s="10"/>
      <c r="G89" s="107"/>
      <c r="H89" s="103" t="str">
        <f t="shared" si="1"/>
        <v/>
      </c>
      <c r="I89" s="103" t="str">
        <f t="shared" si="2"/>
        <v/>
      </c>
      <c r="J89" s="103" t="str">
        <f t="shared" si="3"/>
        <v/>
      </c>
      <c r="K89" s="103" t="str">
        <f t="shared" si="4"/>
        <v/>
      </c>
      <c r="L89" s="103">
        <f t="shared" si="5"/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69"/>
      <c r="B90" s="10"/>
      <c r="C90" s="10"/>
      <c r="D90" s="10"/>
      <c r="E90" s="12"/>
      <c r="F90" s="10"/>
      <c r="G90" s="107"/>
      <c r="H90" s="103" t="str">
        <f t="shared" si="1"/>
        <v/>
      </c>
      <c r="I90" s="103" t="str">
        <f t="shared" si="2"/>
        <v/>
      </c>
      <c r="J90" s="103" t="str">
        <f t="shared" si="3"/>
        <v/>
      </c>
      <c r="K90" s="103" t="str">
        <f t="shared" si="4"/>
        <v/>
      </c>
      <c r="L90" s="103">
        <f t="shared" si="5"/>
        <v>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69"/>
      <c r="B91" s="10"/>
      <c r="C91" s="10"/>
      <c r="D91" s="10"/>
      <c r="E91" s="12"/>
      <c r="F91" s="10"/>
      <c r="G91" s="107"/>
      <c r="H91" s="103" t="str">
        <f t="shared" si="1"/>
        <v/>
      </c>
      <c r="I91" s="103" t="str">
        <f t="shared" si="2"/>
        <v/>
      </c>
      <c r="J91" s="103" t="str">
        <f t="shared" si="3"/>
        <v/>
      </c>
      <c r="K91" s="103" t="str">
        <f t="shared" si="4"/>
        <v/>
      </c>
      <c r="L91" s="103">
        <f t="shared" si="5"/>
        <v>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69"/>
      <c r="B92" s="10"/>
      <c r="C92" s="10"/>
      <c r="D92" s="10"/>
      <c r="E92" s="12"/>
      <c r="F92" s="10"/>
      <c r="G92" s="107"/>
      <c r="H92" s="103" t="str">
        <f t="shared" si="1"/>
        <v/>
      </c>
      <c r="I92" s="103" t="str">
        <f t="shared" si="2"/>
        <v/>
      </c>
      <c r="J92" s="103" t="str">
        <f t="shared" si="3"/>
        <v/>
      </c>
      <c r="K92" s="103" t="str">
        <f t="shared" si="4"/>
        <v/>
      </c>
      <c r="L92" s="103">
        <f t="shared" si="5"/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2" t="s">
        <v>521</v>
      </c>
      <c r="B95" s="20"/>
      <c r="C95" s="20"/>
      <c r="D95" s="2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109</v>
      </c>
      <c r="B96" s="4" t="s">
        <v>522</v>
      </c>
      <c r="C96" s="4" t="s">
        <v>116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3" t="s">
        <v>117</v>
      </c>
      <c r="B97" s="111">
        <f t="shared" ref="B97:B99" si="6">SUMIFS($E$6:$E$92,$D$6:$D$92,A97)-SUMIFS($E$6:$E$92,$C$6:$C$92,A97)</f>
        <v>365000000</v>
      </c>
      <c r="C97" s="142" t="str">
        <f t="shared" ref="C97:C99" si="7">IF(B97&lt;=0,"⚠️ 순투입 0 이하 → 이 계좌의 수익률(%)은 무의미. 금액으로만 볼 것","")</f>
        <v/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3" t="s">
        <v>123</v>
      </c>
      <c r="B98" s="111">
        <f t="shared" si="6"/>
        <v>-65000000</v>
      </c>
      <c r="C98" s="142" t="str">
        <f t="shared" si="7"/>
        <v>⚠️ 순투입 0 이하 → 이 계좌의 수익률(%)은 무의미. 금액으로만 볼 것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3" t="s">
        <v>126</v>
      </c>
      <c r="B99" s="111">
        <f t="shared" si="6"/>
        <v>40000000</v>
      </c>
      <c r="C99" s="142" t="str">
        <f t="shared" si="7"/>
        <v/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3" t="s">
        <v>523</v>
      </c>
      <c r="B100" s="94">
        <f>SUM(B97:B99)</f>
        <v>340000000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2" t="s">
        <v>524</v>
      </c>
      <c r="B103" s="20"/>
      <c r="C103" s="2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288</v>
      </c>
      <c r="B104" s="4" t="s">
        <v>351</v>
      </c>
      <c r="C104" s="4" t="s">
        <v>116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3" t="s">
        <v>525</v>
      </c>
      <c r="B105" s="12">
        <v>2.0E8</v>
      </c>
      <c r="C105" s="142" t="s">
        <v>526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3" t="s">
        <v>527</v>
      </c>
      <c r="B106" s="12">
        <v>4.0E7</v>
      </c>
      <c r="C106" s="9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3" t="s">
        <v>507</v>
      </c>
      <c r="B107" s="12">
        <v>1.0E8</v>
      </c>
      <c r="C107" s="9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3" t="s">
        <v>528</v>
      </c>
      <c r="B108" s="12">
        <v>8.0E7</v>
      </c>
      <c r="C108" s="93" t="s">
        <v>529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2" t="s">
        <v>530</v>
      </c>
      <c r="B111" s="20"/>
      <c r="C111" s="20"/>
      <c r="D111" s="20"/>
      <c r="E111" s="20"/>
      <c r="F111" s="2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460</v>
      </c>
      <c r="B112" s="4" t="s">
        <v>531</v>
      </c>
      <c r="C112" s="4" t="s">
        <v>532</v>
      </c>
      <c r="D112" s="4" t="s">
        <v>533</v>
      </c>
      <c r="E112" s="4" t="s">
        <v>135</v>
      </c>
      <c r="F112" s="4" t="s">
        <v>534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43">
        <v>45962.0</v>
      </c>
      <c r="B113" s="12">
        <v>609108.0</v>
      </c>
      <c r="C113" s="12"/>
      <c r="D113" s="12"/>
      <c r="E113" s="111">
        <f t="shared" ref="E113:E126" si="8">IFERROR(SUM(B113:D113),0)</f>
        <v>609108</v>
      </c>
      <c r="F113" s="103">
        <f t="shared" ref="F113:F126" si="9">SUM($E$113:E113)</f>
        <v>609108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43">
        <v>45992.0</v>
      </c>
      <c r="B114" s="12">
        <v>404008.0</v>
      </c>
      <c r="C114" s="12"/>
      <c r="D114" s="12"/>
      <c r="E114" s="111">
        <f t="shared" si="8"/>
        <v>404008</v>
      </c>
      <c r="F114" s="103">
        <f t="shared" si="9"/>
        <v>1013116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43">
        <v>46023.0</v>
      </c>
      <c r="B115" s="12">
        <v>2034300.0</v>
      </c>
      <c r="C115" s="12"/>
      <c r="D115" s="12"/>
      <c r="E115" s="111">
        <f t="shared" si="8"/>
        <v>2034300</v>
      </c>
      <c r="F115" s="103">
        <f t="shared" si="9"/>
        <v>3047416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43">
        <v>46054.0</v>
      </c>
      <c r="B116" s="12">
        <v>1255350.0</v>
      </c>
      <c r="C116" s="12"/>
      <c r="D116" s="12"/>
      <c r="E116" s="111">
        <f t="shared" si="8"/>
        <v>1255350</v>
      </c>
      <c r="F116" s="103">
        <f t="shared" si="9"/>
        <v>4302766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43">
        <v>46082.0</v>
      </c>
      <c r="B117" s="12">
        <v>2720632.0</v>
      </c>
      <c r="C117" s="12"/>
      <c r="D117" s="12"/>
      <c r="E117" s="111">
        <f t="shared" si="8"/>
        <v>2720632</v>
      </c>
      <c r="F117" s="103">
        <f t="shared" si="9"/>
        <v>7023398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43">
        <v>46113.0</v>
      </c>
      <c r="B118" s="12">
        <v>3178286.0</v>
      </c>
      <c r="C118" s="12"/>
      <c r="D118" s="12"/>
      <c r="E118" s="111">
        <f t="shared" si="8"/>
        <v>3178286</v>
      </c>
      <c r="F118" s="103">
        <f t="shared" si="9"/>
        <v>10201684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43">
        <v>46143.0</v>
      </c>
      <c r="B119" s="12">
        <v>2845377.0</v>
      </c>
      <c r="C119" s="12"/>
      <c r="D119" s="12"/>
      <c r="E119" s="111">
        <f t="shared" si="8"/>
        <v>2845377</v>
      </c>
      <c r="F119" s="103">
        <f t="shared" si="9"/>
        <v>13047061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43">
        <v>46174.0</v>
      </c>
      <c r="B120" s="12">
        <v>2766879.0</v>
      </c>
      <c r="C120" s="12"/>
      <c r="D120" s="12"/>
      <c r="E120" s="111">
        <f t="shared" si="8"/>
        <v>2766879</v>
      </c>
      <c r="F120" s="103">
        <f t="shared" si="9"/>
        <v>15813940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43">
        <v>46204.0</v>
      </c>
      <c r="B121" s="12">
        <v>4024928.0</v>
      </c>
      <c r="C121" s="12"/>
      <c r="D121" s="12"/>
      <c r="E121" s="111">
        <f t="shared" si="8"/>
        <v>4024928</v>
      </c>
      <c r="F121" s="103">
        <f t="shared" si="9"/>
        <v>19838868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43">
        <v>46235.0</v>
      </c>
      <c r="B122" s="12"/>
      <c r="C122" s="12"/>
      <c r="D122" s="12"/>
      <c r="E122" s="111">
        <f t="shared" si="8"/>
        <v>0</v>
      </c>
      <c r="F122" s="103">
        <f t="shared" si="9"/>
        <v>19838868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43">
        <v>46266.0</v>
      </c>
      <c r="B123" s="12"/>
      <c r="C123" s="12"/>
      <c r="D123" s="12"/>
      <c r="E123" s="111">
        <f t="shared" si="8"/>
        <v>0</v>
      </c>
      <c r="F123" s="103">
        <f t="shared" si="9"/>
        <v>19838868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43">
        <v>46296.0</v>
      </c>
      <c r="B124" s="12"/>
      <c r="C124" s="12"/>
      <c r="D124" s="12"/>
      <c r="E124" s="111">
        <f t="shared" si="8"/>
        <v>0</v>
      </c>
      <c r="F124" s="103">
        <f t="shared" si="9"/>
        <v>19838868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43">
        <v>46327.0</v>
      </c>
      <c r="B125" s="12"/>
      <c r="C125" s="12"/>
      <c r="D125" s="12"/>
      <c r="E125" s="111">
        <f t="shared" si="8"/>
        <v>0</v>
      </c>
      <c r="F125" s="103">
        <f t="shared" si="9"/>
        <v>19838868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43">
        <v>46357.0</v>
      </c>
      <c r="B126" s="12"/>
      <c r="C126" s="12"/>
      <c r="D126" s="12"/>
      <c r="E126" s="111">
        <f t="shared" si="8"/>
        <v>0</v>
      </c>
      <c r="F126" s="103">
        <f t="shared" si="9"/>
        <v>19838868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3" t="s">
        <v>535</v>
      </c>
      <c r="B127" s="3"/>
      <c r="C127" s="3"/>
      <c r="D127" s="3"/>
      <c r="E127" s="94">
        <f>SUM(E113:E126)</f>
        <v>19838868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2" t="s">
        <v>536</v>
      </c>
      <c r="B130" s="20"/>
      <c r="C130" s="20"/>
      <c r="D130" s="20"/>
      <c r="E130" s="20"/>
      <c r="F130" s="20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91" t="s">
        <v>537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538</v>
      </c>
      <c r="B132" s="4" t="s">
        <v>539</v>
      </c>
      <c r="C132" s="4" t="s">
        <v>540</v>
      </c>
      <c r="D132" s="4" t="s">
        <v>541</v>
      </c>
      <c r="E132" s="4" t="s">
        <v>542</v>
      </c>
      <c r="F132" s="4" t="s">
        <v>543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47">
        <v>2025.0</v>
      </c>
      <c r="B133" s="12"/>
      <c r="C133" s="12">
        <v>2500000.0</v>
      </c>
      <c r="D133" s="103">
        <f t="shared" ref="D133:D134" si="10">MAX(0,IFERROR(B133,0)-C133)</f>
        <v>0</v>
      </c>
      <c r="E133" s="45">
        <v>0.22</v>
      </c>
      <c r="F133" s="111">
        <f t="shared" ref="F133:F134" si="11">D133*E133</f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47">
        <v>2026.0</v>
      </c>
      <c r="B134" s="12">
        <v>9.2287764E7</v>
      </c>
      <c r="C134" s="12">
        <v>2500000.0</v>
      </c>
      <c r="D134" s="103">
        <f t="shared" si="10"/>
        <v>89787764</v>
      </c>
      <c r="E134" s="45">
        <v>0.22</v>
      </c>
      <c r="F134" s="111">
        <f t="shared" si="11"/>
        <v>19753308.08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3" t="s">
        <v>135</v>
      </c>
      <c r="B135" s="3"/>
      <c r="C135" s="3"/>
      <c r="D135" s="3"/>
      <c r="E135" s="3"/>
      <c r="F135" s="94">
        <f>SUM(F133:F134)</f>
        <v>19753308.08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2" t="s">
        <v>544</v>
      </c>
      <c r="B138" s="20"/>
      <c r="C138" s="20"/>
      <c r="D138" s="2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545</v>
      </c>
      <c r="B139" s="4" t="s">
        <v>351</v>
      </c>
      <c r="C139" s="4" t="s">
        <v>546</v>
      </c>
      <c r="D139" s="4" t="s">
        <v>538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48">
        <v>45764.0</v>
      </c>
      <c r="B140" s="95">
        <v>180000.0</v>
      </c>
      <c r="C140" s="149" t="s">
        <v>547</v>
      </c>
      <c r="D140" s="150">
        <v>2025.0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48">
        <v>45790.0</v>
      </c>
      <c r="B141" s="95">
        <v>280000.0</v>
      </c>
      <c r="C141" s="149" t="s">
        <v>548</v>
      </c>
      <c r="D141" s="150">
        <v>2025.0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48">
        <v>45842.0</v>
      </c>
      <c r="B142" s="95">
        <v>1320000.0</v>
      </c>
      <c r="C142" s="149" t="s">
        <v>549</v>
      </c>
      <c r="D142" s="150">
        <v>2025.0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48">
        <v>45873.0</v>
      </c>
      <c r="B143" s="95">
        <v>280000.0</v>
      </c>
      <c r="C143" s="149" t="s">
        <v>550</v>
      </c>
      <c r="D143" s="150">
        <v>2025.0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48">
        <v>45899.0</v>
      </c>
      <c r="B144" s="95">
        <v>45000.0</v>
      </c>
      <c r="C144" s="149" t="s">
        <v>551</v>
      </c>
      <c r="D144" s="150">
        <v>2025.0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48">
        <v>45902.0</v>
      </c>
      <c r="B145" s="95">
        <v>20000.0</v>
      </c>
      <c r="C145" s="149" t="s">
        <v>552</v>
      </c>
      <c r="D145" s="150">
        <v>2025.0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48">
        <v>45931.0</v>
      </c>
      <c r="B146" s="95">
        <v>20000.0</v>
      </c>
      <c r="C146" s="149" t="s">
        <v>553</v>
      </c>
      <c r="D146" s="150">
        <v>2025.0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48">
        <v>45932.0</v>
      </c>
      <c r="B147" s="95">
        <v>20000.0</v>
      </c>
      <c r="C147" s="149" t="s">
        <v>554</v>
      </c>
      <c r="D147" s="150">
        <v>2025.0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48">
        <v>45932.0</v>
      </c>
      <c r="B148" s="95">
        <v>330000.0</v>
      </c>
      <c r="C148" s="149" t="s">
        <v>555</v>
      </c>
      <c r="D148" s="150">
        <v>2025.0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48">
        <v>45962.0</v>
      </c>
      <c r="B149" s="95">
        <v>100000.0</v>
      </c>
      <c r="C149" s="149" t="s">
        <v>556</v>
      </c>
      <c r="D149" s="150">
        <v>2025.0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48">
        <v>45973.0</v>
      </c>
      <c r="B150" s="95">
        <v>33000.0</v>
      </c>
      <c r="C150" s="149" t="s">
        <v>557</v>
      </c>
      <c r="D150" s="150">
        <v>2025.0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48">
        <v>45974.0</v>
      </c>
      <c r="B151" s="95">
        <v>280000.0</v>
      </c>
      <c r="C151" s="149" t="s">
        <v>558</v>
      </c>
      <c r="D151" s="150">
        <v>2025.0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48">
        <v>45992.0</v>
      </c>
      <c r="B152" s="95">
        <v>100000.0</v>
      </c>
      <c r="C152" s="149" t="s">
        <v>559</v>
      </c>
      <c r="D152" s="150">
        <v>2025.0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48">
        <v>46003.0</v>
      </c>
      <c r="B153" s="95">
        <v>33000.0</v>
      </c>
      <c r="C153" s="149" t="s">
        <v>560</v>
      </c>
      <c r="D153" s="150">
        <v>2025.0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48">
        <v>46022.0</v>
      </c>
      <c r="B154" s="95">
        <v>100000.0</v>
      </c>
      <c r="C154" s="149" t="s">
        <v>561</v>
      </c>
      <c r="D154" s="150">
        <v>2026.0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48">
        <v>46034.0</v>
      </c>
      <c r="B155" s="95">
        <v>33000.0</v>
      </c>
      <c r="C155" s="149" t="s">
        <v>562</v>
      </c>
      <c r="D155" s="150">
        <v>2026.0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48">
        <v>46052.0</v>
      </c>
      <c r="B156" s="95">
        <v>100000.0</v>
      </c>
      <c r="C156" s="149" t="s">
        <v>563</v>
      </c>
      <c r="D156" s="150">
        <v>2026.0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48">
        <v>46064.0</v>
      </c>
      <c r="B157" s="95">
        <v>280000.0</v>
      </c>
      <c r="C157" s="149" t="s">
        <v>564</v>
      </c>
      <c r="D157" s="150">
        <v>2026.0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48"/>
      <c r="B158" s="95"/>
      <c r="C158" s="128"/>
      <c r="D158" s="15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48"/>
      <c r="B159" s="95"/>
      <c r="C159" s="128"/>
      <c r="D159" s="15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48"/>
      <c r="B160" s="95"/>
      <c r="C160" s="128"/>
      <c r="D160" s="15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48"/>
      <c r="B161" s="95"/>
      <c r="C161" s="128"/>
      <c r="D161" s="15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48"/>
      <c r="B162" s="95"/>
      <c r="C162" s="128"/>
      <c r="D162" s="15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48"/>
      <c r="B163" s="95"/>
      <c r="C163" s="128"/>
      <c r="D163" s="15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48"/>
      <c r="B164" s="95"/>
      <c r="C164" s="128"/>
      <c r="D164" s="15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48"/>
      <c r="B165" s="95"/>
      <c r="C165" s="128"/>
      <c r="D165" s="15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48"/>
      <c r="B166" s="95"/>
      <c r="C166" s="128"/>
      <c r="D166" s="15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48"/>
      <c r="B167" s="95"/>
      <c r="C167" s="128"/>
      <c r="D167" s="15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48"/>
      <c r="B168" s="95"/>
      <c r="C168" s="128"/>
      <c r="D168" s="15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48"/>
      <c r="B169" s="95"/>
      <c r="C169" s="128"/>
      <c r="D169" s="15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48"/>
      <c r="B170" s="95"/>
      <c r="C170" s="128"/>
      <c r="D170" s="15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48"/>
      <c r="B171" s="95"/>
      <c r="C171" s="128"/>
      <c r="D171" s="15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48"/>
      <c r="B172" s="95"/>
      <c r="C172" s="128"/>
      <c r="D172" s="15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48"/>
      <c r="B173" s="95"/>
      <c r="C173" s="128"/>
      <c r="D173" s="15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48"/>
      <c r="B174" s="95"/>
      <c r="C174" s="128"/>
      <c r="D174" s="15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48"/>
      <c r="B175" s="95"/>
      <c r="C175" s="128"/>
      <c r="D175" s="15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48"/>
      <c r="B176" s="95"/>
      <c r="C176" s="128"/>
      <c r="D176" s="15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48"/>
      <c r="B177" s="95"/>
      <c r="C177" s="128"/>
      <c r="D177" s="15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48"/>
      <c r="B178" s="95"/>
      <c r="C178" s="128"/>
      <c r="D178" s="15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3" t="s">
        <v>565</v>
      </c>
      <c r="B179" s="94">
        <f>SUM(B140:B178)</f>
        <v>3554000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8">
    <mergeCell ref="A1:K1"/>
    <mergeCell ref="A4:K4"/>
    <mergeCell ref="A95:D95"/>
    <mergeCell ref="A103:C103"/>
    <mergeCell ref="A111:F111"/>
    <mergeCell ref="A130:F130"/>
    <mergeCell ref="A131:F131"/>
    <mergeCell ref="A138:D138"/>
  </mergeCells>
  <dataValidations>
    <dataValidation type="list" allowBlank="1" sqref="F6:F92">
      <formula1>"자기자금,대출금,대출+자기자금"</formula1>
    </dataValidation>
    <dataValidation type="list" allowBlank="1" sqref="C6:D92">
      <formula1>"국장,미장,ISA,중국,업비트"</formula1>
    </dataValidation>
    <dataValidation type="list" allowBlank="1" sqref="B6:B92">
      <formula1>"개시잔액,외부입금,외부출금,계좌간이체"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0"/>
    <col customWidth="1" min="2" max="2" width="17.0"/>
    <col customWidth="1" min="3" max="3" width="12.0"/>
    <col customWidth="1" min="4" max="4" width="70.0"/>
    <col customWidth="1" min="5" max="5" width="34.0"/>
    <col customWidth="1" min="6" max="6" width="44.0"/>
  </cols>
  <sheetData>
    <row r="1">
      <c r="A1" s="1" t="s">
        <v>566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7" t="s">
        <v>567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0" t="s">
        <v>569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1" t="s">
        <v>570</v>
      </c>
      <c r="B5" s="141" t="s">
        <v>288</v>
      </c>
      <c r="C5" s="141" t="s">
        <v>571</v>
      </c>
      <c r="D5" s="141" t="s">
        <v>572</v>
      </c>
      <c r="E5" s="141" t="s">
        <v>573</v>
      </c>
      <c r="F5" s="141" t="s">
        <v>147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151">
        <v>46237.0</v>
      </c>
      <c r="B6" s="10" t="s">
        <v>575</v>
      </c>
      <c r="C6" s="105" t="s">
        <v>576</v>
      </c>
      <c r="D6" s="105" t="s">
        <v>577</v>
      </c>
      <c r="E6" s="10" t="s">
        <v>578</v>
      </c>
      <c r="F6" s="10" t="s">
        <v>579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151">
        <v>46237.0</v>
      </c>
      <c r="B7" s="10" t="s">
        <v>345</v>
      </c>
      <c r="C7" s="105" t="s">
        <v>581</v>
      </c>
      <c r="D7" s="105" t="s">
        <v>582</v>
      </c>
      <c r="E7" s="10" t="s">
        <v>583</v>
      </c>
      <c r="F7" s="10" t="s">
        <v>579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151">
        <v>46237.0</v>
      </c>
      <c r="B8" s="10" t="s">
        <v>585</v>
      </c>
      <c r="C8" s="105" t="s">
        <v>586</v>
      </c>
      <c r="D8" s="105" t="s">
        <v>588</v>
      </c>
      <c r="E8" s="10" t="s">
        <v>578</v>
      </c>
      <c r="F8" s="10" t="s">
        <v>579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151">
        <v>46237.0</v>
      </c>
      <c r="B9" s="10" t="s">
        <v>585</v>
      </c>
      <c r="C9" s="105" t="s">
        <v>591</v>
      </c>
      <c r="D9" s="105" t="s">
        <v>592</v>
      </c>
      <c r="E9" s="10" t="s">
        <v>583</v>
      </c>
      <c r="F9" s="10" t="s">
        <v>579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151">
        <v>46237.0</v>
      </c>
      <c r="B10" s="10" t="s">
        <v>595</v>
      </c>
      <c r="C10" s="105" t="s">
        <v>596</v>
      </c>
      <c r="D10" s="105" t="s">
        <v>597</v>
      </c>
      <c r="E10" s="10" t="s">
        <v>598</v>
      </c>
      <c r="F10" s="10" t="s">
        <v>599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1"/>
      <c r="B11" s="10"/>
      <c r="C11" s="105"/>
      <c r="D11" s="105"/>
      <c r="E11" s="10"/>
      <c r="F11" s="1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1"/>
      <c r="B12" s="10"/>
      <c r="C12" s="105"/>
      <c r="D12" s="105"/>
      <c r="E12" s="10"/>
      <c r="F12" s="1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1"/>
      <c r="B13" s="10"/>
      <c r="C13" s="105"/>
      <c r="D13" s="105"/>
      <c r="E13" s="10"/>
      <c r="F13" s="1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1"/>
      <c r="B14" s="10"/>
      <c r="C14" s="105"/>
      <c r="D14" s="105"/>
      <c r="E14" s="10"/>
      <c r="F14" s="1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1"/>
      <c r="B15" s="10"/>
      <c r="C15" s="105"/>
      <c r="D15" s="105"/>
      <c r="E15" s="10"/>
      <c r="F15" s="1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1"/>
      <c r="B16" s="10"/>
      <c r="C16" s="105"/>
      <c r="D16" s="105"/>
      <c r="E16" s="10"/>
      <c r="F16" s="1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1"/>
      <c r="B17" s="10"/>
      <c r="C17" s="105"/>
      <c r="D17" s="105"/>
      <c r="E17" s="10"/>
      <c r="F17" s="1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1"/>
      <c r="B18" s="10"/>
      <c r="C18" s="105"/>
      <c r="D18" s="105"/>
      <c r="E18" s="10"/>
      <c r="F18" s="1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1"/>
      <c r="B19" s="10"/>
      <c r="C19" s="105"/>
      <c r="D19" s="105"/>
      <c r="E19" s="10"/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51"/>
      <c r="B20" s="10"/>
      <c r="C20" s="105"/>
      <c r="D20" s="105"/>
      <c r="E20" s="10"/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51"/>
      <c r="B21" s="10"/>
      <c r="C21" s="105"/>
      <c r="D21" s="105"/>
      <c r="E21" s="10"/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51"/>
      <c r="B22" s="10"/>
      <c r="C22" s="105"/>
      <c r="D22" s="105"/>
      <c r="E22" s="10"/>
      <c r="F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51"/>
      <c r="B23" s="10"/>
      <c r="C23" s="105"/>
      <c r="D23" s="105"/>
      <c r="E23" s="10"/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51"/>
      <c r="B24" s="10"/>
      <c r="C24" s="105"/>
      <c r="D24" s="105"/>
      <c r="E24" s="10"/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51"/>
      <c r="B25" s="10"/>
      <c r="C25" s="105"/>
      <c r="D25" s="105"/>
      <c r="E25" s="10"/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51"/>
      <c r="B26" s="10"/>
      <c r="C26" s="105"/>
      <c r="D26" s="105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51"/>
      <c r="B27" s="10"/>
      <c r="C27" s="105"/>
      <c r="D27" s="105"/>
      <c r="E27" s="10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51"/>
      <c r="B28" s="10"/>
      <c r="C28" s="105"/>
      <c r="D28" s="105"/>
      <c r="E28" s="10"/>
      <c r="F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51"/>
      <c r="B29" s="10"/>
      <c r="C29" s="105"/>
      <c r="D29" s="105"/>
      <c r="E29" s="10"/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51"/>
      <c r="B30" s="10"/>
      <c r="C30" s="105"/>
      <c r="D30" s="105"/>
      <c r="E30" s="10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51"/>
      <c r="B31" s="10"/>
      <c r="C31" s="105"/>
      <c r="D31" s="105"/>
      <c r="E31" s="10"/>
      <c r="F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51"/>
      <c r="B32" s="10"/>
      <c r="C32" s="105"/>
      <c r="D32" s="105"/>
      <c r="E32" s="10"/>
      <c r="F32" s="1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51"/>
      <c r="B33" s="10"/>
      <c r="C33" s="105"/>
      <c r="D33" s="105"/>
      <c r="E33" s="10"/>
      <c r="F33" s="10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51"/>
      <c r="B34" s="10"/>
      <c r="C34" s="105"/>
      <c r="D34" s="105"/>
      <c r="E34" s="10"/>
      <c r="F34" s="10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51"/>
      <c r="B35" s="10"/>
      <c r="C35" s="105"/>
      <c r="D35" s="105"/>
      <c r="E35" s="10"/>
      <c r="F35" s="1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0" t="s">
        <v>628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41" t="s">
        <v>570</v>
      </c>
      <c r="B39" s="141" t="s">
        <v>288</v>
      </c>
      <c r="C39" s="141" t="s">
        <v>629</v>
      </c>
      <c r="D39" s="141" t="s">
        <v>630</v>
      </c>
      <c r="E39" s="141" t="s">
        <v>631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63.75" customHeight="1">
      <c r="A40" s="155">
        <v>46237.0</v>
      </c>
      <c r="B40" s="156" t="s">
        <v>632</v>
      </c>
      <c r="C40" s="157" t="s">
        <v>633</v>
      </c>
      <c r="D40" s="158" t="s">
        <v>634</v>
      </c>
      <c r="E40" s="159" t="s">
        <v>635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63.75" customHeight="1">
      <c r="A41" s="155">
        <v>46237.0</v>
      </c>
      <c r="B41" s="156" t="s">
        <v>636</v>
      </c>
      <c r="C41" s="157" t="s">
        <v>637</v>
      </c>
      <c r="D41" s="158" t="s">
        <v>638</v>
      </c>
      <c r="E41" s="159" t="s">
        <v>639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63.75" customHeight="1">
      <c r="A42" s="155">
        <v>46237.0</v>
      </c>
      <c r="B42" s="156" t="s">
        <v>421</v>
      </c>
      <c r="C42" s="157" t="s">
        <v>641</v>
      </c>
      <c r="D42" s="158" t="s">
        <v>642</v>
      </c>
      <c r="E42" s="159" t="s">
        <v>643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63.75" customHeight="1">
      <c r="A43" s="155">
        <v>46237.0</v>
      </c>
      <c r="B43" s="156" t="s">
        <v>644</v>
      </c>
      <c r="C43" s="157" t="s">
        <v>645</v>
      </c>
      <c r="D43" s="158" t="s">
        <v>646</v>
      </c>
      <c r="E43" s="159" t="s">
        <v>647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63.75" customHeight="1">
      <c r="A44" s="155">
        <v>46237.0</v>
      </c>
      <c r="B44" s="156" t="s">
        <v>644</v>
      </c>
      <c r="C44" s="157" t="s">
        <v>648</v>
      </c>
      <c r="D44" s="158" t="s">
        <v>649</v>
      </c>
      <c r="E44" s="159" t="s">
        <v>650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51"/>
      <c r="B45" s="10"/>
      <c r="C45" s="105"/>
      <c r="D45" s="105"/>
      <c r="E45" s="10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51"/>
      <c r="B46" s="10"/>
      <c r="C46" s="105"/>
      <c r="D46" s="105"/>
      <c r="E46" s="10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60" t="s">
        <v>651</v>
      </c>
      <c r="B47" s="161"/>
      <c r="C47" s="161"/>
      <c r="D47" s="161"/>
      <c r="E47" s="161"/>
      <c r="F47" s="16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63" t="s">
        <v>652</v>
      </c>
      <c r="B48" s="161"/>
      <c r="C48" s="161"/>
      <c r="D48" s="161"/>
      <c r="E48" s="161"/>
      <c r="F48" s="16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64" t="s">
        <v>2</v>
      </c>
      <c r="B49" s="4" t="s">
        <v>653</v>
      </c>
      <c r="C49" s="4" t="s">
        <v>654</v>
      </c>
      <c r="D49" s="4" t="s">
        <v>655</v>
      </c>
      <c r="E49" s="4" t="s">
        <v>656</v>
      </c>
      <c r="F49" s="4" t="s">
        <v>657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8.0" customHeight="1">
      <c r="A50" s="165">
        <v>46239.0</v>
      </c>
      <c r="B50" s="166" t="s">
        <v>658</v>
      </c>
      <c r="C50" s="167" t="s">
        <v>659</v>
      </c>
      <c r="D50" s="168" t="s">
        <v>660</v>
      </c>
      <c r="E50" s="168" t="s">
        <v>661</v>
      </c>
      <c r="F50" s="169" t="s">
        <v>662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70"/>
      <c r="B51" s="171"/>
      <c r="C51" s="98"/>
      <c r="D51" s="105"/>
      <c r="E51" s="105"/>
      <c r="F51" s="10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70"/>
      <c r="B52" s="171"/>
      <c r="C52" s="98"/>
      <c r="D52" s="105"/>
      <c r="E52" s="105"/>
      <c r="F52" s="10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70"/>
      <c r="B53" s="171"/>
      <c r="C53" s="98"/>
      <c r="D53" s="105"/>
      <c r="E53" s="105"/>
      <c r="F53" s="10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70"/>
      <c r="B54" s="171"/>
      <c r="C54" s="98"/>
      <c r="D54" s="105"/>
      <c r="E54" s="105"/>
      <c r="F54" s="10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70"/>
      <c r="B55" s="171"/>
      <c r="C55" s="98"/>
      <c r="D55" s="105"/>
      <c r="E55" s="105"/>
      <c r="F55" s="10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70"/>
      <c r="B56" s="171"/>
      <c r="C56" s="98"/>
      <c r="D56" s="105"/>
      <c r="E56" s="105"/>
      <c r="F56" s="10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70"/>
      <c r="B57" s="171"/>
      <c r="C57" s="98"/>
      <c r="D57" s="105"/>
      <c r="E57" s="105"/>
      <c r="F57" s="10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70"/>
      <c r="B58" s="171"/>
      <c r="C58" s="98"/>
      <c r="D58" s="105"/>
      <c r="E58" s="105"/>
      <c r="F58" s="10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70"/>
      <c r="B59" s="171"/>
      <c r="C59" s="98"/>
      <c r="D59" s="105"/>
      <c r="E59" s="105"/>
      <c r="F59" s="10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70"/>
      <c r="B60" s="171"/>
      <c r="C60" s="98"/>
      <c r="D60" s="105"/>
      <c r="E60" s="105"/>
      <c r="F60" s="10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70"/>
      <c r="B61" s="171"/>
      <c r="C61" s="98"/>
      <c r="D61" s="105"/>
      <c r="E61" s="105"/>
      <c r="F61" s="10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70"/>
      <c r="B62" s="171"/>
      <c r="C62" s="98"/>
      <c r="D62" s="105"/>
      <c r="E62" s="105"/>
      <c r="F62" s="10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70"/>
      <c r="B63" s="171"/>
      <c r="C63" s="98"/>
      <c r="D63" s="105"/>
      <c r="E63" s="105"/>
      <c r="F63" s="10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70"/>
      <c r="B64" s="171"/>
      <c r="C64" s="98"/>
      <c r="D64" s="105"/>
      <c r="E64" s="105"/>
      <c r="F64" s="10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70"/>
      <c r="B65" s="171"/>
      <c r="C65" s="98"/>
      <c r="D65" s="105"/>
      <c r="E65" s="105"/>
      <c r="F65" s="10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70"/>
      <c r="B66" s="171"/>
      <c r="C66" s="98"/>
      <c r="D66" s="105"/>
      <c r="E66" s="105"/>
      <c r="F66" s="10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70"/>
      <c r="B67" s="171"/>
      <c r="C67" s="98"/>
      <c r="D67" s="105"/>
      <c r="E67" s="105"/>
      <c r="F67" s="10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70"/>
      <c r="B68" s="171"/>
      <c r="C68" s="98"/>
      <c r="D68" s="105"/>
      <c r="E68" s="105"/>
      <c r="F68" s="10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70"/>
      <c r="B69" s="171"/>
      <c r="C69" s="98"/>
      <c r="D69" s="105"/>
      <c r="E69" s="105"/>
      <c r="F69" s="10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70"/>
      <c r="B70" s="171"/>
      <c r="C70" s="98"/>
      <c r="D70" s="105"/>
      <c r="E70" s="105"/>
      <c r="F70" s="10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70"/>
      <c r="B71" s="171"/>
      <c r="C71" s="98"/>
      <c r="D71" s="105"/>
      <c r="E71" s="105"/>
      <c r="F71" s="10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70"/>
      <c r="B72" s="171"/>
      <c r="C72" s="98"/>
      <c r="D72" s="105"/>
      <c r="E72" s="105"/>
      <c r="F72" s="10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70"/>
      <c r="B73" s="171"/>
      <c r="C73" s="98"/>
      <c r="D73" s="105"/>
      <c r="E73" s="105"/>
      <c r="F73" s="10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70"/>
      <c r="B74" s="171"/>
      <c r="C74" s="98"/>
      <c r="D74" s="105"/>
      <c r="E74" s="105"/>
      <c r="F74" s="10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70"/>
      <c r="B75" s="171"/>
      <c r="C75" s="98"/>
      <c r="D75" s="105"/>
      <c r="E75" s="105"/>
      <c r="F75" s="10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70"/>
      <c r="B76" s="171"/>
      <c r="C76" s="98"/>
      <c r="D76" s="105"/>
      <c r="E76" s="105"/>
      <c r="F76" s="10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70"/>
      <c r="B77" s="171"/>
      <c r="C77" s="98"/>
      <c r="D77" s="105"/>
      <c r="E77" s="105"/>
      <c r="F77" s="10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70"/>
      <c r="B78" s="171"/>
      <c r="C78" s="98"/>
      <c r="D78" s="105"/>
      <c r="E78" s="105"/>
      <c r="F78" s="10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70"/>
      <c r="B79" s="171"/>
      <c r="C79" s="98"/>
      <c r="D79" s="105"/>
      <c r="E79" s="105"/>
      <c r="F79" s="10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70"/>
      <c r="B80" s="171"/>
      <c r="C80" s="98"/>
      <c r="D80" s="105"/>
      <c r="E80" s="105"/>
      <c r="F80" s="10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70"/>
      <c r="B81" s="171"/>
      <c r="C81" s="98"/>
      <c r="D81" s="105"/>
      <c r="E81" s="105"/>
      <c r="F81" s="10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70"/>
      <c r="B82" s="171"/>
      <c r="C82" s="98"/>
      <c r="D82" s="105"/>
      <c r="E82" s="105"/>
      <c r="F82" s="10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70"/>
      <c r="B83" s="171"/>
      <c r="C83" s="98"/>
      <c r="D83" s="105"/>
      <c r="E83" s="105"/>
      <c r="F83" s="10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70"/>
      <c r="B84" s="171"/>
      <c r="C84" s="98"/>
      <c r="D84" s="105"/>
      <c r="E84" s="105"/>
      <c r="F84" s="10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70"/>
      <c r="B85" s="171"/>
      <c r="C85" s="98"/>
      <c r="D85" s="105"/>
      <c r="E85" s="105"/>
      <c r="F85" s="10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70"/>
      <c r="B86" s="171"/>
      <c r="C86" s="98"/>
      <c r="D86" s="105"/>
      <c r="E86" s="105"/>
      <c r="F86" s="10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70"/>
      <c r="B87" s="171"/>
      <c r="C87" s="98"/>
      <c r="D87" s="105"/>
      <c r="E87" s="105"/>
      <c r="F87" s="10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70"/>
      <c r="B88" s="171"/>
      <c r="C88" s="98"/>
      <c r="D88" s="105"/>
      <c r="E88" s="105"/>
      <c r="F88" s="10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70"/>
      <c r="B89" s="171"/>
      <c r="C89" s="98"/>
      <c r="D89" s="105"/>
      <c r="E89" s="105"/>
      <c r="F89" s="10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70"/>
      <c r="B90" s="171"/>
      <c r="C90" s="98"/>
      <c r="D90" s="105"/>
      <c r="E90" s="105"/>
      <c r="F90" s="10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70"/>
      <c r="B91" s="171"/>
      <c r="C91" s="98"/>
      <c r="D91" s="105"/>
      <c r="E91" s="105"/>
      <c r="F91" s="10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70"/>
      <c r="B92" s="171"/>
      <c r="C92" s="98"/>
      <c r="D92" s="105"/>
      <c r="E92" s="105"/>
      <c r="F92" s="10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70"/>
      <c r="B93" s="171"/>
      <c r="C93" s="98"/>
      <c r="D93" s="105"/>
      <c r="E93" s="105"/>
      <c r="F93" s="10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70"/>
      <c r="B94" s="171"/>
      <c r="C94" s="98"/>
      <c r="D94" s="105"/>
      <c r="E94" s="105"/>
      <c r="F94" s="10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70"/>
      <c r="B95" s="171"/>
      <c r="C95" s="98"/>
      <c r="D95" s="105"/>
      <c r="E95" s="105"/>
      <c r="F95" s="10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70"/>
      <c r="B96" s="171"/>
      <c r="C96" s="98"/>
      <c r="D96" s="105"/>
      <c r="E96" s="105"/>
      <c r="F96" s="10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70"/>
      <c r="B97" s="171"/>
      <c r="C97" s="98"/>
      <c r="D97" s="105"/>
      <c r="E97" s="105"/>
      <c r="F97" s="10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70"/>
      <c r="B98" s="171"/>
      <c r="C98" s="98"/>
      <c r="D98" s="105"/>
      <c r="E98" s="105"/>
      <c r="F98" s="10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70"/>
      <c r="B99" s="171"/>
      <c r="C99" s="98"/>
      <c r="D99" s="105"/>
      <c r="E99" s="105"/>
      <c r="F99" s="10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70"/>
      <c r="B100" s="171"/>
      <c r="C100" s="98"/>
      <c r="D100" s="105"/>
      <c r="E100" s="105"/>
      <c r="F100" s="10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70"/>
      <c r="B101" s="171"/>
      <c r="C101" s="98"/>
      <c r="D101" s="105"/>
      <c r="E101" s="105"/>
      <c r="F101" s="10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70"/>
      <c r="B102" s="171"/>
      <c r="C102" s="98"/>
      <c r="D102" s="105"/>
      <c r="E102" s="105"/>
      <c r="F102" s="10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70"/>
      <c r="B103" s="171"/>
      <c r="C103" s="98"/>
      <c r="D103" s="105"/>
      <c r="E103" s="105"/>
      <c r="F103" s="10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70"/>
      <c r="B104" s="171"/>
      <c r="C104" s="98"/>
      <c r="D104" s="105"/>
      <c r="E104" s="105"/>
      <c r="F104" s="10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70"/>
      <c r="B105" s="171"/>
      <c r="C105" s="98"/>
      <c r="D105" s="105"/>
      <c r="E105" s="105"/>
      <c r="F105" s="10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70"/>
      <c r="B106" s="171"/>
      <c r="C106" s="98"/>
      <c r="D106" s="105"/>
      <c r="E106" s="105"/>
      <c r="F106" s="10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70"/>
      <c r="B107" s="171"/>
      <c r="C107" s="98"/>
      <c r="D107" s="105"/>
      <c r="E107" s="105"/>
      <c r="F107" s="10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70"/>
      <c r="B108" s="171"/>
      <c r="C108" s="98"/>
      <c r="D108" s="105"/>
      <c r="E108" s="105"/>
      <c r="F108" s="10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70"/>
      <c r="B109" s="171"/>
      <c r="C109" s="98"/>
      <c r="D109" s="105"/>
      <c r="E109" s="105"/>
      <c r="F109" s="10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70"/>
      <c r="B110" s="171"/>
      <c r="C110" s="98"/>
      <c r="D110" s="105"/>
      <c r="E110" s="105"/>
      <c r="F110" s="10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70"/>
      <c r="B111" s="171"/>
      <c r="C111" s="98"/>
      <c r="D111" s="105"/>
      <c r="E111" s="105"/>
      <c r="F111" s="10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70"/>
      <c r="B112" s="171"/>
      <c r="C112" s="98"/>
      <c r="D112" s="105"/>
      <c r="E112" s="105"/>
      <c r="F112" s="10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70"/>
      <c r="B113" s="171"/>
      <c r="C113" s="98"/>
      <c r="D113" s="105"/>
      <c r="E113" s="105"/>
      <c r="F113" s="10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70"/>
      <c r="B114" s="171"/>
      <c r="C114" s="98"/>
      <c r="D114" s="105"/>
      <c r="E114" s="105"/>
      <c r="F114" s="10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70"/>
      <c r="B115" s="171"/>
      <c r="C115" s="98"/>
      <c r="D115" s="105"/>
      <c r="E115" s="105"/>
      <c r="F115" s="10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70"/>
      <c r="B116" s="171"/>
      <c r="C116" s="98"/>
      <c r="D116" s="105"/>
      <c r="E116" s="105"/>
      <c r="F116" s="10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70"/>
      <c r="B117" s="171"/>
      <c r="C117" s="98"/>
      <c r="D117" s="105"/>
      <c r="E117" s="105"/>
      <c r="F117" s="10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70"/>
      <c r="B118" s="171"/>
      <c r="C118" s="98"/>
      <c r="D118" s="105"/>
      <c r="E118" s="105"/>
      <c r="F118" s="10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70"/>
      <c r="B119" s="171"/>
      <c r="C119" s="98"/>
      <c r="D119" s="105"/>
      <c r="E119" s="105"/>
      <c r="F119" s="10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70"/>
      <c r="B120" s="171"/>
      <c r="C120" s="98"/>
      <c r="D120" s="105"/>
      <c r="E120" s="105"/>
      <c r="F120" s="10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70"/>
      <c r="B121" s="171"/>
      <c r="C121" s="98"/>
      <c r="D121" s="105"/>
      <c r="E121" s="105"/>
      <c r="F121" s="10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70"/>
      <c r="B122" s="171"/>
      <c r="C122" s="98"/>
      <c r="D122" s="105"/>
      <c r="E122" s="105"/>
      <c r="F122" s="10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70"/>
      <c r="B123" s="171"/>
      <c r="C123" s="98"/>
      <c r="D123" s="105"/>
      <c r="E123" s="105"/>
      <c r="F123" s="10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70"/>
      <c r="B124" s="171"/>
      <c r="C124" s="98"/>
      <c r="D124" s="105"/>
      <c r="E124" s="105"/>
      <c r="F124" s="10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70"/>
      <c r="B125" s="171"/>
      <c r="C125" s="98"/>
      <c r="D125" s="105"/>
      <c r="E125" s="105"/>
      <c r="F125" s="10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70"/>
      <c r="B126" s="171"/>
      <c r="C126" s="98"/>
      <c r="D126" s="105"/>
      <c r="E126" s="105"/>
      <c r="F126" s="10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70"/>
      <c r="B127" s="171"/>
      <c r="C127" s="98"/>
      <c r="D127" s="105"/>
      <c r="E127" s="105"/>
      <c r="F127" s="10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70"/>
      <c r="B128" s="171"/>
      <c r="C128" s="98"/>
      <c r="D128" s="105"/>
      <c r="E128" s="105"/>
      <c r="F128" s="10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70"/>
      <c r="B129" s="171"/>
      <c r="C129" s="98"/>
      <c r="D129" s="105"/>
      <c r="E129" s="105"/>
      <c r="F129" s="10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6">
    <mergeCell ref="A1:F1"/>
    <mergeCell ref="A2:F2"/>
    <mergeCell ref="A4:F4"/>
    <mergeCell ref="A38:E38"/>
    <mergeCell ref="A47:F47"/>
    <mergeCell ref="A48:F48"/>
  </mergeCells>
  <dataValidations>
    <dataValidation type="list" allowBlank="1" sqref="C50:C129">
      <formula1>"불안,공포,조급,탐욕,후회,분노,평온,감사,확신,무기력"</formula1>
    </dataValidation>
    <dataValidation type="list" allowBlank="1" sqref="B6:B35">
      <formula1>"대시보드,룰북,포지션,매매일지,뷰트래커,일별로그,기타"</formula1>
    </dataValidation>
    <dataValidation type="list" allowBlank="1" showErrorMessage="1" sqref="B50:B129">
      <formula1>"😱 극도의 공포,😨 공포,😐 평온,😃 탐욕,🤑 극도의 탐욕"</formula1>
    </dataValidation>
    <dataValidation type="list" allowBlank="1" sqref="B40:B46 B49">
      <formula1>"경험,조언,심리,원칙,시장"</formula1>
    </dataValidation>
    <dataValidation type="list" allowBlank="1" sqref="F6:F35">
      <formula1>"대기,반영중,완료,보류"</formula1>
    </dataValidation>
    <dataValidation type="list" allowBlank="1" sqref="E6:E35">
      <formula1>"상,중,하"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6.0"/>
    <col customWidth="1" min="3" max="4" width="25.0"/>
    <col customWidth="1" min="5" max="6" width="8.71"/>
  </cols>
  <sheetData>
    <row r="1">
      <c r="A1" s="19" t="s">
        <v>574</v>
      </c>
      <c r="B1" s="20"/>
      <c r="C1" s="20"/>
      <c r="D1" s="2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2" t="s">
        <v>580</v>
      </c>
      <c r="B3" s="20"/>
      <c r="C3" s="20"/>
      <c r="D3" s="2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0" customHeight="1">
      <c r="A4" s="152" t="s">
        <v>584</v>
      </c>
      <c r="B4" s="80" t="s">
        <v>587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0" customHeight="1">
      <c r="A5" s="152" t="s">
        <v>589</v>
      </c>
      <c r="B5" s="80" t="s">
        <v>590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0" customHeight="1">
      <c r="A6" s="152" t="s">
        <v>593</v>
      </c>
      <c r="B6" s="80" t="s">
        <v>594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2" t="s">
        <v>600</v>
      </c>
      <c r="B8" s="20"/>
      <c r="C8" s="20"/>
      <c r="D8" s="2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152" t="s">
        <v>601</v>
      </c>
      <c r="B9" s="80" t="s">
        <v>602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75" customHeight="1">
      <c r="A10" s="53"/>
      <c r="B10" s="7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75" customHeight="1">
      <c r="A11" s="153" t="s">
        <v>603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152" t="s">
        <v>604</v>
      </c>
      <c r="B12" s="80" t="s">
        <v>605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152" t="s">
        <v>606</v>
      </c>
      <c r="B13" s="80" t="s">
        <v>607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152" t="s">
        <v>608</v>
      </c>
      <c r="B14" s="80" t="s">
        <v>609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75" customHeight="1">
      <c r="A15" s="53"/>
      <c r="B15" s="7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75" customHeight="1">
      <c r="A16" s="153" t="s">
        <v>610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0" customHeight="1">
      <c r="A17" s="152" t="s">
        <v>611</v>
      </c>
      <c r="B17" s="80" t="s">
        <v>612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152" t="s">
        <v>613</v>
      </c>
      <c r="B18" s="80" t="s">
        <v>614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2" t="s">
        <v>615</v>
      </c>
      <c r="B20" s="20"/>
      <c r="C20" s="20"/>
      <c r="D20" s="2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152" t="s">
        <v>616</v>
      </c>
      <c r="B21" s="80" t="s">
        <v>617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152" t="s">
        <v>618</v>
      </c>
      <c r="B22" s="80" t="s">
        <v>619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152" t="s">
        <v>620</v>
      </c>
      <c r="B23" s="80" t="s">
        <v>621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152" t="s">
        <v>622</v>
      </c>
      <c r="B24" s="80" t="s">
        <v>623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2" t="s">
        <v>624</v>
      </c>
      <c r="B26" s="20"/>
      <c r="C26" s="20"/>
      <c r="D26" s="2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152" t="s">
        <v>625</v>
      </c>
      <c r="B27" s="80" t="s">
        <v>626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0" customHeight="1">
      <c r="A28" s="152" t="s">
        <v>625</v>
      </c>
      <c r="B28" s="80" t="s">
        <v>627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5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7.75" customHeight="1">
      <c r="A31" s="53"/>
      <c r="B31" s="7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7.75" customHeight="1">
      <c r="A32" s="53"/>
      <c r="B32" s="79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7.75" customHeight="1">
      <c r="A33" s="53"/>
      <c r="B33" s="79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2">
    <mergeCell ref="A1:D1"/>
    <mergeCell ref="A3:D3"/>
    <mergeCell ref="B4:D4"/>
    <mergeCell ref="B5:D5"/>
    <mergeCell ref="B6:D6"/>
    <mergeCell ref="A8:D8"/>
    <mergeCell ref="B9:D9"/>
    <mergeCell ref="A20:D20"/>
    <mergeCell ref="B21:D21"/>
    <mergeCell ref="B22:D22"/>
    <mergeCell ref="B23:D23"/>
    <mergeCell ref="B24:D24"/>
    <mergeCell ref="A26:D26"/>
    <mergeCell ref="B27:D27"/>
    <mergeCell ref="B28:D28"/>
    <mergeCell ref="A11:D11"/>
    <mergeCell ref="B12:D12"/>
    <mergeCell ref="B13:D13"/>
    <mergeCell ref="B14:D14"/>
    <mergeCell ref="A16:D16"/>
    <mergeCell ref="B17:D17"/>
    <mergeCell ref="B18:D18"/>
  </mergeCells>
  <printOptions/>
  <pageMargins bottom="1.0" footer="0.0" header="0.0" left="0.75" right="0.75" top="1.0"/>
  <pageSetup orientation="landscape"/>
  <drawing r:id="rId1"/>
</worksheet>
</file>