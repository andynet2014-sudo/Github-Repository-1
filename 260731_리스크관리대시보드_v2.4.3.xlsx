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대시보드" sheetId="1" state="visible" r:id="rId1"/>
    <sheet name="01_일별로그" sheetId="2" state="visible" r:id="rId2"/>
    <sheet name="02_룰북" sheetId="3" state="visible" r:id="rId3"/>
    <sheet name="03_포지션" sheetId="4" state="visible" r:id="rId4"/>
    <sheet name="04_매매일지" sheetId="5" state="visible" r:id="rId5"/>
    <sheet name="05_뷰트래커" sheetId="6" state="visible" r:id="rId6"/>
    <sheet name="06_월간결산" sheetId="7" state="visible" r:id="rId7"/>
    <sheet name="08_차트" sheetId="8" state="visible" r:id="rId8"/>
    <sheet name="09_CF_원금" sheetId="9" state="visible" r:id="rId9"/>
    <sheet name="10_생각노트" sheetId="10" state="visible" r:id="rId10"/>
    <sheet name="99_사용법" sheetId="11" state="visible" r:id="rId11"/>
  </sheets>
  <definedNames>
    <definedName name="_xlnm._FilterDatabase" localSheetId="3" hidden="1">'03_포지션'!$A$16:$S$25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0.0&quot;배&quot;"/>
    <numFmt numFmtId="165" formatCode="0%;[Red](0%);-"/>
    <numFmt numFmtId="166" formatCode="0.000"/>
    <numFmt numFmtId="167" formatCode="#,##0;[Red](#,##0);-"/>
    <numFmt numFmtId="168" formatCode="0.0%;[Red](0.0%);-"/>
    <numFmt numFmtId="169" formatCode="yyyy-mm-dd (aaa)"/>
    <numFmt numFmtId="170" formatCode="0.00&quot;배&quot;"/>
    <numFmt numFmtId="171" formatCode="0&quot;개&quot;"/>
    <numFmt numFmtId="172" formatCode="0&quot;x&quot;"/>
    <numFmt numFmtId="173" formatCode="0&quot;명&quot;"/>
    <numFmt numFmtId="174" formatCode="0&quot;건&quot;"/>
    <numFmt numFmtId="175" formatCode="0&quot;일&quot;"/>
    <numFmt numFmtId="176" formatCode="yyyy-mm"/>
    <numFmt numFmtId="177" formatCode="yyyy-mm-dd"/>
    <numFmt numFmtId="178" formatCode="0.0%"/>
  </numFmts>
  <fonts count="52">
    <font>
      <name val="Calibri"/>
      <color theme="1"/>
      <sz val="11"/>
      <scheme val="minor"/>
    </font>
    <font>
      <name val="Calibri"/>
      <b val="1"/>
      <color rgb="FFFFFFFF"/>
      <sz val="14"/>
    </font>
    <font/>
    <font>
      <name val="Calibri"/>
      <color theme="1"/>
      <sz val="11"/>
    </font>
    <font>
      <name val="Calibri"/>
      <color rgb="FF808080"/>
      <sz val="9"/>
    </font>
    <font>
      <name val="Calibri"/>
      <color theme="1"/>
    </font>
    <font>
      <name val="Calibri"/>
      <b val="1"/>
      <color rgb="FF1F3864"/>
      <sz val="11"/>
    </font>
    <font>
      <name val="Calibri"/>
      <b val="1"/>
      <color rgb="FFFFFFFF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rgb="FF0000FF"/>
      <sz val="10"/>
    </font>
    <font>
      <name val="Calibri"/>
      <b val="1"/>
      <color rgb="FF008000"/>
      <sz val="10"/>
    </font>
    <font>
      <name val="Calibri"/>
      <color rgb="FF000000"/>
      <sz val="8"/>
    </font>
    <font>
      <name val="Calibri"/>
      <color rgb="FF000000"/>
      <sz val="10"/>
    </font>
    <font>
      <name val="Calibri"/>
      <color rgb="FF0000FF"/>
      <sz val="9"/>
    </font>
    <font>
      <name val="Calibri"/>
      <color rgb="FF808080"/>
      <sz val="8"/>
    </font>
    <font>
      <name val="Calibri"/>
      <b val="1"/>
      <color rgb="FFFF0000"/>
      <sz val="10"/>
    </font>
    <font>
      <name val="Calibri"/>
      <b val="1"/>
      <color rgb="FFBF8F00"/>
      <sz val="10"/>
    </font>
    <font>
      <name val="Calibri"/>
      <b val="1"/>
      <color rgb="FF000000"/>
      <sz val="14"/>
    </font>
    <font>
      <name val="Calibri"/>
      <b val="1"/>
      <color rgb="FFFF0000"/>
      <sz val="14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color rgb="FF008000"/>
      <sz val="10"/>
    </font>
    <font>
      <name val="Calibri"/>
      <color rgb="FFFF0000"/>
      <sz val="8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color theme="1"/>
      <sz val="10"/>
    </font>
    <font>
      <name val="Calibri"/>
      <color rgb="FFFF0000"/>
      <sz val="9"/>
    </font>
    <font>
      <name val="Calibri"/>
      <color theme="1"/>
      <sz val="12"/>
    </font>
    <font>
      <name val="Calibri"/>
      <color rgb="FF000000"/>
      <sz val="12"/>
    </font>
    <font>
      <name val="Calibri"/>
      <color rgb="FFFF0000"/>
      <sz val="10"/>
    </font>
    <font>
      <name val="Calibri"/>
      <b val="1"/>
      <color rgb="FF0000FF"/>
      <sz val="10"/>
    </font>
    <font>
      <name val="Calibri"/>
      <b val="1"/>
      <color theme="1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color rgb="000000FF"/>
      <sz val="10"/>
    </font>
    <font>
      <name val="Calibri"/>
      <b val="1"/>
      <color rgb="00008000"/>
      <sz val="10"/>
    </font>
    <font>
      <name val="Calibri"/>
      <color rgb="00000000"/>
      <sz val="8"/>
    </font>
    <font>
      <name val="Calibri"/>
      <color rgb="00008000"/>
      <sz val="10"/>
    </font>
    <font>
      <name val="Calibri"/>
      <b val="1"/>
      <color rgb="00FFFFFF"/>
      <sz val="9"/>
    </font>
    <font>
      <name val="Calibri"/>
      <b val="1"/>
      <color rgb="00000000"/>
      <sz val="14"/>
    </font>
    <font>
      <name val="Calibri"/>
      <color rgb="00808080"/>
      <sz val="8"/>
    </font>
    <font>
      <name val="Calibri"/>
      <b val="1"/>
      <color rgb="00FF0000"/>
      <sz val="12"/>
    </font>
    <font>
      <name val="Calibri"/>
      <color rgb="00FF0000"/>
      <sz val="8"/>
    </font>
    <font>
      <name val="Calibri"/>
      <b val="1"/>
      <color rgb="00FFFFFF"/>
      <sz val="14"/>
    </font>
    <font>
      <name val="Calibri"/>
      <color rgb="00808080"/>
      <sz val="9"/>
    </font>
    <font>
      <name val="Calibri"/>
      <color rgb="000000FF"/>
      <sz val="9"/>
    </font>
    <font>
      <name val="Calibri"/>
      <color rgb="00000000"/>
      <sz val="10"/>
    </font>
    <font>
      <name val="Calibri"/>
      <sz val="10"/>
    </font>
    <font>
      <name val="Calibri"/>
      <b val="1"/>
      <color rgb="001F3864"/>
      <sz val="11"/>
    </font>
    <font>
      <name val="Calibri"/>
      <color rgb="00FF0000"/>
      <sz val="9"/>
    </font>
    <font>
      <name val="Calibri"/>
      <b val="1"/>
      <sz val="10"/>
    </font>
  </fonts>
  <fills count="21">
    <fill>
      <patternFill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BE5D6"/>
      </patternFill>
    </fill>
    <fill>
      <patternFill patternType="solid">
        <fgColor rgb="00203864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FFF7E6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/>
  </borders>
  <cellStyleXfs count="1">
    <xf numFmtId="0" fontId="0" fillId="0" borderId="13"/>
  </cellStyleXfs>
  <cellXfs count="29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64" fontId="5" fillId="0" borderId="0" pivotButton="0" quotePrefix="0" xfId="0"/>
    <xf numFmtId="165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7" fillId="4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 wrapText="1"/>
    </xf>
    <xf numFmtId="166" fontId="10" fillId="5" borderId="4" applyAlignment="1" pivotButton="0" quotePrefix="0" xfId="0">
      <alignment horizontal="center" vertical="center"/>
    </xf>
    <xf numFmtId="165" fontId="7" fillId="4" borderId="4" applyAlignment="1" pivotButton="0" quotePrefix="0" xfId="0">
      <alignment horizontal="center" vertical="center" wrapText="1"/>
    </xf>
    <xf numFmtId="164" fontId="7" fillId="4" borderId="4" applyAlignment="1" pivotButton="0" quotePrefix="0" xfId="0">
      <alignment horizontal="center" vertical="center" wrapText="1"/>
    </xf>
    <xf numFmtId="167" fontId="10" fillId="5" borderId="4" applyAlignment="1" pivotButton="0" quotePrefix="0" xfId="0">
      <alignment horizontal="center" vertical="center"/>
    </xf>
    <xf numFmtId="166" fontId="11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167" fontId="10" fillId="5" borderId="4" applyAlignment="1" pivotButton="0" quotePrefix="0" xfId="0">
      <alignment horizontal="center" vertical="center"/>
    </xf>
    <xf numFmtId="168" fontId="10" fillId="5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169" fontId="10" fillId="5" borderId="5" applyAlignment="1" pivotButton="0" quotePrefix="0" xfId="0">
      <alignment horizontal="center" vertical="center"/>
    </xf>
    <xf numFmtId="167" fontId="8" fillId="6" borderId="5" applyAlignment="1" pivotButton="0" quotePrefix="0" xfId="0">
      <alignment horizontal="center" vertical="center"/>
    </xf>
    <xf numFmtId="167" fontId="13" fillId="6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8" fontId="13" fillId="6" borderId="5" applyAlignment="1" pivotButton="0" quotePrefix="0" xfId="0">
      <alignment horizontal="center" vertical="center"/>
    </xf>
    <xf numFmtId="170" fontId="10" fillId="5" borderId="4" applyAlignment="1" pivotButton="0" quotePrefix="0" xfId="0">
      <alignment horizontal="center" vertical="center"/>
    </xf>
    <xf numFmtId="165" fontId="13" fillId="6" borderId="5" applyAlignment="1" pivotButton="0" quotePrefix="0" xfId="0">
      <alignment horizontal="center" vertical="center"/>
    </xf>
    <xf numFmtId="170" fontId="11" fillId="6" borderId="4" applyAlignment="1" pivotButton="0" quotePrefix="0" xfId="0">
      <alignment horizontal="center" vertical="center"/>
    </xf>
    <xf numFmtId="164" fontId="13" fillId="6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7" fontId="10" fillId="5" borderId="5" applyAlignment="1" pivotButton="0" quotePrefix="0" xfId="0">
      <alignment horizontal="center" vertical="center"/>
    </xf>
    <xf numFmtId="166" fontId="10" fillId="5" borderId="5" applyAlignment="1" pivotButton="0" quotePrefix="0" xfId="0">
      <alignment horizontal="center" vertical="center"/>
    </xf>
    <xf numFmtId="1" fontId="10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left" vertical="center" wrapText="1"/>
    </xf>
    <xf numFmtId="168" fontId="10" fillId="5" borderId="5" applyAlignment="1" pivotButton="0" quotePrefix="0" xfId="0">
      <alignment horizontal="center" vertical="center"/>
    </xf>
    <xf numFmtId="167" fontId="11" fillId="6" borderId="5" applyAlignment="1" pivotButton="0" quotePrefix="0" xfId="0">
      <alignment horizontal="center" vertical="center"/>
    </xf>
    <xf numFmtId="171" fontId="10" fillId="5" borderId="4" applyAlignment="1" pivotButton="0" quotePrefix="0" xfId="0">
      <alignment horizontal="center" vertical="center"/>
    </xf>
    <xf numFmtId="171" fontId="11" fillId="6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left" vertical="center" wrapText="1"/>
    </xf>
    <xf numFmtId="0" fontId="10" fillId="5" borderId="4" applyAlignment="1" pivotButton="0" quotePrefix="0" xfId="0">
      <alignment horizontal="center" vertical="center"/>
    </xf>
    <xf numFmtId="3" fontId="10" fillId="5" borderId="4" applyAlignment="1" pivotButton="0" quotePrefix="0" xfId="0">
      <alignment horizontal="center" vertical="center"/>
    </xf>
    <xf numFmtId="4" fontId="10" fillId="5" borderId="5" applyAlignment="1" pivotButton="0" quotePrefix="0" xfId="0">
      <alignment horizontal="center" vertical="center"/>
    </xf>
    <xf numFmtId="2" fontId="10" fillId="5" borderId="5" applyAlignment="1" pivotButton="0" quotePrefix="0" xfId="0">
      <alignment horizontal="center" vertical="center"/>
    </xf>
    <xf numFmtId="3" fontId="10" fillId="5" borderId="4" applyAlignment="1" pivotButton="0" quotePrefix="0" xfId="0">
      <alignment horizontal="center" vertical="center"/>
    </xf>
    <xf numFmtId="3" fontId="10" fillId="7" borderId="4" applyAlignment="1" pivotButton="0" quotePrefix="0" xfId="0">
      <alignment horizontal="center" vertical="center"/>
    </xf>
    <xf numFmtId="1" fontId="13" fillId="6" borderId="5" applyAlignment="1" pivotButton="0" quotePrefix="0" xfId="0">
      <alignment horizontal="center" vertical="center"/>
    </xf>
    <xf numFmtId="172" fontId="10" fillId="5" borderId="4" applyAlignment="1" pivotButton="0" quotePrefix="0" xfId="0">
      <alignment horizontal="center" vertical="center"/>
    </xf>
    <xf numFmtId="167" fontId="13" fillId="6" borderId="4" applyAlignment="1" pivotButton="0" quotePrefix="0" xfId="0">
      <alignment horizontal="center" vertical="center"/>
    </xf>
    <xf numFmtId="173" fontId="10" fillId="5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173" fontId="11" fillId="6" borderId="4" applyAlignment="1" pivotButton="0" quotePrefix="0" xfId="0">
      <alignment horizontal="center" vertical="center"/>
    </xf>
    <xf numFmtId="174" fontId="10" fillId="5" borderId="4" applyAlignment="1" pivotButton="0" quotePrefix="0" xfId="0">
      <alignment horizontal="center" vertical="center"/>
    </xf>
    <xf numFmtId="174" fontId="11" fillId="6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171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71" fontId="17" fillId="0" borderId="0" applyAlignment="1" pivotButton="0" quotePrefix="0" xfId="0">
      <alignment horizontal="center" vertical="center"/>
    </xf>
    <xf numFmtId="0" fontId="6" fillId="3" borderId="0" pivotButton="0" quotePrefix="0" xfId="0"/>
    <xf numFmtId="167" fontId="18" fillId="6" borderId="4" applyAlignment="1" pivotButton="0" quotePrefix="0" xfId="0">
      <alignment horizontal="center" vertical="center"/>
    </xf>
    <xf numFmtId="170" fontId="18" fillId="6" borderId="4" applyAlignment="1" pivotButton="0" quotePrefix="0" xfId="0">
      <alignment horizontal="center" vertical="center"/>
    </xf>
    <xf numFmtId="165" fontId="18" fillId="6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8" fontId="18" fillId="6" borderId="4" applyAlignment="1" pivotButton="0" quotePrefix="0" xfId="0">
      <alignment horizontal="center" vertical="center"/>
    </xf>
    <xf numFmtId="1" fontId="10" fillId="5" borderId="4" applyAlignment="1" pivotButton="0" quotePrefix="0" xfId="0">
      <alignment horizontal="center" vertical="center"/>
    </xf>
    <xf numFmtId="169" fontId="10" fillId="5" borderId="4" applyAlignment="1" pivotButton="0" quotePrefix="0" xfId="0">
      <alignment horizontal="center" vertical="center"/>
    </xf>
    <xf numFmtId="171" fontId="19" fillId="6" borderId="4" applyAlignment="1" pivotButton="0" quotePrefix="0" xfId="0">
      <alignment horizontal="center" vertical="center"/>
    </xf>
    <xf numFmtId="169" fontId="13" fillId="6" borderId="4" applyAlignment="1" pivotButton="0" quotePrefix="0" xfId="0">
      <alignment horizontal="center" vertical="center"/>
    </xf>
    <xf numFmtId="175" fontId="13" fillId="6" borderId="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20" fillId="8" borderId="4" applyAlignment="1" pivotButton="0" quotePrefix="0" xfId="0">
      <alignment horizontal="center" vertical="center"/>
    </xf>
    <xf numFmtId="169" fontId="20" fillId="8" borderId="4" applyAlignment="1" pivotButton="0" quotePrefix="0" xfId="0">
      <alignment horizontal="center" vertical="center"/>
    </xf>
    <xf numFmtId="174" fontId="21" fillId="8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left" vertical="center" wrapText="1"/>
    </xf>
    <xf numFmtId="0" fontId="14" fillId="5" borderId="5" applyAlignment="1" pivotButton="0" quotePrefix="0" xfId="0">
      <alignment horizontal="left" vertical="center" wrapText="1"/>
    </xf>
    <xf numFmtId="167" fontId="8" fillId="6" borderId="4" applyAlignment="1" pivotButton="0" quotePrefix="0" xfId="0">
      <alignment horizontal="center" vertical="center"/>
    </xf>
    <xf numFmtId="167" fontId="22" fillId="6" borderId="4" applyAlignment="1" pivotButton="0" quotePrefix="0" xfId="0">
      <alignment horizontal="center" vertical="center"/>
    </xf>
    <xf numFmtId="168" fontId="8" fillId="6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/>
    </xf>
    <xf numFmtId="0" fontId="3" fillId="0" borderId="4" pivotButton="0" quotePrefix="0" xfId="0"/>
    <xf numFmtId="0" fontId="9" fillId="0" borderId="0" applyAlignment="1" pivotButton="0" quotePrefix="0" xfId="0">
      <alignment horizontal="left" vertical="center" wrapText="1"/>
    </xf>
    <xf numFmtId="1" fontId="10" fillId="0" borderId="0" applyAlignment="1" pivotButton="0" quotePrefix="0" xfId="0">
      <alignment horizontal="center" vertical="center"/>
    </xf>
    <xf numFmtId="169" fontId="10" fillId="0" borderId="0" applyAlignment="1" pivotButton="0" quotePrefix="0" xfId="0">
      <alignment horizontal="center" vertical="center"/>
    </xf>
    <xf numFmtId="169" fontId="13" fillId="0" borderId="0" applyAlignment="1" pivotButton="0" quotePrefix="0" xfId="0">
      <alignment horizontal="center" vertical="center"/>
    </xf>
    <xf numFmtId="175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7" fontId="24" fillId="6" borderId="4" applyAlignment="1" pivotButton="0" quotePrefix="0" xfId="0">
      <alignment horizontal="center" vertical="center"/>
    </xf>
    <xf numFmtId="167" fontId="25" fillId="6" borderId="4" applyAlignment="1" pivotButton="0" quotePrefix="0" xfId="0">
      <alignment horizontal="center" vertical="center"/>
    </xf>
    <xf numFmtId="164" fontId="25" fillId="6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left" vertical="center" wrapText="1"/>
    </xf>
    <xf numFmtId="167" fontId="18" fillId="8" borderId="4" applyAlignment="1" pivotButton="0" quotePrefix="0" xfId="0">
      <alignment horizontal="center" vertical="center"/>
    </xf>
    <xf numFmtId="168" fontId="24" fillId="8" borderId="4" applyAlignment="1" pivotButton="0" quotePrefix="0" xfId="0">
      <alignment horizontal="center" vertical="center"/>
    </xf>
    <xf numFmtId="0" fontId="3" fillId="0" borderId="0" pivotButton="0" quotePrefix="0" xfId="0"/>
    <xf numFmtId="166" fontId="22" fillId="0" borderId="4" applyAlignment="1" pivotButton="0" quotePrefix="0" xfId="0">
      <alignment horizontal="center" vertical="center"/>
    </xf>
    <xf numFmtId="166" fontId="8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168" fontId="22" fillId="0" borderId="4" applyAlignment="1" pivotButton="0" quotePrefix="0" xfId="0">
      <alignment horizontal="center" vertical="center"/>
    </xf>
    <xf numFmtId="168" fontId="8" fillId="0" borderId="4" applyAlignment="1" pivotButton="0" quotePrefix="0" xfId="0">
      <alignment horizontal="center" vertical="center"/>
    </xf>
    <xf numFmtId="170" fontId="22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wrapText="1"/>
    </xf>
    <xf numFmtId="171" fontId="22" fillId="0" borderId="4" applyAlignment="1" pivotButton="0" quotePrefix="0" xfId="0">
      <alignment horizontal="center" vertical="center"/>
    </xf>
    <xf numFmtId="171" fontId="8" fillId="0" borderId="4" applyAlignment="1" pivotButton="0" quotePrefix="0" xfId="0">
      <alignment horizontal="center" vertical="center"/>
    </xf>
    <xf numFmtId="168" fontId="8" fillId="6" borderId="5" applyAlignment="1" pivotButton="0" quotePrefix="0" xfId="0">
      <alignment horizontal="center" vertical="center"/>
    </xf>
    <xf numFmtId="171" fontId="16" fillId="6" borderId="5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center" vertical="center"/>
    </xf>
    <xf numFmtId="173" fontId="22" fillId="0" borderId="4" applyAlignment="1" pivotButton="0" quotePrefix="0" xfId="0">
      <alignment horizontal="center" vertical="center"/>
    </xf>
    <xf numFmtId="173" fontId="8" fillId="0" borderId="4" applyAlignment="1" pivotButton="0" quotePrefix="0" xfId="0">
      <alignment horizontal="center" vertical="center"/>
    </xf>
    <xf numFmtId="174" fontId="22" fillId="0" borderId="4" applyAlignment="1" pivotButton="0" quotePrefix="0" xfId="0">
      <alignment horizontal="center" vertical="center"/>
    </xf>
    <xf numFmtId="174" fontId="8" fillId="0" borderId="4" applyAlignment="1" pivotButton="0" quotePrefix="0" xfId="0">
      <alignment horizontal="center" vertical="center"/>
    </xf>
    <xf numFmtId="174" fontId="22" fillId="0" borderId="0" applyAlignment="1" pivotButton="0" quotePrefix="0" xfId="0">
      <alignment horizontal="center" vertical="center"/>
    </xf>
    <xf numFmtId="174" fontId="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166" fontId="8" fillId="6" borderId="4" applyAlignment="1" pivotButton="0" quotePrefix="0" xfId="0">
      <alignment horizontal="center" vertical="center"/>
    </xf>
    <xf numFmtId="1" fontId="13" fillId="6" borderId="4" applyAlignment="1" pivotButton="0" quotePrefix="0" xfId="0">
      <alignment horizontal="center" vertical="center"/>
    </xf>
    <xf numFmtId="170" fontId="8" fillId="6" borderId="4" applyAlignment="1" pivotButton="0" quotePrefix="0" xfId="0">
      <alignment horizontal="center" vertical="center"/>
    </xf>
    <xf numFmtId="171" fontId="8" fillId="6" borderId="4" applyAlignment="1" pivotButton="0" quotePrefix="0" xfId="0">
      <alignment horizontal="center" vertical="center"/>
    </xf>
    <xf numFmtId="169" fontId="10" fillId="9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3" fontId="10" fillId="9" borderId="5" applyAlignment="1" pivotButton="0" quotePrefix="0" xfId="0">
      <alignment horizontal="center" vertical="center"/>
    </xf>
    <xf numFmtId="4" fontId="10" fillId="9" borderId="5" applyAlignment="1" pivotButton="0" quotePrefix="0" xfId="0">
      <alignment horizontal="center" vertical="center"/>
    </xf>
    <xf numFmtId="0" fontId="14" fillId="9" borderId="5" applyAlignment="1" pivotButton="0" quotePrefix="0" xfId="0">
      <alignment horizontal="left" vertical="center" wrapText="1"/>
    </xf>
    <xf numFmtId="167" fontId="10" fillId="9" borderId="5" applyAlignment="1" pivotButton="0" quotePrefix="0" xfId="0">
      <alignment horizontal="center" vertical="center"/>
    </xf>
    <xf numFmtId="3" fontId="10" fillId="5" borderId="5" applyAlignment="1" pivotButton="0" quotePrefix="0" xfId="0">
      <alignment horizontal="center" vertical="center"/>
    </xf>
    <xf numFmtId="169" fontId="13" fillId="8" borderId="4" applyAlignment="1" pivotButton="0" quotePrefix="0" xfId="0">
      <alignment horizontal="center" vertical="center"/>
    </xf>
    <xf numFmtId="175" fontId="13" fillId="8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0" fontId="13" fillId="8" borderId="4" applyAlignment="1" pivotButton="0" quotePrefix="0" xfId="0">
      <alignment horizontal="center" vertical="center"/>
    </xf>
    <xf numFmtId="174" fontId="13" fillId="6" borderId="4" applyAlignment="1" pivotButton="0" quotePrefix="0" xfId="0">
      <alignment horizontal="center" vertical="center"/>
    </xf>
    <xf numFmtId="1" fontId="8" fillId="0" borderId="4" applyAlignment="1" pivotButton="0" quotePrefix="0" xfId="0">
      <alignment horizontal="center" vertical="center"/>
    </xf>
    <xf numFmtId="166" fontId="13" fillId="6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27" fillId="0" borderId="4" applyAlignment="1" pivotButton="0" quotePrefix="0" xfId="0">
      <alignment horizontal="left" vertical="center" wrapText="1"/>
    </xf>
    <xf numFmtId="174" fontId="16" fillId="0" borderId="0" applyAlignment="1" pivotButton="0" quotePrefix="0" xfId="0">
      <alignment horizontal="center" vertical="center"/>
    </xf>
    <xf numFmtId="169" fontId="10" fillId="9" borderId="4" applyAlignment="1" pivotButton="0" quotePrefix="0" xfId="0">
      <alignment horizontal="center" vertical="center"/>
    </xf>
    <xf numFmtId="0" fontId="10" fillId="9" borderId="4" applyAlignment="1" pivotButton="0" quotePrefix="0" xfId="0">
      <alignment horizontal="center" vertical="center"/>
    </xf>
    <xf numFmtId="0" fontId="14" fillId="9" borderId="4" applyAlignment="1" pivotButton="0" quotePrefix="0" xfId="0">
      <alignment horizontal="left" vertical="center" wrapText="1"/>
    </xf>
    <xf numFmtId="1" fontId="10" fillId="9" borderId="4" applyAlignment="1" pivotButton="0" quotePrefix="0" xfId="0">
      <alignment horizontal="center" vertical="center"/>
    </xf>
    <xf numFmtId="169" fontId="6" fillId="3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169" fontId="7" fillId="4" borderId="4" applyAlignment="1" pivotButton="0" quotePrefix="0" xfId="0">
      <alignment horizontal="center" vertical="center" wrapText="1"/>
    </xf>
    <xf numFmtId="1" fontId="7" fillId="4" borderId="4" applyAlignment="1" pivotButton="0" quotePrefix="0" xfId="0">
      <alignment horizontal="center" vertical="center" wrapText="1"/>
    </xf>
    <xf numFmtId="173" fontId="8" fillId="6" borderId="4" applyAlignment="1" pivotButton="0" quotePrefix="0" xfId="0">
      <alignment horizontal="center" vertical="center"/>
    </xf>
    <xf numFmtId="2" fontId="8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169" fontId="8" fillId="5" borderId="4" applyAlignment="1" pivotButton="0" quotePrefix="0" xfId="0">
      <alignment horizontal="center" vertical="center"/>
    </xf>
    <xf numFmtId="2" fontId="13" fillId="6" borderId="4" applyAlignment="1" pivotButton="0" quotePrefix="0" xfId="0">
      <alignment horizontal="center" vertical="center"/>
    </xf>
    <xf numFmtId="176" fontId="8" fillId="0" borderId="4" applyAlignment="1" pivotButton="0" quotePrefix="0" xfId="0">
      <alignment horizontal="center" vertical="center"/>
    </xf>
    <xf numFmtId="170" fontId="13" fillId="6" borderId="4" applyAlignment="1" pivotButton="0" quotePrefix="0" xfId="0">
      <alignment horizontal="center" vertical="center"/>
    </xf>
    <xf numFmtId="167" fontId="30" fillId="6" borderId="4" applyAlignment="1" pivotButton="0" quotePrefix="0" xfId="0">
      <alignment horizontal="center" vertical="center"/>
    </xf>
    <xf numFmtId="175" fontId="30" fillId="6" borderId="4" applyAlignment="1" pivotButton="0" quotePrefix="0" xfId="0">
      <alignment horizontal="center" vertical="center"/>
    </xf>
    <xf numFmtId="169" fontId="10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177" fontId="10" fillId="5" borderId="4" applyAlignment="1" pivotButton="0" quotePrefix="0" xfId="0">
      <alignment horizontal="center" vertical="center"/>
    </xf>
    <xf numFmtId="177" fontId="10" fillId="10" borderId="4" applyAlignment="1" pivotButton="0" quotePrefix="0" xfId="0">
      <alignment horizontal="center" vertical="center"/>
    </xf>
    <xf numFmtId="0" fontId="31" fillId="10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left" vertical="center" wrapText="1"/>
    </xf>
    <xf numFmtId="0" fontId="9" fillId="10" borderId="4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left" vertical="center" wrapText="1"/>
    </xf>
    <xf numFmtId="1" fontId="8" fillId="0" borderId="4" applyAlignment="1" pivotButton="0" quotePrefix="0" xfId="0">
      <alignment horizontal="center" vertical="center"/>
    </xf>
    <xf numFmtId="178" fontId="10" fillId="5" borderId="4" applyAlignment="1" pivotButton="0" quotePrefix="0" xfId="0">
      <alignment horizontal="center" vertical="center"/>
    </xf>
    <xf numFmtId="177" fontId="10" fillId="5" borderId="5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5" applyAlignment="1" pivotButton="0" quotePrefix="0" xfId="0">
      <alignment horizontal="left" vertical="center"/>
    </xf>
    <xf numFmtId="0" fontId="6" fillId="3" borderId="5" applyAlignment="1" pivotButton="0" quotePrefix="0" xfId="0">
      <alignment horizontal="left" vertical="center"/>
    </xf>
    <xf numFmtId="0" fontId="39" fillId="13" borderId="11" applyAlignment="1" pivotButton="0" quotePrefix="0" xfId="0">
      <alignment horizontal="center" vertical="center"/>
    </xf>
    <xf numFmtId="167" fontId="40" fillId="14" borderId="11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39" fillId="15" borderId="11" applyAlignment="1" pivotButton="0" quotePrefix="0" xfId="0">
      <alignment horizontal="center" vertical="center"/>
    </xf>
    <xf numFmtId="167" fontId="42" fillId="16" borderId="11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4" fillId="0" borderId="11" applyAlignment="1" pivotButton="0" quotePrefix="0" xfId="0">
      <alignment horizontal="left" vertical="center" wrapText="1"/>
    </xf>
    <xf numFmtId="170" fontId="38" fillId="0" borderId="11" applyAlignment="1" pivotButton="0" quotePrefix="0" xfId="0">
      <alignment horizontal="center" vertical="center"/>
    </xf>
    <xf numFmtId="170" fontId="33" fillId="0" borderId="11" applyAlignment="1" pivotButton="0" quotePrefix="0" xfId="0">
      <alignment horizontal="center" vertical="center"/>
    </xf>
    <xf numFmtId="168" fontId="38" fillId="0" borderId="11" applyAlignment="1" pivotButton="0" quotePrefix="0" xfId="0">
      <alignment horizontal="center" vertical="center"/>
    </xf>
    <xf numFmtId="168" fontId="33" fillId="0" borderId="11" applyAlignment="1" pivotButton="0" quotePrefix="0" xfId="0">
      <alignment horizontal="center" vertical="center"/>
    </xf>
    <xf numFmtId="171" fontId="38" fillId="0" borderId="11" applyAlignment="1" pivotButton="0" quotePrefix="0" xfId="0">
      <alignment horizontal="center" vertical="center"/>
    </xf>
    <xf numFmtId="171" fontId="33" fillId="0" borderId="11" applyAlignment="1" pivotButton="0" quotePrefix="0" xfId="0">
      <alignment horizontal="center" vertical="center"/>
    </xf>
    <xf numFmtId="173" fontId="38" fillId="0" borderId="11" applyAlignment="1" pivotButton="0" quotePrefix="0" xfId="0">
      <alignment horizontal="center" vertical="center"/>
    </xf>
    <xf numFmtId="173" fontId="33" fillId="0" borderId="11" applyAlignment="1" pivotButton="0" quotePrefix="0" xfId="0">
      <alignment horizontal="center" vertical="center"/>
    </xf>
    <xf numFmtId="174" fontId="38" fillId="0" borderId="11" applyAlignment="1" pivotButton="0" quotePrefix="0" xfId="0">
      <alignment horizontal="center" vertical="center"/>
    </xf>
    <xf numFmtId="174" fontId="33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 wrapText="1"/>
    </xf>
    <xf numFmtId="168" fontId="22" fillId="0" borderId="12" applyAlignment="1" pivotButton="0" quotePrefix="0" xfId="0">
      <alignment horizontal="center" vertical="center"/>
    </xf>
    <xf numFmtId="168" fontId="8" fillId="0" borderId="12" applyAlignment="1" pivotButton="0" quotePrefix="0" xfId="0">
      <alignment horizontal="center" vertical="center"/>
    </xf>
    <xf numFmtId="170" fontId="22" fillId="0" borderId="12" applyAlignment="1" pivotButton="0" quotePrefix="0" xfId="0">
      <alignment horizontal="center" vertical="center"/>
    </xf>
    <xf numFmtId="170" fontId="8" fillId="0" borderId="12" applyAlignment="1" pivotButton="0" quotePrefix="0" xfId="0">
      <alignment horizontal="center" vertical="center"/>
    </xf>
    <xf numFmtId="173" fontId="22" fillId="0" borderId="12" applyAlignment="1" pivotButton="0" quotePrefix="0" xfId="0">
      <alignment horizontal="center" vertical="center"/>
    </xf>
    <xf numFmtId="173" fontId="8" fillId="0" borderId="12" applyAlignment="1" pivotButton="0" quotePrefix="0" xfId="0">
      <alignment horizontal="center" vertical="center"/>
    </xf>
    <xf numFmtId="174" fontId="22" fillId="0" borderId="12" applyAlignment="1" pivotButton="0" quotePrefix="0" xfId="0">
      <alignment horizontal="center" vertical="center"/>
    </xf>
    <xf numFmtId="174" fontId="8" fillId="0" borderId="12" applyAlignment="1" pivotButton="0" quotePrefix="0" xfId="0">
      <alignment horizontal="center" vertical="center"/>
    </xf>
    <xf numFmtId="170" fontId="35" fillId="11" borderId="11" applyAlignment="1" pivotButton="0" quotePrefix="0" xfId="0">
      <alignment horizontal="center" vertical="center"/>
    </xf>
    <xf numFmtId="170" fontId="36" fillId="12" borderId="11" applyAlignment="1" pivotButton="0" quotePrefix="0" xfId="0">
      <alignment horizontal="center" vertical="center"/>
    </xf>
    <xf numFmtId="0" fontId="37" fillId="0" borderId="11" applyAlignment="1" pivotButton="0" quotePrefix="0" xfId="0">
      <alignment horizontal="center" vertical="center"/>
    </xf>
    <xf numFmtId="168" fontId="35" fillId="11" borderId="11" applyAlignment="1" pivotButton="0" quotePrefix="0" xfId="0">
      <alignment horizontal="center" vertical="center"/>
    </xf>
    <xf numFmtId="168" fontId="36" fillId="12" borderId="11" applyAlignment="1" pivotButton="0" quotePrefix="0" xfId="0">
      <alignment horizontal="center" vertical="center"/>
    </xf>
    <xf numFmtId="171" fontId="35" fillId="11" borderId="11" applyAlignment="1" pivotButton="0" quotePrefix="0" xfId="0">
      <alignment horizontal="center" vertical="center"/>
    </xf>
    <xf numFmtId="171" fontId="36" fillId="12" borderId="11" applyAlignment="1" pivotButton="0" quotePrefix="0" xfId="0">
      <alignment horizontal="center" vertical="center"/>
    </xf>
    <xf numFmtId="173" fontId="35" fillId="11" borderId="11" applyAlignment="1" pivotButton="0" quotePrefix="0" xfId="0">
      <alignment horizontal="center" vertical="center"/>
    </xf>
    <xf numFmtId="173" fontId="36" fillId="12" borderId="11" applyAlignment="1" pivotButton="0" quotePrefix="0" xfId="0">
      <alignment horizontal="center" vertical="center"/>
    </xf>
    <xf numFmtId="174" fontId="35" fillId="11" borderId="11" applyAlignment="1" pivotButton="0" quotePrefix="0" xfId="0">
      <alignment horizontal="center" vertical="center"/>
    </xf>
    <xf numFmtId="174" fontId="36" fillId="12" borderId="11" applyAlignment="1" pivotButton="0" quotePrefix="0" xfId="0">
      <alignment horizontal="center" vertical="center"/>
    </xf>
    <xf numFmtId="168" fontId="10" fillId="0" borderId="12" applyAlignment="1" pivotButton="0" quotePrefix="0" xfId="0">
      <alignment horizontal="center" vertical="center"/>
    </xf>
    <xf numFmtId="168" fontId="11" fillId="0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70" fontId="10" fillId="0" borderId="12" applyAlignment="1" pivotButton="0" quotePrefix="0" xfId="0">
      <alignment horizontal="center" vertical="center"/>
    </xf>
    <xf numFmtId="170" fontId="11" fillId="0" borderId="12" applyAlignment="1" pivotButton="0" quotePrefix="0" xfId="0">
      <alignment horizontal="center" vertical="center"/>
    </xf>
    <xf numFmtId="173" fontId="10" fillId="0" borderId="12" applyAlignment="1" pivotButton="0" quotePrefix="0" xfId="0">
      <alignment horizontal="center" vertical="center"/>
    </xf>
    <xf numFmtId="173" fontId="11" fillId="0" borderId="12" applyAlignment="1" pivotButton="0" quotePrefix="0" xfId="0">
      <alignment horizontal="center" vertical="center"/>
    </xf>
    <xf numFmtId="174" fontId="10" fillId="0" borderId="12" applyAlignment="1" pivotButton="0" quotePrefix="0" xfId="0">
      <alignment horizontal="center" vertical="center"/>
    </xf>
    <xf numFmtId="174" fontId="11" fillId="0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left" vertical="center" wrapText="1"/>
    </xf>
    <xf numFmtId="169" fontId="6" fillId="3" borderId="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6" fillId="3" borderId="12" pivotButton="0" quotePrefix="0" xfId="0"/>
    <xf numFmtId="0" fontId="26" fillId="0" borderId="12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27" fillId="0" borderId="12" applyAlignment="1" pivotButton="0" quotePrefix="0" xfId="0">
      <alignment horizontal="left" vertical="center" wrapText="1"/>
    </xf>
    <xf numFmtId="0" fontId="1" fillId="2" borderId="12" applyAlignment="1" pivotButton="0" quotePrefix="0" xfId="0">
      <alignment horizontal="left" vertical="center"/>
    </xf>
    <xf numFmtId="0" fontId="6" fillId="3" borderId="12" applyAlignment="1" pivotButton="0" quotePrefix="0" xfId="0">
      <alignment horizontal="left" vertical="center"/>
    </xf>
    <xf numFmtId="0" fontId="6" fillId="3" borderId="12" applyAlignment="1" pivotButton="0" quotePrefix="0" xfId="0">
      <alignment horizontal="center" vertical="center"/>
    </xf>
    <xf numFmtId="0" fontId="44" fillId="17" borderId="12" applyAlignment="1" pivotButton="0" quotePrefix="0" xfId="0">
      <alignment horizontal="left" vertical="center"/>
    </xf>
    <xf numFmtId="0" fontId="45" fillId="0" borderId="12" applyAlignment="1" pivotButton="0" quotePrefix="0" xfId="0">
      <alignment horizontal="left" vertical="center" wrapText="1"/>
    </xf>
    <xf numFmtId="0" fontId="39" fillId="13" borderId="11" applyAlignment="1" pivotButton="0" quotePrefix="0" xfId="0">
      <alignment horizontal="center" vertical="center" wrapText="1"/>
    </xf>
    <xf numFmtId="169" fontId="35" fillId="11" borderId="11" applyAlignment="1" pivotButton="0" quotePrefix="0" xfId="0">
      <alignment horizontal="center" vertical="center"/>
    </xf>
    <xf numFmtId="167" fontId="33" fillId="12" borderId="11" applyAlignment="1" pivotButton="0" quotePrefix="0" xfId="0">
      <alignment horizontal="center" vertical="center"/>
    </xf>
    <xf numFmtId="167" fontId="47" fillId="12" borderId="11" applyAlignment="1" pivotButton="0" quotePrefix="0" xfId="0">
      <alignment horizontal="center" vertical="center"/>
    </xf>
    <xf numFmtId="168" fontId="47" fillId="12" borderId="11" applyAlignment="1" pivotButton="0" quotePrefix="0" xfId="0">
      <alignment horizontal="center" vertical="center"/>
    </xf>
    <xf numFmtId="170" fontId="47" fillId="12" borderId="11" applyAlignment="1" pivotButton="0" quotePrefix="0" xfId="0">
      <alignment horizontal="center" vertical="center"/>
    </xf>
    <xf numFmtId="1" fontId="35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46" fillId="11" borderId="11" applyAlignment="1" pivotButton="0" quotePrefix="0" xfId="0">
      <alignment horizontal="left" vertical="center" wrapText="1"/>
    </xf>
    <xf numFmtId="167" fontId="35" fillId="11" borderId="11" applyAlignment="1" pivotButton="0" quotePrefix="0" xfId="0">
      <alignment horizontal="center" vertical="center"/>
    </xf>
    <xf numFmtId="4" fontId="35" fillId="11" borderId="11" applyAlignment="1" pivotButton="0" quotePrefix="0" xfId="0">
      <alignment horizontal="center" vertical="center"/>
    </xf>
    <xf numFmtId="1" fontId="47" fillId="12" borderId="11" applyAlignment="1" pivotButton="0" quotePrefix="0" xfId="0">
      <alignment horizontal="center" vertical="center"/>
    </xf>
    <xf numFmtId="167" fontId="47" fillId="18" borderId="11" applyAlignment="1" pivotButton="0" quotePrefix="0" xfId="0">
      <alignment horizontal="center" vertical="center"/>
    </xf>
    <xf numFmtId="0" fontId="49" fillId="19" borderId="12" pivotButton="0" quotePrefix="0" xfId="0"/>
    <xf numFmtId="0" fontId="48" fillId="0" borderId="12" applyAlignment="1" pivotButton="0" quotePrefix="0" xfId="0">
      <alignment horizontal="left" vertical="center" wrapText="1"/>
    </xf>
    <xf numFmtId="177" fontId="49" fillId="19" borderId="4" applyAlignment="1" pivotButton="0" quotePrefix="0" xfId="0">
      <alignment horizontal="left" vertical="center"/>
    </xf>
    <xf numFmtId="177" fontId="45" fillId="5" borderId="4" applyAlignment="1" pivotButton="0" quotePrefix="0" xfId="0">
      <alignment horizontal="left" vertical="center" wrapText="1"/>
    </xf>
    <xf numFmtId="177" fontId="39" fillId="13" borderId="11" applyAlignment="1" pivotButton="0" quotePrefix="0" xfId="0">
      <alignment horizontal="center" vertical="center" wrapText="1"/>
    </xf>
    <xf numFmtId="169" fontId="34" fillId="20" borderId="11" applyAlignment="1" pivotButton="0" quotePrefix="0" xfId="0">
      <alignment horizontal="center" vertical="center"/>
    </xf>
    <xf numFmtId="1" fontId="34" fillId="20" borderId="11" applyAlignment="1" pivotButton="0" quotePrefix="0" xfId="0">
      <alignment horizontal="center" vertical="center"/>
    </xf>
    <xf numFmtId="0" fontId="34" fillId="20" borderId="11" applyAlignment="1" pivotButton="0" quotePrefix="0" xfId="0">
      <alignment horizontal="center" vertical="center"/>
    </xf>
    <xf numFmtId="0" fontId="34" fillId="20" borderId="11" applyAlignment="1" pivotButton="0" quotePrefix="0" xfId="0">
      <alignment horizontal="left" vertical="center" wrapText="1"/>
    </xf>
    <xf numFmtId="0" fontId="50" fillId="20" borderId="11" applyAlignment="1" pivotButton="0" quotePrefix="0" xfId="0">
      <alignment horizontal="left" vertical="center" wrapText="1"/>
    </xf>
    <xf numFmtId="169" fontId="46" fillId="11" borderId="11" applyAlignment="1" pivotButton="0" quotePrefix="0" xfId="0">
      <alignment horizontal="center" vertical="center"/>
    </xf>
    <xf numFmtId="1" fontId="46" fillId="11" borderId="11" applyAlignment="1" pivotButton="0" quotePrefix="0" xfId="0">
      <alignment horizontal="center" vertical="center"/>
    </xf>
    <xf numFmtId="0" fontId="46" fillId="11" borderId="11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3" fillId="0" borderId="13" pivotButton="0" quotePrefix="0" xfId="0"/>
    <xf numFmtId="167" fontId="48" fillId="12" borderId="11" applyAlignment="1" pivotButton="0" quotePrefix="0" xfId="0">
      <alignment horizontal="center" vertical="center"/>
    </xf>
    <xf numFmtId="167" fontId="51" fillId="14" borderId="11" applyAlignment="1" pivotButton="0" quotePrefix="0" xfId="0">
      <alignment horizontal="center" vertical="center"/>
    </xf>
    <xf numFmtId="1" fontId="13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49" fillId="19" borderId="13" pivotButton="0" quotePrefix="0" xfId="0"/>
    <xf numFmtId="0" fontId="26" fillId="0" borderId="13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50" fillId="0" borderId="13" applyAlignment="1" pivotButton="0" quotePrefix="0" xfId="0">
      <alignment horizontal="left" vertical="center" wrapText="1"/>
    </xf>
    <xf numFmtId="0" fontId="44" fillId="17" borderId="13" applyAlignment="1" pivotButton="0" quotePrefix="0" xfId="0">
      <alignment horizontal="left" vertical="center"/>
    </xf>
    <xf numFmtId="0" fontId="45" fillId="0" borderId="13" applyAlignment="1" pivotButton="0" quotePrefix="0" xfId="0">
      <alignment horizontal="left" vertical="center" wrapText="1"/>
    </xf>
    <xf numFmtId="0" fontId="48" fillId="0" borderId="13" applyAlignment="1" pivotButton="0" quotePrefix="0" xfId="0">
      <alignment horizontal="left" vertical="center" wrapText="1"/>
    </xf>
    <xf numFmtId="0" fontId="6" fillId="3" borderId="13" pivotButton="0" quotePrefix="0" xfId="0"/>
    <xf numFmtId="0" fontId="4" fillId="0" borderId="13" applyAlignment="1" pivotButton="0" quotePrefix="0" xfId="0">
      <alignment horizontal="left" vertical="center" wrapText="1"/>
    </xf>
    <xf numFmtId="0" fontId="27" fillId="0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left" vertical="center"/>
    </xf>
    <xf numFmtId="0" fontId="6" fillId="3" borderId="13" applyAlignment="1" pivotButton="0" quotePrefix="0" xfId="0">
      <alignment horizontal="left" vertical="center"/>
    </xf>
    <xf numFmtId="0" fontId="6" fillId="3" borderId="1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① 순자산 vs 신용잔고 — 내 돈과 빌린 돈이 언제 벌어졌는가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'01_일별로그'!$B$5:$B$276</f>
            </numRef>
          </val>
        </ser>
        <ser>
          <idx val="1"/>
          <order val="1"/>
          <tx>
            <strRef>
              <f>'01_일별로그'!T4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'01_일별로그'!$T$5:$T$276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② 언더워터 — 전고점 대비 하락률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'01_일별로그'!$E$5:$E$276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MDD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③ 계좌별 누적손익 — 어디서 벌고 어디서 잃는가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'01_일별로그'!$J$5:$J$276</f>
            </numRef>
          </val>
        </ser>
        <ser>
          <idx val="1"/>
          <order val="1"/>
          <tx>
            <strRef>
              <f>'01_일별로그'!K4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'01_일별로그'!$K$5:$K$276</f>
            </numRef>
          </val>
        </ser>
        <ser>
          <idx val="2"/>
          <order val="2"/>
          <tx>
            <strRef>
              <f>'01_일별로그'!L4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'01_일별로그'!$L$5:$L$276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① 순자산 vs 총평가 vs 신용잔고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'01_일별로그'!$B$5:$B$276</f>
            </numRef>
          </val>
        </ser>
        <ser>
          <idx val="1"/>
          <order val="1"/>
          <tx>
            <strRef>
              <f>'01_일별로그'!V4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'01_일별로그'!$V$5:$V$276</f>
            </numRef>
          </val>
        </ser>
        <ser>
          <idx val="2"/>
          <order val="2"/>
          <tx>
            <strRef>
              <f>'01_일별로그'!T4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'01_일별로그'!$T$5:$T$276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② 언더워터 (전고점 대비 MDD)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'01_일별로그'!$E$5:$E$276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MDD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③ 계좌별 누적손익 (국장 / 미장 / ISA)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'01_일별로그'!$J$5:$J$276</f>
            </numRef>
          </val>
        </ser>
        <ser>
          <idx val="1"/>
          <order val="1"/>
          <tx>
            <strRef>
              <f>'01_일별로그'!K4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'01_일별로그'!$K$5:$K$276</f>
            </numRef>
          </val>
        </ser>
        <ser>
          <idx val="2"/>
          <order val="2"/>
          <tx>
            <strRef>
              <f>'01_일별로그'!L4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'01_일별로그'!$L$5:$L$276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④ 누적손익 (전체)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'01_일별로그'!$D$5:$D$276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⑤ 일손익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'01_일별로그'!C4</f>
            </strRef>
          </tx>
          <spPr>
            <a:ln>
              <a:prstDash val="solid"/>
            </a:ln>
          </spPr>
          <cat>
            <numRef>
              <f>'01_일별로그'!$A$5:$A$276</f>
            </numRef>
          </cat>
          <val>
            <numRef>
              <f>'01_일별로그'!$C$5:$C$276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⑥ 현금비중 &amp; 차입비중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'01_일별로그'!$I$5:$I$276</f>
            </numRef>
          </val>
        </ser>
        <ser>
          <idx val="1"/>
          <order val="1"/>
          <tx>
            <strRef>
              <f>'01_일별로그'!H4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'01_일별로그'!$H$5:$H$276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비중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⑦ 총차입 ÷ 연봉 배수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'01_일별로그'!$G$5:$G$276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⑧ 청산까지 여력</a:t>
            </a:r>
          </a:p>
        </rich>
      </tx>
    </title>
    <plotArea>
      <lineChart>
        <grouping val="standard"/>
        <ser>
          <idx val="0"/>
          <order val="0"/>
          <tx>
            <strRef>
              <f>'01_일별로그'!F4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'01_일별로그'!$A$5:$A$276</f>
            </numRef>
          </cat>
          <val>
            <numRef>
              <f>'01_일별로그'!$F$5:$F$276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Relationship Type="http://schemas.openxmlformats.org/officeDocument/2006/relationships/chart" Target="/xl/charts/chart10.xml" Id="rId7" /><Relationship Type="http://schemas.openxmlformats.org/officeDocument/2006/relationships/chart" Target="/xl/charts/chart11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9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79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57</row>
      <rowOff>0</rowOff>
    </from>
    <ext cx="79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75</row>
      <rowOff>0</rowOff>
    </from>
    <ext cx="792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93</row>
      <rowOff>0</rowOff>
    </from>
    <ext cx="792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111</row>
      <rowOff>0</rowOff>
    </from>
    <ext cx="792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129</row>
      <rowOff>0</rowOff>
    </from>
    <ext cx="792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79" min="1" max="1"/>
    <col width="22" customWidth="1" style="179" min="2" max="2"/>
    <col width="20" customWidth="1" style="179" min="3" max="5"/>
    <col width="18" customWidth="1" style="179" min="6" max="6"/>
    <col width="16" customWidth="1" style="179" min="7" max="7"/>
    <col width="26" customWidth="1" style="179" min="8" max="8"/>
    <col width="11" customWidth="1" style="179" min="9" max="16"/>
  </cols>
  <sheetData>
    <row r="1">
      <c r="A1" s="180" t="inlineStr">
        <is>
          <t>① 오늘의 리스크 대시보드</t>
        </is>
      </c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278">
        <f>TEXT(TODAY(),"yyyy-mm-dd (aaa)")&amp;"   |   손익보다 리스크를 먼저 본다. 🔴가 하나라도 있으면 신규 매수 금지."</f>
        <v/>
      </c>
      <c r="B2" s="279" t="n"/>
      <c r="C2" s="279" t="n"/>
      <c r="D2" s="279" t="n"/>
      <c r="E2" s="279" t="n"/>
      <c r="F2" s="279" t="n"/>
      <c r="G2" s="279" t="n"/>
      <c r="H2" s="27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181" t="inlineStr">
        <is>
          <t>Ⅰ. 한눈에 보는 상태</t>
        </is>
      </c>
      <c r="I4" s="280" t="inlineStr">
        <is>
          <t>Ⅸ. 리스크 추이 (01_일별로그 자동)</t>
        </is>
      </c>
      <c r="J4" s="279" t="n"/>
      <c r="K4" s="279" t="n"/>
      <c r="L4" s="279" t="n"/>
      <c r="M4" s="279" t="n"/>
      <c r="N4" s="279" t="n"/>
      <c r="O4" s="279" t="n"/>
      <c r="P4" s="27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>
      <c r="A5" s="9" t="inlineStr">
        <is>
          <t>계좌 순자산 (Asset)</t>
        </is>
      </c>
      <c r="B5" s="182" t="inlineStr">
        <is>
          <t>★ 오늘 청산하면 남는 돈</t>
        </is>
      </c>
      <c r="C5" s="9" t="inlineStr">
        <is>
          <t>실질 주식 Exposure</t>
        </is>
      </c>
      <c r="D5" s="9" t="inlineStr">
        <is>
          <t>실질 레버리지</t>
        </is>
      </c>
      <c r="E5" s="9" t="inlineStr">
        <is>
          <t>담보비율</t>
        </is>
      </c>
      <c r="F5" s="9" t="inlineStr">
        <is>
          <t>청산까지 여력</t>
        </is>
      </c>
      <c r="G5" s="9" t="inlineStr">
        <is>
          <t>위반</t>
        </is>
      </c>
      <c r="H5" s="9" t="inlineStr">
        <is>
          <t>기한초과 체크</t>
        </is>
      </c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 ht="30" customHeight="1" s="179">
      <c r="A6" s="63">
        <f>'03_포지션'!$B$41</f>
        <v/>
      </c>
      <c r="B6" s="183">
        <f>'03_포지션'!$B$43-'09_CF_원금'!$F$135</f>
        <v/>
      </c>
      <c r="C6" s="63">
        <f>'03_포지션'!$B$37</f>
        <v/>
      </c>
      <c r="D6" s="64">
        <f>'03_포지션'!$B$54</f>
        <v/>
      </c>
      <c r="E6" s="65">
        <f>'03_포지션'!$B$51</f>
        <v/>
      </c>
      <c r="F6" s="67">
        <f>'03_포지션'!$B$52</f>
        <v/>
      </c>
      <c r="G6" s="70">
        <f>'02_룰북'!$G$22</f>
        <v/>
      </c>
      <c r="H6" s="70">
        <f>'02_룰북'!$H$47</f>
        <v/>
      </c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73" t="inlineStr">
        <is>
          <t>총평가 − 신용</t>
        </is>
      </c>
      <c r="B7" s="184" t="inlineStr">
        <is>
          <t>순수 자기자본 − 해외주식 예상세액</t>
        </is>
      </c>
      <c r="C7" s="73" t="inlineStr">
        <is>
          <t>레버ETF 배수 반영</t>
        </is>
      </c>
      <c r="D7" s="73" t="inlineStr">
        <is>
          <t>Expo ÷ 자기자본</t>
        </is>
      </c>
      <c r="E7" s="73" t="inlineStr">
        <is>
          <t>국장 기준</t>
        </is>
      </c>
      <c r="F7" s="73" t="inlineStr">
        <is>
          <t>몇 % 더 빠지면 청산</t>
        </is>
      </c>
      <c r="G7" s="73" t="inlineStr">
        <is>
          <t>룰북 🔴</t>
        </is>
      </c>
      <c r="H7" s="73" t="inlineStr">
        <is>
          <t>룰북 체크리스트</t>
        </is>
      </c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99" t="n"/>
      <c r="B8" s="99" t="n"/>
      <c r="C8" s="99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181" t="inlineStr">
        <is>
          <t>Ⅱ. 이번 주 투자 기조  (09_뷰트래커에서 갱신)</t>
        </is>
      </c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9" t="inlineStr">
        <is>
          <t>상태</t>
        </is>
      </c>
      <c r="B10" s="9" t="inlineStr">
        <is>
          <t>다음 점검일</t>
        </is>
      </c>
      <c r="C10" s="9" t="inlineStr">
        <is>
          <t>한 줄 기조</t>
        </is>
      </c>
      <c r="D10" s="9" t="inlineStr">
        <is>
          <t>레버리지 스탠스</t>
        </is>
      </c>
      <c r="E10" s="9" t="inlineStr">
        <is>
          <t>뷰트래커 제안</t>
        </is>
      </c>
      <c r="F10" s="9" t="inlineStr">
        <is>
          <t>무효화 조건 발동</t>
        </is>
      </c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 ht="25.5" customHeight="1" s="179">
      <c r="A11" s="75">
        <f>'05_뷰트래커'!$D$5</f>
        <v/>
      </c>
      <c r="B11" s="76">
        <f>'05_뷰트래커'!$B$5</f>
        <v/>
      </c>
      <c r="C11" s="75">
        <f>'05_뷰트래커'!$E$5</f>
        <v/>
      </c>
      <c r="D11" s="75">
        <f>'05_뷰트래커'!$F$5</f>
        <v/>
      </c>
      <c r="E11" s="75">
        <f>'05_뷰트래커'!$G$5</f>
        <v/>
      </c>
      <c r="F11" s="77">
        <f>'05_뷰트래커'!$G$12</f>
        <v/>
      </c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99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181" t="inlineStr">
        <is>
          <t>Ⅲ. 계좌별 현황</t>
        </is>
      </c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9" t="inlineStr">
        <is>
          <t>계좌</t>
        </is>
      </c>
      <c r="B14" s="9" t="inlineStr">
        <is>
          <t>평가금액(명목)</t>
        </is>
      </c>
      <c r="C14" s="9" t="inlineStr">
        <is>
          <t>신용</t>
        </is>
      </c>
      <c r="D14" s="9" t="inlineStr">
        <is>
          <t>순자산 (Asset)</t>
        </is>
      </c>
      <c r="E14" s="9" t="inlineStr">
        <is>
          <t>누적 원금</t>
        </is>
      </c>
      <c r="F14" s="9" t="inlineStr">
        <is>
          <t>누적 손익</t>
        </is>
      </c>
      <c r="G14" s="9" t="inlineStr">
        <is>
          <t>수익률</t>
        </is>
      </c>
      <c r="H14" s="9" t="inlineStr">
        <is>
          <t>비고</t>
        </is>
      </c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10" t="inlineStr">
        <is>
          <t>국장</t>
        </is>
      </c>
      <c r="B15" s="51">
        <f>SUMIFS('03_포지션'!$I$17:$I$31,'03_포지션'!$C$17:$C$31,"국장")+'03_포지션'!$B$6</f>
        <v/>
      </c>
      <c r="C15" s="51">
        <f>'03_포지션'!$C$6</f>
        <v/>
      </c>
      <c r="D15" s="81">
        <f>B15-C15</f>
        <v/>
      </c>
      <c r="E15" s="82">
        <f>'09_CF_원금'!$B$97</f>
        <v/>
      </c>
      <c r="F15" s="81">
        <f>D15-E15</f>
        <v/>
      </c>
      <c r="G15" s="83">
        <f>IF(E15&lt;=0,"산출불가",F15/E15)</f>
        <v/>
      </c>
      <c r="H15" s="84">
        <f>IF(E15&lt;=0,"⚠️ 계좌간 이체로 원금 0 이하 → %는 무의미","")</f>
        <v/>
      </c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10" t="inlineStr">
        <is>
          <t>미장</t>
        </is>
      </c>
      <c r="B16" s="51">
        <f>SUMIFS('03_포지션'!$I$17:$I$31,'03_포지션'!$C$17:$C$31,"미장")+'03_포지션'!$B$7</f>
        <v/>
      </c>
      <c r="C16" s="51">
        <f>'03_포지션'!$C$7</f>
        <v/>
      </c>
      <c r="D16" s="81">
        <f>B16-C16</f>
        <v/>
      </c>
      <c r="E16" s="82">
        <f>'09_CF_원금'!$B$98</f>
        <v/>
      </c>
      <c r="F16" s="81">
        <f>D16-E16</f>
        <v/>
      </c>
      <c r="G16" s="83">
        <f>IF(E16&lt;=0,"산출불가",F16/E16)</f>
        <v/>
      </c>
      <c r="H16" s="84">
        <f>IF(E16&lt;=0,"⚠️ 계좌간 이체로 원금 0 이하 → %는 무의미","")</f>
        <v/>
      </c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>
      <c r="A17" s="10" t="inlineStr">
        <is>
          <t>ISA</t>
        </is>
      </c>
      <c r="B17" s="51">
        <f>SUMIFS('03_포지션'!$I$17:$I$31,'03_포지션'!$C$17:$C$31,"ISA")+'03_포지션'!$B$8</f>
        <v/>
      </c>
      <c r="C17" s="51">
        <f>'03_포지션'!$C$8</f>
        <v/>
      </c>
      <c r="D17" s="81">
        <f>B17-C17</f>
        <v/>
      </c>
      <c r="E17" s="82">
        <f>'09_CF_원금'!$B$99</f>
        <v/>
      </c>
      <c r="F17" s="81">
        <f>D17-E17</f>
        <v/>
      </c>
      <c r="G17" s="83">
        <f>IF(E17&lt;=0,"산출불가",F17/E17)</f>
        <v/>
      </c>
      <c r="H17" s="84">
        <f>IF(E17&lt;=0,"⚠️ 계좌간 이체로 원금 0 이하 → %는 무의미","")</f>
        <v/>
      </c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10" t="inlineStr">
        <is>
          <t>합계</t>
        </is>
      </c>
      <c r="B18" s="81">
        <f>SUM(B15:B17)</f>
        <v/>
      </c>
      <c r="C18" s="81">
        <f>SUM(C15:C17)</f>
        <v/>
      </c>
      <c r="D18" s="81">
        <f>SUM(D15:D17)</f>
        <v/>
      </c>
      <c r="E18" s="81">
        <f>SUM(E15:E17)</f>
        <v/>
      </c>
      <c r="F18" s="81">
        <f>SUM(F15:F17)</f>
        <v/>
      </c>
      <c r="G18" s="83">
        <f>IFERROR(F18/E18,"")</f>
        <v/>
      </c>
      <c r="H18" s="85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99" t="n"/>
      <c r="B19" s="99" t="n"/>
      <c r="C19" s="99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181" t="inlineStr">
        <is>
          <t>Ⅳ. 차입 현황</t>
        </is>
      </c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9" t="inlineStr">
        <is>
          <t>증권사 신용</t>
        </is>
      </c>
      <c r="B21" s="9" t="inlineStr">
        <is>
          <t>내재 레버리지</t>
        </is>
      </c>
      <c r="C21" s="9" t="inlineStr">
        <is>
          <t>증권 차입</t>
        </is>
      </c>
      <c r="D21" s="9" t="inlineStr">
        <is>
          <t>★ 증권 차입 ÷ 연봉</t>
        </is>
      </c>
      <c r="E21" s="9" t="inlineStr">
        <is>
          <t>연봉(세전)</t>
        </is>
      </c>
      <c r="F21" s="9" t="inlineStr">
        <is>
          <t>회사대출</t>
        </is>
      </c>
      <c r="G21" s="9" t="inlineStr">
        <is>
          <t>총 차입</t>
        </is>
      </c>
      <c r="H21" s="9" t="inlineStr">
        <is>
          <t>★ 총 차입 ÷ 연봉</t>
        </is>
      </c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92">
        <f>'03_포지션'!$B$40</f>
        <v/>
      </c>
      <c r="B22" s="92">
        <f>'03_포지션'!$B$44</f>
        <v/>
      </c>
      <c r="C22" s="93">
        <f>'03_포지션'!$B$45</f>
        <v/>
      </c>
      <c r="D22" s="94">
        <f>'03_포지션'!$B$65</f>
        <v/>
      </c>
      <c r="E22" s="92">
        <f>'09_CF_원금'!$B$108</f>
        <v/>
      </c>
      <c r="F22" s="92">
        <f>'03_포지션'!$B$42</f>
        <v/>
      </c>
      <c r="G22" s="92">
        <f>C22+F22</f>
        <v/>
      </c>
      <c r="H22" s="94">
        <f>G22/E22</f>
        <v/>
      </c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99" t="n"/>
      <c r="B23" s="99" t="n"/>
      <c r="C23" s="99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181" t="inlineStr">
        <is>
          <t>Ⅴ. 비용 차감 후 실질 손익  —  신용이자는 이미 예수금에서 빠져나가 손익에 반영되어 있으므로 여기서 또 빼지 않습니다</t>
        </is>
      </c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9" t="inlineStr">
        <is>
          <t>표면 누적손익</t>
        </is>
      </c>
      <c r="B25" s="185" t="inlineStr">
        <is>
          <t>(참고) 누적 지급이자</t>
        </is>
      </c>
      <c r="C25" s="9" t="inlineStr">
        <is>
          <t>(−) 누적 강의·구독비</t>
        </is>
      </c>
      <c r="D25" s="9" t="inlineStr">
        <is>
          <t>(−) 해외주식 예상 세액</t>
        </is>
      </c>
      <c r="E25" s="9" t="inlineStr">
        <is>
          <t>실질 누적 순손익</t>
        </is>
      </c>
      <c r="F25" s="9" t="inlineStr">
        <is>
          <t>실질 수익률</t>
        </is>
      </c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25.5" customHeight="1" s="179">
      <c r="A26" s="92">
        <f>$F$18</f>
        <v/>
      </c>
      <c r="B26" s="186">
        <f>'09_CF_원금'!$E$127</f>
        <v/>
      </c>
      <c r="C26" s="93">
        <f>'09_CF_원금'!$B$179</f>
        <v/>
      </c>
      <c r="D26" s="93">
        <f>'09_CF_원금'!$F$135</f>
        <v/>
      </c>
      <c r="E26" s="97">
        <f>A26-C26-D26</f>
        <v/>
      </c>
      <c r="F26" s="98">
        <f>IFERROR(E26/'09_CF_원금'!$B$100,"")</f>
        <v/>
      </c>
      <c r="G26" s="99" t="n"/>
      <c r="H26" s="99" t="n"/>
      <c r="I26" s="99" t="n"/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184" t="inlineStr">
        <is>
          <t>표면 손익에 이미 반영 (차감 X)</t>
        </is>
      </c>
      <c r="B27" s="187" t="inlineStr">
        <is>
          <t>↑ 차감하지 않음. 규모만 인지</t>
        </is>
      </c>
      <c r="C27" s="184" t="inlineStr">
        <is>
          <t>실제 지출</t>
        </is>
      </c>
      <c r="D27" s="184" t="inlineStr">
        <is>
          <t>미실현 부채 — 차감함</t>
        </is>
      </c>
      <c r="E27" s="184" t="inlineStr">
        <is>
          <t>표면 − 강의비 − 세금</t>
        </is>
      </c>
      <c r="F27" s="99" t="n"/>
      <c r="G27" s="99" t="n"/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181" t="inlineStr">
        <is>
          <t>Ⅵ. 리스크 신호등  —  규칙 전문과 '위반 시 행동'은 02_룰북에 있습니다</t>
        </is>
      </c>
      <c r="F28" s="99" t="n"/>
      <c r="G28" s="99" t="n"/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9" t="inlineStr">
        <is>
          <t>ID</t>
        </is>
      </c>
      <c r="B29" s="9" t="inlineStr">
        <is>
          <t>측정지표</t>
        </is>
      </c>
      <c r="C29" s="9" t="inlineStr">
        <is>
          <t>내 기준</t>
        </is>
      </c>
      <c r="D29" s="9" t="inlineStr">
        <is>
          <t>현재값</t>
        </is>
      </c>
      <c r="E29" s="9" t="inlineStr">
        <is>
          <t>신호</t>
        </is>
      </c>
      <c r="F29" s="99" t="n"/>
      <c r="G29" s="99" t="n"/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188">
        <f>'02_룰북'!A6</f>
        <v/>
      </c>
      <c r="B30" s="189">
        <f>'02_룰북'!C6</f>
        <v/>
      </c>
      <c r="C30" s="190">
        <f>'02_룰북'!D6</f>
        <v/>
      </c>
      <c r="D30" s="191">
        <f>'02_룰북'!F6</f>
        <v/>
      </c>
      <c r="E30" s="188">
        <f>'02_룰북'!G6</f>
        <v/>
      </c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188">
        <f>'02_룰북'!A7</f>
        <v/>
      </c>
      <c r="B31" s="189">
        <f>'02_룰북'!C7</f>
        <v/>
      </c>
      <c r="C31" s="192">
        <f>'02_룰북'!D7</f>
        <v/>
      </c>
      <c r="D31" s="193">
        <f>'02_룰북'!F7</f>
        <v/>
      </c>
      <c r="E31" s="188">
        <f>'02_룰북'!G7</f>
        <v/>
      </c>
      <c r="F31" s="99" t="n"/>
      <c r="G31" s="99" t="n"/>
      <c r="H31" s="99" t="n"/>
      <c r="I31" s="99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188">
        <f>'02_룰북'!A8</f>
        <v/>
      </c>
      <c r="B32" s="189">
        <f>'02_룰북'!C8</f>
        <v/>
      </c>
      <c r="C32" s="192">
        <f>'02_룰북'!D8</f>
        <v/>
      </c>
      <c r="D32" s="193">
        <f>'02_룰북'!F8</f>
        <v/>
      </c>
      <c r="E32" s="188">
        <f>'02_룰북'!G8</f>
        <v/>
      </c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188">
        <f>'02_룰북'!A9</f>
        <v/>
      </c>
      <c r="B33" s="189">
        <f>'02_룰북'!C9</f>
        <v/>
      </c>
      <c r="C33" s="194">
        <f>'02_룰북'!D9</f>
        <v/>
      </c>
      <c r="D33" s="195">
        <f>'02_룰북'!F9</f>
        <v/>
      </c>
      <c r="E33" s="188">
        <f>'02_룰북'!G9</f>
        <v/>
      </c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188">
        <f>'02_룰북'!A10</f>
        <v/>
      </c>
      <c r="B34" s="189">
        <f>'02_룰북'!C10</f>
        <v/>
      </c>
      <c r="C34" s="192">
        <f>'02_룰북'!D10</f>
        <v/>
      </c>
      <c r="D34" s="193">
        <f>'02_룰북'!F10</f>
        <v/>
      </c>
      <c r="E34" s="188">
        <f>'02_룰북'!G10</f>
        <v/>
      </c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188">
        <f>'02_룰북'!A11</f>
        <v/>
      </c>
      <c r="B35" s="189">
        <f>'02_룰북'!C11</f>
        <v/>
      </c>
      <c r="C35" s="192">
        <f>'02_룰북'!D11</f>
        <v/>
      </c>
      <c r="D35" s="193">
        <f>'02_룰북'!F11</f>
        <v/>
      </c>
      <c r="E35" s="188">
        <f>'02_룰북'!G11</f>
        <v/>
      </c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188">
        <f>'02_룰북'!A12</f>
        <v/>
      </c>
      <c r="B36" s="189">
        <f>'02_룰북'!C12</f>
        <v/>
      </c>
      <c r="C36" s="192">
        <f>'02_룰북'!D12</f>
        <v/>
      </c>
      <c r="D36" s="193">
        <f>'02_룰북'!F12</f>
        <v/>
      </c>
      <c r="E36" s="188">
        <f>'02_룰북'!G12</f>
        <v/>
      </c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188">
        <f>'02_룰북'!A13</f>
        <v/>
      </c>
      <c r="B37" s="189">
        <f>'02_룰북'!C13</f>
        <v/>
      </c>
      <c r="C37" s="190">
        <f>'02_룰북'!D13</f>
        <v/>
      </c>
      <c r="D37" s="191">
        <f>'02_룰북'!F13</f>
        <v/>
      </c>
      <c r="E37" s="188">
        <f>'02_룰북'!G13</f>
        <v/>
      </c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188">
        <f>'02_룰북'!A14</f>
        <v/>
      </c>
      <c r="B38" s="189">
        <f>'02_룰북'!C14</f>
        <v/>
      </c>
      <c r="C38" s="196">
        <f>'02_룰북'!D14</f>
        <v/>
      </c>
      <c r="D38" s="197">
        <f>'02_룰북'!F14</f>
        <v/>
      </c>
      <c r="E38" s="188">
        <f>'02_룰북'!G14</f>
        <v/>
      </c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188">
        <f>'02_룰북'!A15</f>
        <v/>
      </c>
      <c r="B39" s="189">
        <f>'02_룰북'!C15</f>
        <v/>
      </c>
      <c r="C39" s="198">
        <f>'02_룰북'!D15</f>
        <v/>
      </c>
      <c r="D39" s="199">
        <f>'02_룰북'!F15</f>
        <v/>
      </c>
      <c r="E39" s="188">
        <f>'02_룰북'!G15</f>
        <v/>
      </c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200" t="n"/>
      <c r="B40" s="201" t="n"/>
      <c r="C40" s="202" t="n"/>
      <c r="D40" s="203" t="n"/>
      <c r="E40" s="200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200" t="n"/>
      <c r="B41" s="201" t="n"/>
      <c r="C41" s="204" t="n"/>
      <c r="D41" s="205" t="n"/>
      <c r="E41" s="200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200" t="n"/>
      <c r="B42" s="201" t="n"/>
      <c r="C42" s="206" t="n"/>
      <c r="D42" s="207" t="n"/>
      <c r="E42" s="200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200" t="n"/>
      <c r="B43" s="201" t="n"/>
      <c r="C43" s="208" t="n"/>
      <c r="D43" s="209" t="n"/>
      <c r="E43" s="200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200" t="n"/>
      <c r="B44" s="201" t="n"/>
      <c r="C44" s="202" t="n"/>
      <c r="D44" s="203" t="n"/>
      <c r="E44" s="200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200" t="n"/>
      <c r="B45" s="201" t="n"/>
      <c r="C45" s="208" t="n"/>
      <c r="D45" s="209" t="n"/>
      <c r="E45" s="200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9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9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181" t="inlineStr">
        <is>
          <t>Ⅶ. 매수 버튼을 누르기 전 1분  —  하나라도 '아니오'면 오늘은 사지 않는다</t>
        </is>
      </c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8" customHeight="1" s="179">
      <c r="A49" s="120" t="inlineStr">
        <is>
          <t>☐</t>
        </is>
      </c>
      <c r="B49" s="281" t="inlineStr">
        <is>
          <t>1. 어제 이전에 계획된 매수이고, 이번 주 기조(Ⅱ)와 맞는가?</t>
        </is>
      </c>
      <c r="C49" s="279" t="n"/>
      <c r="D49" s="279" t="n"/>
      <c r="E49" s="279" t="n"/>
      <c r="F49" s="279" t="n"/>
      <c r="G49" s="279" t="n"/>
      <c r="H49" s="27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8" customHeight="1" s="179">
      <c r="A50" s="120" t="inlineStr">
        <is>
          <t>☐</t>
        </is>
      </c>
      <c r="B50" s="281" t="inlineStr">
        <is>
          <t>2. 손절가와, 손절 시 잃을 금액을 지금 숫자로 말할 수 있는가?</t>
        </is>
      </c>
      <c r="C50" s="279" t="n"/>
      <c r="D50" s="279" t="n"/>
      <c r="E50" s="279" t="n"/>
      <c r="F50" s="279" t="n"/>
      <c r="G50" s="279" t="n"/>
      <c r="H50" s="27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8" customHeight="1" s="179">
      <c r="A51" s="120" t="inlineStr">
        <is>
          <t>☐</t>
        </is>
      </c>
      <c r="B51" s="281" t="inlineStr">
        <is>
          <t>3. 계획 물량의 50% 이하인가? 오늘 하루 총매수가 순자산의 15%를 넘지 않는가?  ← 5/29·6/9·7/6</t>
        </is>
      </c>
      <c r="C51" s="279" t="n"/>
      <c r="D51" s="279" t="n"/>
      <c r="E51" s="279" t="n"/>
      <c r="F51" s="279" t="n"/>
      <c r="G51" s="279" t="n"/>
      <c r="H51" s="27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8" customHeight="1" s="179">
      <c r="A52" s="120" t="inlineStr">
        <is>
          <t>☐</t>
        </is>
      </c>
      <c r="B52" s="281" t="inlineStr">
        <is>
          <t>4. 이 종목, 최근 3거래일 안에 매도한 적 없는가? (익절 후 재진입 쿨다운)  ← 6/25</t>
        </is>
      </c>
      <c r="C52" s="279" t="n"/>
      <c r="D52" s="279" t="n"/>
      <c r="E52" s="279" t="n"/>
      <c r="F52" s="279" t="n"/>
      <c r="G52" s="279" t="n"/>
      <c r="H52" s="27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8" customHeight="1" s="179">
      <c r="A53" s="120" t="inlineStr">
        <is>
          <t>☐</t>
        </is>
      </c>
      <c r="B53" s="281" t="inlineStr">
        <is>
          <t>5. 이 종목 물타기 3회째 아닌가? 직전 매수에서 5거래일 지났는가?  ← 7/6~10</t>
        </is>
      </c>
      <c r="C53" s="279" t="n"/>
      <c r="D53" s="279" t="n"/>
      <c r="E53" s="279" t="n"/>
      <c r="F53" s="279" t="n"/>
      <c r="G53" s="279" t="n"/>
      <c r="H53" s="27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8" customHeight="1" s="179">
      <c r="A54" s="120" t="inlineStr">
        <is>
          <t>☐</t>
        </is>
      </c>
      <c r="B54" s="281" t="inlineStr">
        <is>
          <t>6. 감정은 평온한가? 이 매수 후에도 신호등이 전부 🟢인가?</t>
        </is>
      </c>
      <c r="C54" s="279" t="n"/>
      <c r="D54" s="279" t="n"/>
      <c r="E54" s="279" t="n"/>
      <c r="F54" s="279" t="n"/>
      <c r="G54" s="279" t="n"/>
      <c r="H54" s="27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8" customHeight="1" s="179">
      <c r="A55" s="121" t="n"/>
      <c r="B55" s="282" t="n"/>
      <c r="C55" s="279" t="n"/>
      <c r="D55" s="279" t="n"/>
      <c r="E55" s="279" t="n"/>
      <c r="F55" s="279" t="n"/>
      <c r="G55" s="279" t="n"/>
      <c r="H55" s="27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8" customHeight="1" s="179">
      <c r="A56" s="121" t="n"/>
      <c r="B56" s="282" t="n"/>
      <c r="C56" s="279" t="n"/>
      <c r="D56" s="279" t="n"/>
      <c r="E56" s="279" t="n"/>
      <c r="F56" s="279" t="n"/>
      <c r="G56" s="279" t="n"/>
      <c r="H56" s="27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9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9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181" t="inlineStr">
        <is>
          <t>Ⅷ. 03_포지션을 갱신한 날 — 아래 값을 01_일별로그 오늘 행에 '값 붙여넣기'   |   평일에는 증권사 앱에서 P·W 두 칸만 직접 입력</t>
        </is>
      </c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246" t="inlineStr">
        <is>
          <t>국장 총평가
→ P열</t>
        </is>
      </c>
      <c r="B60" s="246" t="inlineStr">
        <is>
          <t>미장 평가
→ Q열</t>
        </is>
      </c>
      <c r="C60" s="246" t="inlineStr">
        <is>
          <t>ISA 평가
→ R열</t>
        </is>
      </c>
      <c r="D60" s="246" t="inlineStr">
        <is>
          <t>예수금 합
→ S열</t>
        </is>
      </c>
      <c r="E60" s="246" t="inlineStr">
        <is>
          <t>실질 주식Expo
→ U열</t>
        </is>
      </c>
      <c r="F60" s="246" t="inlineStr">
        <is>
          <t>국장 순자산
→ W열</t>
        </is>
      </c>
      <c r="G60" s="272" t="n"/>
      <c r="H60" s="273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274">
        <f>SUMIFS('03_포지션'!$I$17:$I$31,'03_포지션'!$C$17:$C$31,"국장")+'03_포지션'!$B$6</f>
        <v/>
      </c>
      <c r="B61" s="274">
        <f>SUMIFS('03_포지션'!$I$17:$I$31,'03_포지션'!$C$17:$C$31,"미장")+'03_포지션'!$B$7</f>
        <v/>
      </c>
      <c r="C61" s="274">
        <f>SUMIFS('03_포지션'!$I$17:$I$31,'03_포지션'!$C$17:$C$31,"ISA")+'03_포지션'!$B$8</f>
        <v/>
      </c>
      <c r="D61" s="274">
        <f>'03_포지션'!$B$9</f>
        <v/>
      </c>
      <c r="E61" s="275">
        <f>'03_포지션'!$B$37</f>
        <v/>
      </c>
      <c r="F61" s="275">
        <f>SUMIFS('03_포지션'!$I$17:$I$31,'03_포지션'!$C$17:$C$31,"국장")+'03_포지션'!$B$6-'03_포지션'!$C$6</f>
        <v/>
      </c>
      <c r="G61" s="276" t="n"/>
      <c r="H61" s="273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283" t="inlineStr">
        <is>
          <t>→ A~D 네 칸은 P~S열에 한 번에 붙여넣기. E(실질Expo)는 U열, F(국장 순자산)는 W열에 따로. T열(신용잔고)은 P−W로 자동 계산되니 절대 덮어쓰지 마세요. Q·R·S·U는 값을 안 넣으면 전일 값이 이어지므로 주 1회만 갱신해도 됩니다.</t>
        </is>
      </c>
      <c r="B62" s="279" t="n"/>
      <c r="C62" s="279" t="n"/>
      <c r="D62" s="279" t="n"/>
      <c r="E62" s="279" t="n"/>
      <c r="F62" s="279" t="n"/>
      <c r="G62" s="279" t="n"/>
      <c r="H62" s="27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9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9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20">
    <mergeCell ref="A9:H9"/>
    <mergeCell ref="A48:H48"/>
    <mergeCell ref="B49:H49"/>
    <mergeCell ref="A24:H24"/>
    <mergeCell ref="B55:H55"/>
    <mergeCell ref="A1:H1"/>
    <mergeCell ref="B51:H51"/>
    <mergeCell ref="B50:H50"/>
    <mergeCell ref="B54:H54"/>
    <mergeCell ref="A59:G59"/>
    <mergeCell ref="B56:H56"/>
    <mergeCell ref="B52:H52"/>
    <mergeCell ref="A2:H2"/>
    <mergeCell ref="A4:H4"/>
    <mergeCell ref="A62:H62"/>
    <mergeCell ref="I4:P4"/>
    <mergeCell ref="A20:H20"/>
    <mergeCell ref="B53:H53"/>
    <mergeCell ref="A28:E28"/>
    <mergeCell ref="A13:H1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style="179" min="1" max="1"/>
    <col width="16" customWidth="1" style="179" min="2" max="2"/>
    <col width="15" customWidth="1" style="179" min="3" max="3"/>
    <col width="16" customWidth="1" style="179" min="4" max="4"/>
    <col width="10" customWidth="1" style="179" min="5" max="5"/>
    <col width="11" customWidth="1" style="179" min="6" max="6"/>
    <col width="11" customWidth="1" style="179" min="7" max="7"/>
    <col width="11" customWidth="1" style="179" min="8" max="8"/>
    <col width="11" customWidth="1" style="179" min="9" max="9"/>
    <col width="15" customWidth="1" style="179" min="10" max="10"/>
    <col width="15" customWidth="1" style="179" min="11" max="11"/>
    <col width="15" customWidth="1" style="179" min="12" max="12"/>
    <col width="10" customWidth="1" style="179" min="13" max="13"/>
    <col width="16" customWidth="1" style="179" min="14" max="14"/>
    <col width="38" customWidth="1" style="179" min="15" max="15"/>
    <col width="16" customWidth="1" style="179" min="16" max="16"/>
    <col width="15" customWidth="1" style="179" min="17" max="17"/>
    <col width="15" customWidth="1" style="179" min="18" max="18"/>
    <col width="15" customWidth="1" style="179" min="19" max="19"/>
    <col width="15" customWidth="1" style="179" min="20" max="20"/>
    <col width="16" customWidth="1" style="179" min="21" max="21"/>
    <col hidden="1" width="15" customWidth="1" style="179" min="22" max="22"/>
    <col width="15" customWidth="1" style="179" min="23" max="23"/>
    <col hidden="1" width="15" customWidth="1" style="179" min="24" max="24"/>
    <col hidden="1" width="15" customWidth="1" style="179" min="25" max="25"/>
    <col hidden="1" width="15" customWidth="1" style="179" min="26" max="26"/>
    <col hidden="1" width="15" customWidth="1" style="179" min="27" max="27"/>
    <col hidden="1" width="15" customWidth="1" style="179" min="28" max="28"/>
    <col hidden="1" width="15" customWidth="1" style="179" min="29" max="29"/>
    <col hidden="1" width="15" customWidth="1" style="179" min="30" max="30"/>
    <col width="11" customWidth="1" style="179" min="31" max="31"/>
    <col hidden="1" width="15" customWidth="1" style="179" min="32" max="32"/>
    <col hidden="1" width="15" customWidth="1" style="179" min="33" max="33"/>
    <col hidden="1" width="15" customWidth="1" style="179" min="34" max="34"/>
    <col hidden="1" width="15" customWidth="1" style="179" min="35" max="35"/>
    <col hidden="1" width="15" customWidth="1" style="179" min="36" max="36"/>
    <col hidden="1" width="15" customWidth="1" style="179" min="37" max="37"/>
  </cols>
  <sheetData>
    <row r="1">
      <c r="A1" s="284" t="inlineStr">
        <is>
          <t>① 일별 로그  —  왼쪽이 볼 것, 가운데가 넣을 것, 오른쪽(숨김)이 계산용</t>
        </is>
      </c>
      <c r="B1" s="279" t="n"/>
      <c r="C1" s="279" t="n"/>
      <c r="D1" s="279" t="n"/>
      <c r="E1" s="279" t="n"/>
      <c r="F1" s="279" t="n"/>
      <c r="G1" s="279" t="n"/>
      <c r="H1" s="279" t="n"/>
      <c r="I1" s="279" t="n"/>
      <c r="J1" s="279" t="n"/>
      <c r="K1" s="279" t="n"/>
      <c r="L1" s="279" t="n"/>
      <c r="M1" s="279" t="n"/>
      <c r="N1" s="279" t="n"/>
      <c r="O1" s="279" t="n"/>
      <c r="P1" s="279" t="n"/>
      <c r="Q1" s="279" t="n"/>
      <c r="R1" s="279" t="n"/>
      <c r="S1" s="279" t="n"/>
      <c r="T1" s="279" t="n"/>
      <c r="U1" s="279" t="n"/>
    </row>
    <row r="2">
      <c r="A2" s="285" t="inlineStr">
        <is>
          <t>매일 넣는 건 P·W(국장 총평가·국장 순자산) 2칸 + 감정점수뿐입니다. 하늘색 열(Q~U)은 값을 안 넣으면 전일 값을 그대로 이어받습니다 — 주말에 03_포지션 갱신할 때만 바꿔주세요.</t>
        </is>
      </c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79" t="n"/>
      <c r="M2" s="279" t="n"/>
      <c r="N2" s="279" t="n"/>
      <c r="O2" s="279" t="n"/>
      <c r="P2" s="279" t="n"/>
      <c r="Q2" s="279" t="n"/>
      <c r="R2" s="279" t="n"/>
      <c r="S2" s="279" t="n"/>
      <c r="T2" s="279" t="n"/>
      <c r="U2" s="279" t="n"/>
    </row>
    <row r="4">
      <c r="A4" s="246" t="inlineStr">
        <is>
          <t>날짜</t>
        </is>
      </c>
      <c r="B4" s="246" t="inlineStr">
        <is>
          <t>순자산
(Equity)</t>
        </is>
      </c>
      <c r="C4" s="246" t="inlineStr">
        <is>
          <t>일손익</t>
        </is>
      </c>
      <c r="D4" s="246" t="inlineStr">
        <is>
          <t>누적손익</t>
        </is>
      </c>
      <c r="E4" s="246" t="inlineStr">
        <is>
          <t>MDD</t>
        </is>
      </c>
      <c r="F4" s="246" t="inlineStr">
        <is>
          <t>청산까지
여력(근사)</t>
        </is>
      </c>
      <c r="G4" s="246" t="inlineStr">
        <is>
          <t>★차입÷연봉</t>
        </is>
      </c>
      <c r="H4" s="246" t="inlineStr">
        <is>
          <t>차입비중</t>
        </is>
      </c>
      <c r="I4" s="246" t="inlineStr">
        <is>
          <t>현금비중</t>
        </is>
      </c>
      <c r="J4" s="246" t="inlineStr">
        <is>
          <t>국장 손익</t>
        </is>
      </c>
      <c r="K4" s="246" t="inlineStr">
        <is>
          <t>미장 손익</t>
        </is>
      </c>
      <c r="L4" s="246" t="inlineStr">
        <is>
          <t>ISA 손익</t>
        </is>
      </c>
      <c r="M4" s="246" t="inlineStr">
        <is>
          <t>감정점수
(1~5)</t>
        </is>
      </c>
      <c r="N4" s="246" t="inlineStr">
        <is>
          <t>위반
규칙ID</t>
        </is>
      </c>
      <c r="O4" s="246" t="inlineStr">
        <is>
          <t>메모</t>
        </is>
      </c>
      <c r="P4" s="246" t="inlineStr">
        <is>
          <t>국장 총평가
(명목)</t>
        </is>
      </c>
      <c r="Q4" s="246" t="inlineStr">
        <is>
          <t>미장 평가
(이월)</t>
        </is>
      </c>
      <c r="R4" s="246" t="inlineStr">
        <is>
          <t>ISA 평가
(이월)</t>
        </is>
      </c>
      <c r="S4" s="246" t="inlineStr">
        <is>
          <t>예수금 합계
(이월)</t>
        </is>
      </c>
      <c r="T4" s="246" t="inlineStr">
        <is>
          <t>신용잔고
(자동)</t>
        </is>
      </c>
      <c r="U4" s="246" t="inlineStr">
        <is>
          <t>실질 주식Expo
(이월)</t>
        </is>
      </c>
      <c r="V4" s="246" t="inlineStr">
        <is>
          <t>총평가(명목)</t>
        </is>
      </c>
      <c r="W4" s="246" t="inlineStr">
        <is>
          <t>국장 순자산</t>
        </is>
      </c>
      <c r="X4" s="246" t="inlineStr">
        <is>
          <t>국장 원금</t>
        </is>
      </c>
      <c r="Y4" s="246" t="inlineStr">
        <is>
          <t>미장 원금</t>
        </is>
      </c>
      <c r="Z4" s="246" t="inlineStr">
        <is>
          <t>ISA 원금</t>
        </is>
      </c>
      <c r="AA4" s="246" t="inlineStr">
        <is>
          <t>외부투입원금</t>
        </is>
      </c>
      <c r="AB4" s="246" t="inlineStr">
        <is>
          <t>내재레버리지</t>
        </is>
      </c>
      <c r="AC4" s="246" t="inlineStr">
        <is>
          <t>총차입</t>
        </is>
      </c>
      <c r="AD4" s="246" t="inlineStr">
        <is>
          <t>순자산 전고점</t>
        </is>
      </c>
      <c r="AE4" s="246" t="inlineStr">
        <is>
          <t>NQ100</t>
        </is>
      </c>
      <c r="AF4" s="246" t="inlineStr">
        <is>
          <t>누적손익(과거)</t>
        </is>
      </c>
      <c r="AG4" s="246" t="inlineStr">
        <is>
          <t>국장손익(과거)</t>
        </is>
      </c>
      <c r="AH4" s="246" t="inlineStr">
        <is>
          <t>미장손익(과거)</t>
        </is>
      </c>
      <c r="AI4" s="246" t="inlineStr">
        <is>
          <t>ISA손익(과거)</t>
        </is>
      </c>
      <c r="AJ4" s="246" t="inlineStr">
        <is>
          <t>월키</t>
        </is>
      </c>
      <c r="AK4" s="246" t="inlineStr">
        <is>
          <t>위반일</t>
        </is>
      </c>
    </row>
    <row r="5">
      <c r="A5" s="247" t="n">
        <v>45957</v>
      </c>
      <c r="B5" s="248">
        <f>IF(V5&lt;&gt;"",V5-T5,IF(AF5&lt;&gt;"",AA5+AF5,""))</f>
        <v/>
      </c>
      <c r="C5" s="249" t="n"/>
      <c r="D5" s="248">
        <f>IF(OR(B5="",AA5=""),"",B5-AA5)</f>
        <v/>
      </c>
      <c r="E5" s="250">
        <f>IF(OR(B5="",AD5=0),"",MIN(0,B5/AD5-1))</f>
        <v/>
      </c>
      <c r="F5" s="250">
        <f>IF(OR(U5="",T5=0,T5=""),"",(P5-T5*1.4)/U5)</f>
        <v/>
      </c>
      <c r="G5" s="251">
        <f>IF(OR(AC5="",'09_CF_원금'!$B$108=0),"",AC5/'09_CF_원금'!$B$108)</f>
        <v/>
      </c>
      <c r="H5" s="250">
        <f>IF(OR(U5="",U5=0,AC5=""),"",AC5/U5)</f>
        <v/>
      </c>
      <c r="I5" s="250">
        <f>IF(OR(S5="",U5=""),"",S5/(U5+S5))</f>
        <v/>
      </c>
      <c r="J5" s="248">
        <f>IF(W5&lt;&gt;"",W5-X5,IF(AG5&lt;&gt;"",AG5,""))</f>
        <v/>
      </c>
      <c r="K5" s="248">
        <f>IF(Q5&lt;&gt;"",Q5-Y5,IF(AH5&lt;&gt;"",AH5,""))</f>
        <v/>
      </c>
      <c r="L5" s="248">
        <f>IF(R5&lt;&gt;"",R5-Z5,IF(AI5&lt;&gt;"",AI5,""))</f>
        <v/>
      </c>
      <c r="M5" s="252" t="n"/>
      <c r="N5" s="253" t="n"/>
      <c r="O5" s="254" t="n"/>
      <c r="P5" s="255" t="n"/>
      <c r="Q5" s="255" t="n"/>
      <c r="R5" s="255" t="n"/>
      <c r="S5" s="255" t="n"/>
      <c r="T5" s="249">
        <f>IF(OR(P5="",W5=""),"",P5-W5)</f>
        <v/>
      </c>
      <c r="U5" s="255" t="n"/>
      <c r="V5" s="249">
        <f>IF(P5="","",P5+IF(Q5="",0,Q5)+IF(R5="",0,R5))</f>
        <v/>
      </c>
      <c r="W5" s="255" t="n"/>
      <c r="X5" s="249">
        <f>SUMIFS('09_CF_원금'!$E$6:$E$92,'09_CF_원금'!$D$6:$D$92,"국장",'09_CF_원금'!$A$6:$A$92,"&lt;="&amp;$A5)-SUMIFS('09_CF_원금'!$E$6:$E$92,'09_CF_원금'!$C$6:$C$92,"국장",'09_CF_원금'!$A$6:$A$92,"&lt;="&amp;$A5)</f>
        <v/>
      </c>
      <c r="Y5" s="249">
        <f>SUMIFS('09_CF_원금'!$E$6:$E$92,'09_CF_원금'!$D$6:$D$92,"미장",'09_CF_원금'!$A$6:$A$92,"&lt;="&amp;$A5)-SUMIFS('09_CF_원금'!$E$6:$E$92,'09_CF_원금'!$C$6:$C$92,"미장",'09_CF_원금'!$A$6:$A$92,"&lt;="&amp;$A5)</f>
        <v/>
      </c>
      <c r="Z5" s="249">
        <f>SUMIFS('09_CF_원금'!$E$6:$E$92,'09_CF_원금'!$D$6:$D$92,"ISA",'09_CF_원금'!$A$6:$A$92,"&lt;="&amp;$A5)-SUMIFS('09_CF_원금'!$E$6:$E$92,'09_CF_원금'!$C$6:$C$92,"ISA",'09_CF_원금'!$A$6:$A$92,"&lt;="&amp;$A5)</f>
        <v/>
      </c>
      <c r="AA5" s="249">
        <f>IF($A5="","",X5+Y5+Z5+SUMIFS('09_CF_원금'!$E$6:$E$92,'09_CF_원금'!$D$6:$D$92,"중국",'09_CF_원금'!$A$6:$A$92,"&lt;="&amp;$A5)-SUMIFS('09_CF_원금'!$E$6:$E$92,'09_CF_원금'!$C$6:$C$92,"중국",'09_CF_원금'!$A$6:$A$92,"&lt;="&amp;$A5)+SUMIFS('09_CF_원금'!$E$6:$E$92,'09_CF_원금'!$D$6:$D$92,"업비트",'09_CF_원금'!$A$6:$A$92,"&lt;="&amp;$A5)-SUMIFS('09_CF_원금'!$E$6:$E$92,'09_CF_원금'!$C$6:$C$92,"업비트",'09_CF_원금'!$A$6:$A$92,"&lt;="&amp;$A5))</f>
        <v/>
      </c>
      <c r="AB5" s="249">
        <f>IF(OR(U5="",V5=""),"",U5-(V5-IF(S5="",0,S5)))</f>
        <v/>
      </c>
      <c r="AC5" s="249">
        <f>IF(AB5="","",T5+AB5)</f>
        <v/>
      </c>
      <c r="AD5" s="249">
        <f>IF(B5="","",MAX($B$5:B5))</f>
        <v/>
      </c>
      <c r="AE5" s="256" t="n">
        <v>25936</v>
      </c>
      <c r="AF5" s="255" t="n"/>
      <c r="AG5" s="255" t="n">
        <v>48440000</v>
      </c>
      <c r="AH5" s="255" t="n">
        <v>32256167</v>
      </c>
      <c r="AI5" s="255" t="n"/>
      <c r="AJ5" s="257">
        <f>IF($A5="","",YEAR($A5)*100+MONTH($A5))</f>
        <v/>
      </c>
      <c r="AK5" s="257">
        <f>IF($A5="","",IF($N5="",0,1))</f>
        <v/>
      </c>
    </row>
    <row r="6">
      <c r="A6" s="247" t="n">
        <v>45961</v>
      </c>
      <c r="B6" s="248">
        <f>IF(V6&lt;&gt;"",V6-T6,IF(AF6&lt;&gt;"",AA6+AF6,""))</f>
        <v/>
      </c>
      <c r="C6" s="249">
        <f>IF(OR(B6="",B5=""),"",B6-B5)</f>
        <v/>
      </c>
      <c r="D6" s="248">
        <f>IF(OR(B6="",AA6=""),"",B6-AA6)</f>
        <v/>
      </c>
      <c r="E6" s="250">
        <f>IF(OR(B6="",AD6=0),"",MIN(0,B6/AD6-1))</f>
        <v/>
      </c>
      <c r="F6" s="250">
        <f>IF(OR(U6="",T6=0,T6=""),"",(P6-T6*1.4)/U6)</f>
        <v/>
      </c>
      <c r="G6" s="251">
        <f>IF(OR(AC6="",'09_CF_원금'!$B$108=0),"",AC6/'09_CF_원금'!$B$108)</f>
        <v/>
      </c>
      <c r="H6" s="250">
        <f>IF(OR(U6="",U6=0,AC6=""),"",AC6/U6)</f>
        <v/>
      </c>
      <c r="I6" s="250">
        <f>IF(OR(S6="",U6=""),"",S6/(U6+S6))</f>
        <v/>
      </c>
      <c r="J6" s="248">
        <f>IF(W6&lt;&gt;"",W6-X6,IF(AG6&lt;&gt;"",AG6,""))</f>
        <v/>
      </c>
      <c r="K6" s="248">
        <f>IF(Q6&lt;&gt;"",Q6-Y6,IF(AH6&lt;&gt;"",AH6,""))</f>
        <v/>
      </c>
      <c r="L6" s="248">
        <f>IF(R6&lt;&gt;"",R6-Z6,IF(AI6&lt;&gt;"",AI6,""))</f>
        <v/>
      </c>
      <c r="M6" s="252" t="n"/>
      <c r="N6" s="253" t="n"/>
      <c r="O6" s="254" t="n"/>
      <c r="P6" s="255" t="n"/>
      <c r="Q6" s="258">
        <f>IF($A6="","",IF(Q5="","",Q5))</f>
        <v/>
      </c>
      <c r="R6" s="258">
        <f>IF($A6="","",IF(R5="","",R5))</f>
        <v/>
      </c>
      <c r="S6" s="258">
        <f>IF($A6="","",IF(S5="","",S5))</f>
        <v/>
      </c>
      <c r="T6" s="249">
        <f>IF(OR(P6="",W6=""),"",P6-W6)</f>
        <v/>
      </c>
      <c r="U6" s="258">
        <f>IF($A6="","",IF(U5="","",U5))</f>
        <v/>
      </c>
      <c r="V6" s="249">
        <f>IF(P6="","",P6+IF(Q6="",0,Q6)+IF(R6="",0,R6))</f>
        <v/>
      </c>
      <c r="W6" s="255" t="n"/>
      <c r="X6" s="249">
        <f>SUMIFS('09_CF_원금'!$E$6:$E$92,'09_CF_원금'!$D$6:$D$92,"국장",'09_CF_원금'!$A$6:$A$92,"&lt;="&amp;$A6)-SUMIFS('09_CF_원금'!$E$6:$E$92,'09_CF_원금'!$C$6:$C$92,"국장",'09_CF_원금'!$A$6:$A$92,"&lt;="&amp;$A6)</f>
        <v/>
      </c>
      <c r="Y6" s="249">
        <f>SUMIFS('09_CF_원금'!$E$6:$E$92,'09_CF_원금'!$D$6:$D$92,"미장",'09_CF_원금'!$A$6:$A$92,"&lt;="&amp;$A6)-SUMIFS('09_CF_원금'!$E$6:$E$92,'09_CF_원금'!$C$6:$C$92,"미장",'09_CF_원금'!$A$6:$A$92,"&lt;="&amp;$A6)</f>
        <v/>
      </c>
      <c r="Z6" s="249">
        <f>SUMIFS('09_CF_원금'!$E$6:$E$92,'09_CF_원금'!$D$6:$D$92,"ISA",'09_CF_원금'!$A$6:$A$92,"&lt;="&amp;$A6)-SUMIFS('09_CF_원금'!$E$6:$E$92,'09_CF_원금'!$C$6:$C$92,"ISA",'09_CF_원금'!$A$6:$A$92,"&lt;="&amp;$A6)</f>
        <v/>
      </c>
      <c r="AA6" s="249">
        <f>IF($A6="","",X6+Y6+Z6+SUMIFS('09_CF_원금'!$E$6:$E$92,'09_CF_원금'!$D$6:$D$92,"중국",'09_CF_원금'!$A$6:$A$92,"&lt;="&amp;$A6)-SUMIFS('09_CF_원금'!$E$6:$E$92,'09_CF_원금'!$C$6:$C$92,"중국",'09_CF_원금'!$A$6:$A$92,"&lt;="&amp;$A6)+SUMIFS('09_CF_원금'!$E$6:$E$92,'09_CF_원금'!$D$6:$D$92,"업비트",'09_CF_원금'!$A$6:$A$92,"&lt;="&amp;$A6)-SUMIFS('09_CF_원금'!$E$6:$E$92,'09_CF_원금'!$C$6:$C$92,"업비트",'09_CF_원금'!$A$6:$A$92,"&lt;="&amp;$A6))</f>
        <v/>
      </c>
      <c r="AB6" s="249">
        <f>IF(OR(U6="",V6=""),"",U6-(V6-IF(S6="",0,S6)))</f>
        <v/>
      </c>
      <c r="AC6" s="249">
        <f>IF(AB6="","",T6+AB6)</f>
        <v/>
      </c>
      <c r="AD6" s="249">
        <f>IF(B6="","",MAX($B$5:B6))</f>
        <v/>
      </c>
      <c r="AE6" s="256" t="n">
        <v>26004</v>
      </c>
      <c r="AF6" s="255" t="n"/>
      <c r="AG6" s="255" t="n">
        <v>57742218</v>
      </c>
      <c r="AH6" s="255" t="n">
        <v>33266033</v>
      </c>
      <c r="AI6" s="255" t="n"/>
      <c r="AJ6" s="257">
        <f>IF($A6="","",YEAR($A6)*100+MONTH($A6))</f>
        <v/>
      </c>
      <c r="AK6" s="257">
        <f>IF($A6="","",IF($N6="",0,1))</f>
        <v/>
      </c>
    </row>
    <row r="7">
      <c r="A7" s="247" t="n">
        <v>45968</v>
      </c>
      <c r="B7" s="248">
        <f>IF(V7&lt;&gt;"",V7-T7,IF(AF7&lt;&gt;"",AA7+AF7,""))</f>
        <v/>
      </c>
      <c r="C7" s="249">
        <f>IF(OR(B7="",B6=""),"",B7-B6)</f>
        <v/>
      </c>
      <c r="D7" s="248">
        <f>IF(OR(B7="",AA7=""),"",B7-AA7)</f>
        <v/>
      </c>
      <c r="E7" s="250">
        <f>IF(OR(B7="",AD7=0),"",MIN(0,B7/AD7-1))</f>
        <v/>
      </c>
      <c r="F7" s="250">
        <f>IF(OR(U7="",T7=0,T7=""),"",(P7-T7*1.4)/U7)</f>
        <v/>
      </c>
      <c r="G7" s="251">
        <f>IF(OR(AC7="",'09_CF_원금'!$B$108=0),"",AC7/'09_CF_원금'!$B$108)</f>
        <v/>
      </c>
      <c r="H7" s="250">
        <f>IF(OR(U7="",U7=0,AC7=""),"",AC7/U7)</f>
        <v/>
      </c>
      <c r="I7" s="250">
        <f>IF(OR(S7="",U7=""),"",S7/(U7+S7))</f>
        <v/>
      </c>
      <c r="J7" s="248">
        <f>IF(W7&lt;&gt;"",W7-X7,IF(AG7&lt;&gt;"",AG7,""))</f>
        <v/>
      </c>
      <c r="K7" s="248">
        <f>IF(Q7&lt;&gt;"",Q7-Y7,IF(AH7&lt;&gt;"",AH7,""))</f>
        <v/>
      </c>
      <c r="L7" s="248">
        <f>IF(R7&lt;&gt;"",R7-Z7,IF(AI7&lt;&gt;"",AI7,""))</f>
        <v/>
      </c>
      <c r="M7" s="252" t="n"/>
      <c r="N7" s="253" t="n"/>
      <c r="O7" s="254" t="n"/>
      <c r="P7" s="255" t="n"/>
      <c r="Q7" s="258">
        <f>IF($A7="","",IF(Q6="","",Q6))</f>
        <v/>
      </c>
      <c r="R7" s="258">
        <f>IF($A7="","",IF(R6="","",R6))</f>
        <v/>
      </c>
      <c r="S7" s="258">
        <f>IF($A7="","",IF(S6="","",S6))</f>
        <v/>
      </c>
      <c r="T7" s="249">
        <f>IF(OR(P7="",W7=""),"",P7-W7)</f>
        <v/>
      </c>
      <c r="U7" s="258">
        <f>IF($A7="","",IF(U6="","",U6))</f>
        <v/>
      </c>
      <c r="V7" s="249">
        <f>IF(P7="","",P7+IF(Q7="",0,Q7)+IF(R7="",0,R7))</f>
        <v/>
      </c>
      <c r="W7" s="255" t="n"/>
      <c r="X7" s="249">
        <f>SUMIFS('09_CF_원금'!$E$6:$E$92,'09_CF_원금'!$D$6:$D$92,"국장",'09_CF_원금'!$A$6:$A$92,"&lt;="&amp;$A7)-SUMIFS('09_CF_원금'!$E$6:$E$92,'09_CF_원금'!$C$6:$C$92,"국장",'09_CF_원금'!$A$6:$A$92,"&lt;="&amp;$A7)</f>
        <v/>
      </c>
      <c r="Y7" s="249">
        <f>SUMIFS('09_CF_원금'!$E$6:$E$92,'09_CF_원금'!$D$6:$D$92,"미장",'09_CF_원금'!$A$6:$A$92,"&lt;="&amp;$A7)-SUMIFS('09_CF_원금'!$E$6:$E$92,'09_CF_원금'!$C$6:$C$92,"미장",'09_CF_원금'!$A$6:$A$92,"&lt;="&amp;$A7)</f>
        <v/>
      </c>
      <c r="Z7" s="249">
        <f>SUMIFS('09_CF_원금'!$E$6:$E$92,'09_CF_원금'!$D$6:$D$92,"ISA",'09_CF_원금'!$A$6:$A$92,"&lt;="&amp;$A7)-SUMIFS('09_CF_원금'!$E$6:$E$92,'09_CF_원금'!$C$6:$C$92,"ISA",'09_CF_원금'!$A$6:$A$92,"&lt;="&amp;$A7)</f>
        <v/>
      </c>
      <c r="AA7" s="249">
        <f>IF($A7="","",X7+Y7+Z7+SUMIFS('09_CF_원금'!$E$6:$E$92,'09_CF_원금'!$D$6:$D$92,"중국",'09_CF_원금'!$A$6:$A$92,"&lt;="&amp;$A7)-SUMIFS('09_CF_원금'!$E$6:$E$92,'09_CF_원금'!$C$6:$C$92,"중국",'09_CF_원금'!$A$6:$A$92,"&lt;="&amp;$A7)+SUMIFS('09_CF_원금'!$E$6:$E$92,'09_CF_원금'!$D$6:$D$92,"업비트",'09_CF_원금'!$A$6:$A$92,"&lt;="&amp;$A7)-SUMIFS('09_CF_원금'!$E$6:$E$92,'09_CF_원금'!$C$6:$C$92,"업비트",'09_CF_원금'!$A$6:$A$92,"&lt;="&amp;$A7))</f>
        <v/>
      </c>
      <c r="AB7" s="249">
        <f>IF(OR(U7="",V7=""),"",U7-(V7-IF(S7="",0,S7)))</f>
        <v/>
      </c>
      <c r="AC7" s="249">
        <f>IF(AB7="","",T7+AB7)</f>
        <v/>
      </c>
      <c r="AD7" s="249">
        <f>IF(B7="","",MAX($B$5:B7))</f>
        <v/>
      </c>
      <c r="AE7" s="256" t="n">
        <v>25166.25</v>
      </c>
      <c r="AF7" s="255" t="n"/>
      <c r="AG7" s="255" t="n">
        <v>61665070</v>
      </c>
      <c r="AH7" s="255" t="n">
        <v>22042149</v>
      </c>
      <c r="AI7" s="255" t="n"/>
      <c r="AJ7" s="257">
        <f>IF($A7="","",YEAR($A7)*100+MONTH($A7))</f>
        <v/>
      </c>
      <c r="AK7" s="257">
        <f>IF($A7="","",IF($N7="",0,1))</f>
        <v/>
      </c>
    </row>
    <row r="8">
      <c r="A8" s="247" t="n">
        <v>45975</v>
      </c>
      <c r="B8" s="248">
        <f>IF(V8&lt;&gt;"",V8-T8,IF(AF8&lt;&gt;"",AA8+AF8,""))</f>
        <v/>
      </c>
      <c r="C8" s="249">
        <f>IF(OR(B8="",B7=""),"",B8-B7)</f>
        <v/>
      </c>
      <c r="D8" s="248">
        <f>IF(OR(B8="",AA8=""),"",B8-AA8)</f>
        <v/>
      </c>
      <c r="E8" s="250">
        <f>IF(OR(B8="",AD8=0),"",MIN(0,B8/AD8-1))</f>
        <v/>
      </c>
      <c r="F8" s="250">
        <f>IF(OR(U8="",T8=0,T8=""),"",(P8-T8*1.4)/U8)</f>
        <v/>
      </c>
      <c r="G8" s="251">
        <f>IF(OR(AC8="",'09_CF_원금'!$B$108=0),"",AC8/'09_CF_원금'!$B$108)</f>
        <v/>
      </c>
      <c r="H8" s="250">
        <f>IF(OR(U8="",U8=0,AC8=""),"",AC8/U8)</f>
        <v/>
      </c>
      <c r="I8" s="250">
        <f>IF(OR(S8="",U8=""),"",S8/(U8+S8))</f>
        <v/>
      </c>
      <c r="J8" s="248">
        <f>IF(W8&lt;&gt;"",W8-X8,IF(AG8&lt;&gt;"",AG8,""))</f>
        <v/>
      </c>
      <c r="K8" s="248">
        <f>IF(Q8&lt;&gt;"",Q8-Y8,IF(AH8&lt;&gt;"",AH8,""))</f>
        <v/>
      </c>
      <c r="L8" s="248">
        <f>IF(R8&lt;&gt;"",R8-Z8,IF(AI8&lt;&gt;"",AI8,""))</f>
        <v/>
      </c>
      <c r="M8" s="252" t="n"/>
      <c r="N8" s="253" t="n"/>
      <c r="O8" s="254" t="inlineStr">
        <is>
          <t>국장 조정세, 미국 AI 반등 기대</t>
        </is>
      </c>
      <c r="P8" s="255" t="n"/>
      <c r="Q8" s="258">
        <f>IF($A8="","",IF(Q7="","",Q7))</f>
        <v/>
      </c>
      <c r="R8" s="258">
        <f>IF($A8="","",IF(R7="","",R7))</f>
        <v/>
      </c>
      <c r="S8" s="258">
        <f>IF($A8="","",IF(S7="","",S7))</f>
        <v/>
      </c>
      <c r="T8" s="249">
        <f>IF(OR(P8="",W8=""),"",P8-W8)</f>
        <v/>
      </c>
      <c r="U8" s="258">
        <f>IF($A8="","",IF(U7="","",U7))</f>
        <v/>
      </c>
      <c r="V8" s="249">
        <f>IF(P8="","",P8+IF(Q8="",0,Q8)+IF(R8="",0,R8))</f>
        <v/>
      </c>
      <c r="W8" s="255" t="n"/>
      <c r="X8" s="249">
        <f>SUMIFS('09_CF_원금'!$E$6:$E$92,'09_CF_원금'!$D$6:$D$92,"국장",'09_CF_원금'!$A$6:$A$92,"&lt;="&amp;$A8)-SUMIFS('09_CF_원금'!$E$6:$E$92,'09_CF_원금'!$C$6:$C$92,"국장",'09_CF_원금'!$A$6:$A$92,"&lt;="&amp;$A8)</f>
        <v/>
      </c>
      <c r="Y8" s="249">
        <f>SUMIFS('09_CF_원금'!$E$6:$E$92,'09_CF_원금'!$D$6:$D$92,"미장",'09_CF_원금'!$A$6:$A$92,"&lt;="&amp;$A8)-SUMIFS('09_CF_원금'!$E$6:$E$92,'09_CF_원금'!$C$6:$C$92,"미장",'09_CF_원금'!$A$6:$A$92,"&lt;="&amp;$A8)</f>
        <v/>
      </c>
      <c r="Z8" s="249">
        <f>SUMIFS('09_CF_원금'!$E$6:$E$92,'09_CF_원금'!$D$6:$D$92,"ISA",'09_CF_원금'!$A$6:$A$92,"&lt;="&amp;$A8)-SUMIFS('09_CF_원금'!$E$6:$E$92,'09_CF_원금'!$C$6:$C$92,"ISA",'09_CF_원금'!$A$6:$A$92,"&lt;="&amp;$A8)</f>
        <v/>
      </c>
      <c r="AA8" s="249">
        <f>IF($A8="","",X8+Y8+Z8+SUMIFS('09_CF_원금'!$E$6:$E$92,'09_CF_원금'!$D$6:$D$92,"중국",'09_CF_원금'!$A$6:$A$92,"&lt;="&amp;$A8)-SUMIFS('09_CF_원금'!$E$6:$E$92,'09_CF_원금'!$C$6:$C$92,"중국",'09_CF_원금'!$A$6:$A$92,"&lt;="&amp;$A8)+SUMIFS('09_CF_원금'!$E$6:$E$92,'09_CF_원금'!$D$6:$D$92,"업비트",'09_CF_원금'!$A$6:$A$92,"&lt;="&amp;$A8)-SUMIFS('09_CF_원금'!$E$6:$E$92,'09_CF_원금'!$C$6:$C$92,"업비트",'09_CF_원금'!$A$6:$A$92,"&lt;="&amp;$A8))</f>
        <v/>
      </c>
      <c r="AB8" s="249">
        <f>IF(OR(U8="",V8=""),"",U8-(V8-IF(S8="",0,S8)))</f>
        <v/>
      </c>
      <c r="AC8" s="249">
        <f>IF(AB8="","",T8+AB8)</f>
        <v/>
      </c>
      <c r="AD8" s="249">
        <f>IF(B8="","",MAX($B$5:B8))</f>
        <v/>
      </c>
      <c r="AE8" s="256" t="n">
        <v>25094</v>
      </c>
      <c r="AF8" s="255" t="n"/>
      <c r="AG8" s="255" t="n">
        <v>115959119</v>
      </c>
      <c r="AH8" s="255" t="n">
        <v>20504921</v>
      </c>
      <c r="AI8" s="255" t="n"/>
      <c r="AJ8" s="257">
        <f>IF($A8="","",YEAR($A8)*100+MONTH($A8))</f>
        <v/>
      </c>
      <c r="AK8" s="257">
        <f>IF($A8="","",IF($N8="",0,1))</f>
        <v/>
      </c>
    </row>
    <row r="9">
      <c r="A9" s="247" t="n">
        <v>45982</v>
      </c>
      <c r="B9" s="248">
        <f>IF(V9&lt;&gt;"",V9-T9,IF(AF9&lt;&gt;"",AA9+AF9,""))</f>
        <v/>
      </c>
      <c r="C9" s="249">
        <f>IF(OR(B9="",B8=""),"",B9-B8)</f>
        <v/>
      </c>
      <c r="D9" s="248">
        <f>IF(OR(B9="",AA9=""),"",B9-AA9)</f>
        <v/>
      </c>
      <c r="E9" s="250">
        <f>IF(OR(B9="",AD9=0),"",MIN(0,B9/AD9-1))</f>
        <v/>
      </c>
      <c r="F9" s="250">
        <f>IF(OR(U9="",T9=0,T9=""),"",(P9-T9*1.4)/U9)</f>
        <v/>
      </c>
      <c r="G9" s="251">
        <f>IF(OR(AC9="",'09_CF_원금'!$B$108=0),"",AC9/'09_CF_원금'!$B$108)</f>
        <v/>
      </c>
      <c r="H9" s="250">
        <f>IF(OR(U9="",U9=0,AC9=""),"",AC9/U9)</f>
        <v/>
      </c>
      <c r="I9" s="250">
        <f>IF(OR(S9="",U9=""),"",S9/(U9+S9))</f>
        <v/>
      </c>
      <c r="J9" s="248">
        <f>IF(W9&lt;&gt;"",W9-X9,IF(AG9&lt;&gt;"",AG9,""))</f>
        <v/>
      </c>
      <c r="K9" s="248">
        <f>IF(Q9&lt;&gt;"",Q9-Y9,IF(AH9&lt;&gt;"",AH9,""))</f>
        <v/>
      </c>
      <c r="L9" s="248">
        <f>IF(R9&lt;&gt;"",R9-Z9,IF(AI9&lt;&gt;"",AI9,""))</f>
        <v/>
      </c>
      <c r="M9" s="252" t="n"/>
      <c r="N9" s="253" t="n"/>
      <c r="O9" s="254" t="inlineStr">
        <is>
          <t>폭락장 속 포트 파괴 &amp; 패닉바잉 (하이닉스)</t>
        </is>
      </c>
      <c r="P9" s="255" t="n"/>
      <c r="Q9" s="258">
        <f>IF($A9="","",IF(Q8="","",Q8))</f>
        <v/>
      </c>
      <c r="R9" s="258">
        <f>IF($A9="","",IF(R8="","",R8))</f>
        <v/>
      </c>
      <c r="S9" s="258">
        <f>IF($A9="","",IF(S8="","",S8))</f>
        <v/>
      </c>
      <c r="T9" s="249">
        <f>IF(OR(P9="",W9=""),"",P9-W9)</f>
        <v/>
      </c>
      <c r="U9" s="258">
        <f>IF($A9="","",IF(U8="","",U8))</f>
        <v/>
      </c>
      <c r="V9" s="249">
        <f>IF(P9="","",P9+IF(Q9="",0,Q9)+IF(R9="",0,R9))</f>
        <v/>
      </c>
      <c r="W9" s="255" t="n"/>
      <c r="X9" s="249">
        <f>SUMIFS('09_CF_원금'!$E$6:$E$92,'09_CF_원금'!$D$6:$D$92,"국장",'09_CF_원금'!$A$6:$A$92,"&lt;="&amp;$A9)-SUMIFS('09_CF_원금'!$E$6:$E$92,'09_CF_원금'!$C$6:$C$92,"국장",'09_CF_원금'!$A$6:$A$92,"&lt;="&amp;$A9)</f>
        <v/>
      </c>
      <c r="Y9" s="249">
        <f>SUMIFS('09_CF_원금'!$E$6:$E$92,'09_CF_원금'!$D$6:$D$92,"미장",'09_CF_원금'!$A$6:$A$92,"&lt;="&amp;$A9)-SUMIFS('09_CF_원금'!$E$6:$E$92,'09_CF_원금'!$C$6:$C$92,"미장",'09_CF_원금'!$A$6:$A$92,"&lt;="&amp;$A9)</f>
        <v/>
      </c>
      <c r="Z9" s="249">
        <f>SUMIFS('09_CF_원금'!$E$6:$E$92,'09_CF_원금'!$D$6:$D$92,"ISA",'09_CF_원금'!$A$6:$A$92,"&lt;="&amp;$A9)-SUMIFS('09_CF_원금'!$E$6:$E$92,'09_CF_원금'!$C$6:$C$92,"ISA",'09_CF_원금'!$A$6:$A$92,"&lt;="&amp;$A9)</f>
        <v/>
      </c>
      <c r="AA9" s="249">
        <f>IF($A9="","",X9+Y9+Z9+SUMIFS('09_CF_원금'!$E$6:$E$92,'09_CF_원금'!$D$6:$D$92,"중국",'09_CF_원금'!$A$6:$A$92,"&lt;="&amp;$A9)-SUMIFS('09_CF_원금'!$E$6:$E$92,'09_CF_원금'!$C$6:$C$92,"중국",'09_CF_원금'!$A$6:$A$92,"&lt;="&amp;$A9)+SUMIFS('09_CF_원금'!$E$6:$E$92,'09_CF_원금'!$D$6:$D$92,"업비트",'09_CF_원금'!$A$6:$A$92,"&lt;="&amp;$A9)-SUMIFS('09_CF_원금'!$E$6:$E$92,'09_CF_원금'!$C$6:$C$92,"업비트",'09_CF_원금'!$A$6:$A$92,"&lt;="&amp;$A9))</f>
        <v/>
      </c>
      <c r="AB9" s="249">
        <f>IF(OR(U9="",V9=""),"",U9-(V9-IF(S9="",0,S9)))</f>
        <v/>
      </c>
      <c r="AC9" s="249">
        <f>IF(AB9="","",T9+AB9)</f>
        <v/>
      </c>
      <c r="AD9" s="249">
        <f>IF(B9="","",MAX($B$5:B9))</f>
        <v/>
      </c>
      <c r="AE9" s="256" t="n">
        <v>24131</v>
      </c>
      <c r="AF9" s="255" t="n"/>
      <c r="AG9" s="255" t="n">
        <v>106186052</v>
      </c>
      <c r="AH9" s="255" t="n">
        <v>8500000</v>
      </c>
      <c r="AI9" s="255" t="n"/>
      <c r="AJ9" s="257">
        <f>IF($A9="","",YEAR($A9)*100+MONTH($A9))</f>
        <v/>
      </c>
      <c r="AK9" s="257">
        <f>IF($A9="","",IF($N9="",0,1))</f>
        <v/>
      </c>
    </row>
    <row r="10">
      <c r="A10" s="247" t="n">
        <v>45986</v>
      </c>
      <c r="B10" s="248">
        <f>IF(V10&lt;&gt;"",V10-T10,IF(AF10&lt;&gt;"",AA10+AF10,""))</f>
        <v/>
      </c>
      <c r="C10" s="249">
        <f>IF(OR(B10="",B9=""),"",B10-B9)</f>
        <v/>
      </c>
      <c r="D10" s="248">
        <f>IF(OR(B10="",AA10=""),"",B10-AA10)</f>
        <v/>
      </c>
      <c r="E10" s="250">
        <f>IF(OR(B10="",AD10=0),"",MIN(0,B10/AD10-1))</f>
        <v/>
      </c>
      <c r="F10" s="250">
        <f>IF(OR(U10="",T10=0,T10=""),"",(P10-T10*1.4)/U10)</f>
        <v/>
      </c>
      <c r="G10" s="251">
        <f>IF(OR(AC10="",'09_CF_원금'!$B$108=0),"",AC10/'09_CF_원금'!$B$108)</f>
        <v/>
      </c>
      <c r="H10" s="250">
        <f>IF(OR(U10="",U10=0,AC10=""),"",AC10/U10)</f>
        <v/>
      </c>
      <c r="I10" s="250">
        <f>IF(OR(S10="",U10=""),"",S10/(U10+S10))</f>
        <v/>
      </c>
      <c r="J10" s="248">
        <f>IF(W10&lt;&gt;"",W10-X10,IF(AG10&lt;&gt;"",AG10,""))</f>
        <v/>
      </c>
      <c r="K10" s="248">
        <f>IF(Q10&lt;&gt;"",Q10-Y10,IF(AH10&lt;&gt;"",AH10,""))</f>
        <v/>
      </c>
      <c r="L10" s="248">
        <f>IF(R10&lt;&gt;"",R10-Z10,IF(AI10&lt;&gt;"",AI10,""))</f>
        <v/>
      </c>
      <c r="M10" s="252" t="n"/>
      <c r="N10" s="253" t="n"/>
      <c r="O10" s="254" t="inlineStr">
        <is>
          <t>반등세 속 무지성 포모 바잉</t>
        </is>
      </c>
      <c r="P10" s="255" t="n"/>
      <c r="Q10" s="258">
        <f>IF($A10="","",IF(Q9="","",Q9))</f>
        <v/>
      </c>
      <c r="R10" s="258">
        <f>IF($A10="","",IF(R9="","",R9))</f>
        <v/>
      </c>
      <c r="S10" s="258">
        <f>IF($A10="","",IF(S9="","",S9))</f>
        <v/>
      </c>
      <c r="T10" s="249">
        <f>IF(OR(P10="",W10=""),"",P10-W10)</f>
        <v/>
      </c>
      <c r="U10" s="258">
        <f>IF($A10="","",IF(U9="","",U9))</f>
        <v/>
      </c>
      <c r="V10" s="249">
        <f>IF(P10="","",P10+IF(Q10="",0,Q10)+IF(R10="",0,R10))</f>
        <v/>
      </c>
      <c r="W10" s="255" t="n"/>
      <c r="X10" s="249">
        <f>SUMIFS('09_CF_원금'!$E$6:$E$92,'09_CF_원금'!$D$6:$D$92,"국장",'09_CF_원금'!$A$6:$A$92,"&lt;="&amp;$A10)-SUMIFS('09_CF_원금'!$E$6:$E$92,'09_CF_원금'!$C$6:$C$92,"국장",'09_CF_원금'!$A$6:$A$92,"&lt;="&amp;$A10)</f>
        <v/>
      </c>
      <c r="Y10" s="249">
        <f>SUMIFS('09_CF_원금'!$E$6:$E$92,'09_CF_원금'!$D$6:$D$92,"미장",'09_CF_원금'!$A$6:$A$92,"&lt;="&amp;$A10)-SUMIFS('09_CF_원금'!$E$6:$E$92,'09_CF_원금'!$C$6:$C$92,"미장",'09_CF_원금'!$A$6:$A$92,"&lt;="&amp;$A10)</f>
        <v/>
      </c>
      <c r="Z10" s="249">
        <f>SUMIFS('09_CF_원금'!$E$6:$E$92,'09_CF_원금'!$D$6:$D$92,"ISA",'09_CF_원금'!$A$6:$A$92,"&lt;="&amp;$A10)-SUMIFS('09_CF_원금'!$E$6:$E$92,'09_CF_원금'!$C$6:$C$92,"ISA",'09_CF_원금'!$A$6:$A$92,"&lt;="&amp;$A10)</f>
        <v/>
      </c>
      <c r="AA10" s="249">
        <f>IF($A10="","",X10+Y10+Z10+SUMIFS('09_CF_원금'!$E$6:$E$92,'09_CF_원금'!$D$6:$D$92,"중국",'09_CF_원금'!$A$6:$A$92,"&lt;="&amp;$A10)-SUMIFS('09_CF_원금'!$E$6:$E$92,'09_CF_원금'!$C$6:$C$92,"중국",'09_CF_원금'!$A$6:$A$92,"&lt;="&amp;$A10)+SUMIFS('09_CF_원금'!$E$6:$E$92,'09_CF_원금'!$D$6:$D$92,"업비트",'09_CF_원금'!$A$6:$A$92,"&lt;="&amp;$A10)-SUMIFS('09_CF_원금'!$E$6:$E$92,'09_CF_원금'!$C$6:$C$92,"업비트",'09_CF_원금'!$A$6:$A$92,"&lt;="&amp;$A10))</f>
        <v/>
      </c>
      <c r="AB10" s="249">
        <f>IF(OR(U10="",V10=""),"",U10-(V10-IF(S10="",0,S10)))</f>
        <v/>
      </c>
      <c r="AC10" s="249">
        <f>IF(AB10="","",T10+AB10)</f>
        <v/>
      </c>
      <c r="AD10" s="249">
        <f>IF(B10="","",MAX($B$5:B10))</f>
        <v/>
      </c>
      <c r="AE10" s="256" t="n">
        <v>25085.5</v>
      </c>
      <c r="AF10" s="255" t="n"/>
      <c r="AG10" s="255" t="n">
        <v>99571864</v>
      </c>
      <c r="AH10" s="255" t="n">
        <v>17917003</v>
      </c>
      <c r="AI10" s="255" t="n"/>
      <c r="AJ10" s="257">
        <f>IF($A10="","",YEAR($A10)*100+MONTH($A10))</f>
        <v/>
      </c>
      <c r="AK10" s="257">
        <f>IF($A10="","",IF($N10="",0,1))</f>
        <v/>
      </c>
    </row>
    <row r="11">
      <c r="A11" s="247" t="n">
        <v>45996</v>
      </c>
      <c r="B11" s="248">
        <f>IF(V11&lt;&gt;"",V11-T11,IF(AF11&lt;&gt;"",AA11+AF11,""))</f>
        <v/>
      </c>
      <c r="C11" s="249">
        <f>IF(OR(B11="",B10=""),"",B11-B10)</f>
        <v/>
      </c>
      <c r="D11" s="248">
        <f>IF(OR(B11="",AA11=""),"",B11-AA11)</f>
        <v/>
      </c>
      <c r="E11" s="250">
        <f>IF(OR(B11="",AD11=0),"",MIN(0,B11/AD11-1))</f>
        <v/>
      </c>
      <c r="F11" s="250">
        <f>IF(OR(U11="",T11=0,T11=""),"",(P11-T11*1.4)/U11)</f>
        <v/>
      </c>
      <c r="G11" s="251">
        <f>IF(OR(AC11="",'09_CF_원금'!$B$108=0),"",AC11/'09_CF_원금'!$B$108)</f>
        <v/>
      </c>
      <c r="H11" s="250">
        <f>IF(OR(U11="",U11=0,AC11=""),"",AC11/U11)</f>
        <v/>
      </c>
      <c r="I11" s="250">
        <f>IF(OR(S11="",U11=""),"",S11/(U11+S11))</f>
        <v/>
      </c>
      <c r="J11" s="248">
        <f>IF(W11&lt;&gt;"",W11-X11,IF(AG11&lt;&gt;"",AG11,""))</f>
        <v/>
      </c>
      <c r="K11" s="248">
        <f>IF(Q11&lt;&gt;"",Q11-Y11,IF(AH11&lt;&gt;"",AH11,""))</f>
        <v/>
      </c>
      <c r="L11" s="248">
        <f>IF(R11&lt;&gt;"",R11-Z11,IF(AI11&lt;&gt;"",AI11,""))</f>
        <v/>
      </c>
      <c r="M11" s="252" t="n"/>
      <c r="N11" s="253" t="n"/>
      <c r="O11" s="254" t="inlineStr">
        <is>
          <t>과잉확신 속 신용투자 &amp; 패닉바잉 물타기 (알테오젠)</t>
        </is>
      </c>
      <c r="P11" s="255" t="n"/>
      <c r="Q11" s="258">
        <f>IF($A11="","",IF(Q10="","",Q10))</f>
        <v/>
      </c>
      <c r="R11" s="258">
        <f>IF($A11="","",IF(R10="","",R10))</f>
        <v/>
      </c>
      <c r="S11" s="258">
        <f>IF($A11="","",IF(S10="","",S10))</f>
        <v/>
      </c>
      <c r="T11" s="249">
        <f>IF(OR(P11="",W11=""),"",P11-W11)</f>
        <v/>
      </c>
      <c r="U11" s="258">
        <f>IF($A11="","",IF(U10="","",U10))</f>
        <v/>
      </c>
      <c r="V11" s="249">
        <f>IF(P11="","",P11+IF(Q11="",0,Q11)+IF(R11="",0,R11))</f>
        <v/>
      </c>
      <c r="W11" s="255" t="n"/>
      <c r="X11" s="249">
        <f>SUMIFS('09_CF_원금'!$E$6:$E$92,'09_CF_원금'!$D$6:$D$92,"국장",'09_CF_원금'!$A$6:$A$92,"&lt;="&amp;$A11)-SUMIFS('09_CF_원금'!$E$6:$E$92,'09_CF_원금'!$C$6:$C$92,"국장",'09_CF_원금'!$A$6:$A$92,"&lt;="&amp;$A11)</f>
        <v/>
      </c>
      <c r="Y11" s="249">
        <f>SUMIFS('09_CF_원금'!$E$6:$E$92,'09_CF_원금'!$D$6:$D$92,"미장",'09_CF_원금'!$A$6:$A$92,"&lt;="&amp;$A11)-SUMIFS('09_CF_원금'!$E$6:$E$92,'09_CF_원금'!$C$6:$C$92,"미장",'09_CF_원금'!$A$6:$A$92,"&lt;="&amp;$A11)</f>
        <v/>
      </c>
      <c r="Z11" s="249">
        <f>SUMIFS('09_CF_원금'!$E$6:$E$92,'09_CF_원금'!$D$6:$D$92,"ISA",'09_CF_원금'!$A$6:$A$92,"&lt;="&amp;$A11)-SUMIFS('09_CF_원금'!$E$6:$E$92,'09_CF_원금'!$C$6:$C$92,"ISA",'09_CF_원금'!$A$6:$A$92,"&lt;="&amp;$A11)</f>
        <v/>
      </c>
      <c r="AA11" s="249">
        <f>IF($A11="","",X11+Y11+Z11+SUMIFS('09_CF_원금'!$E$6:$E$92,'09_CF_원금'!$D$6:$D$92,"중국",'09_CF_원금'!$A$6:$A$92,"&lt;="&amp;$A11)-SUMIFS('09_CF_원금'!$E$6:$E$92,'09_CF_원금'!$C$6:$C$92,"중국",'09_CF_원금'!$A$6:$A$92,"&lt;="&amp;$A11)+SUMIFS('09_CF_원금'!$E$6:$E$92,'09_CF_원금'!$D$6:$D$92,"업비트",'09_CF_원금'!$A$6:$A$92,"&lt;="&amp;$A11)-SUMIFS('09_CF_원금'!$E$6:$E$92,'09_CF_원금'!$C$6:$C$92,"업비트",'09_CF_원금'!$A$6:$A$92,"&lt;="&amp;$A11))</f>
        <v/>
      </c>
      <c r="AB11" s="249">
        <f>IF(OR(U11="",V11=""),"",U11-(V11-IF(S11="",0,S11)))</f>
        <v/>
      </c>
      <c r="AC11" s="249">
        <f>IF(AB11="","",T11+AB11)</f>
        <v/>
      </c>
      <c r="AD11" s="249">
        <f>IF(B11="","",MAX($B$5:B11))</f>
        <v/>
      </c>
      <c r="AE11" s="256" t="n">
        <v>25732</v>
      </c>
      <c r="AF11" s="255" t="n"/>
      <c r="AG11" s="255" t="n">
        <v>100497353</v>
      </c>
      <c r="AH11" s="255" t="n">
        <v>24928701</v>
      </c>
      <c r="AI11" s="255" t="n"/>
      <c r="AJ11" s="257">
        <f>IF($A11="","",YEAR($A11)*100+MONTH($A11))</f>
        <v/>
      </c>
      <c r="AK11" s="257">
        <f>IF($A11="","",IF($N11="",0,1))</f>
        <v/>
      </c>
    </row>
    <row r="12">
      <c r="A12" s="247" t="n">
        <v>45999</v>
      </c>
      <c r="B12" s="248">
        <f>IF(V12&lt;&gt;"",V12-T12,IF(AF12&lt;&gt;"",AA12+AF12,""))</f>
        <v/>
      </c>
      <c r="C12" s="249">
        <f>IF(OR(B12="",B11=""),"",B12-B11)</f>
        <v/>
      </c>
      <c r="D12" s="248">
        <f>IF(OR(B12="",AA12=""),"",B12-AA12)</f>
        <v/>
      </c>
      <c r="E12" s="250">
        <f>IF(OR(B12="",AD12=0),"",MIN(0,B12/AD12-1))</f>
        <v/>
      </c>
      <c r="F12" s="250">
        <f>IF(OR(U12="",T12=0,T12=""),"",(P12-T12*1.4)/U12)</f>
        <v/>
      </c>
      <c r="G12" s="251">
        <f>IF(OR(AC12="",'09_CF_원금'!$B$108=0),"",AC12/'09_CF_원금'!$B$108)</f>
        <v/>
      </c>
      <c r="H12" s="250">
        <f>IF(OR(U12="",U12=0,AC12=""),"",AC12/U12)</f>
        <v/>
      </c>
      <c r="I12" s="250">
        <f>IF(OR(S12="",U12=""),"",S12/(U12+S12))</f>
        <v/>
      </c>
      <c r="J12" s="248">
        <f>IF(W12&lt;&gt;"",W12-X12,IF(AG12&lt;&gt;"",AG12,""))</f>
        <v/>
      </c>
      <c r="K12" s="248">
        <f>IF(Q12&lt;&gt;"",Q12-Y12,IF(AH12&lt;&gt;"",AH12,""))</f>
        <v/>
      </c>
      <c r="L12" s="248">
        <f>IF(R12&lt;&gt;"",R12-Z12,IF(AI12&lt;&gt;"",AI12,""))</f>
        <v/>
      </c>
      <c r="M12" s="252" t="n"/>
      <c r="N12" s="253" t="n"/>
      <c r="O12" s="254" t="n"/>
      <c r="P12" s="255" t="n"/>
      <c r="Q12" s="258">
        <f>IF($A12="","",IF(Q11="","",Q11))</f>
        <v/>
      </c>
      <c r="R12" s="258">
        <f>IF($A12="","",IF(R11="","",R11))</f>
        <v/>
      </c>
      <c r="S12" s="258">
        <f>IF($A12="","",IF(S11="","",S11))</f>
        <v/>
      </c>
      <c r="T12" s="249">
        <f>IF(OR(P12="",W12=""),"",P12-W12)</f>
        <v/>
      </c>
      <c r="U12" s="258">
        <f>IF($A12="","",IF(U11="","",U11))</f>
        <v/>
      </c>
      <c r="V12" s="249">
        <f>IF(P12="","",P12+IF(Q12="",0,Q12)+IF(R12="",0,R12))</f>
        <v/>
      </c>
      <c r="W12" s="255" t="n"/>
      <c r="X12" s="249">
        <f>SUMIFS('09_CF_원금'!$E$6:$E$92,'09_CF_원금'!$D$6:$D$92,"국장",'09_CF_원금'!$A$6:$A$92,"&lt;="&amp;$A12)-SUMIFS('09_CF_원금'!$E$6:$E$92,'09_CF_원금'!$C$6:$C$92,"국장",'09_CF_원금'!$A$6:$A$92,"&lt;="&amp;$A12)</f>
        <v/>
      </c>
      <c r="Y12" s="249">
        <f>SUMIFS('09_CF_원금'!$E$6:$E$92,'09_CF_원금'!$D$6:$D$92,"미장",'09_CF_원금'!$A$6:$A$92,"&lt;="&amp;$A12)-SUMIFS('09_CF_원금'!$E$6:$E$92,'09_CF_원금'!$C$6:$C$92,"미장",'09_CF_원금'!$A$6:$A$92,"&lt;="&amp;$A12)</f>
        <v/>
      </c>
      <c r="Z12" s="249">
        <f>SUMIFS('09_CF_원금'!$E$6:$E$92,'09_CF_원금'!$D$6:$D$92,"ISA",'09_CF_원금'!$A$6:$A$92,"&lt;="&amp;$A12)-SUMIFS('09_CF_원금'!$E$6:$E$92,'09_CF_원금'!$C$6:$C$92,"ISA",'09_CF_원금'!$A$6:$A$92,"&lt;="&amp;$A12)</f>
        <v/>
      </c>
      <c r="AA12" s="249">
        <f>IF($A12="","",X12+Y12+Z12+SUMIFS('09_CF_원금'!$E$6:$E$92,'09_CF_원금'!$D$6:$D$92,"중국",'09_CF_원금'!$A$6:$A$92,"&lt;="&amp;$A12)-SUMIFS('09_CF_원금'!$E$6:$E$92,'09_CF_원금'!$C$6:$C$92,"중국",'09_CF_원금'!$A$6:$A$92,"&lt;="&amp;$A12)+SUMIFS('09_CF_원금'!$E$6:$E$92,'09_CF_원금'!$D$6:$D$92,"업비트",'09_CF_원금'!$A$6:$A$92,"&lt;="&amp;$A12)-SUMIFS('09_CF_원금'!$E$6:$E$92,'09_CF_원금'!$C$6:$C$92,"업비트",'09_CF_원금'!$A$6:$A$92,"&lt;="&amp;$A12))</f>
        <v/>
      </c>
      <c r="AB12" s="249">
        <f>IF(OR(U12="",V12=""),"",U12-(V12-IF(S12="",0,S12)))</f>
        <v/>
      </c>
      <c r="AC12" s="249">
        <f>IF(AB12="","",T12+AB12)</f>
        <v/>
      </c>
      <c r="AD12" s="249">
        <f>IF(B12="","",MAX($B$5:B12))</f>
        <v/>
      </c>
      <c r="AE12" s="256" t="n">
        <v>25723</v>
      </c>
      <c r="AF12" s="255" t="n"/>
      <c r="AG12" s="255" t="n">
        <v>101730146</v>
      </c>
      <c r="AH12" s="255" t="n">
        <v>26543123</v>
      </c>
      <c r="AI12" s="255" t="n"/>
      <c r="AJ12" s="257">
        <f>IF($A12="","",YEAR($A12)*100+MONTH($A12))</f>
        <v/>
      </c>
      <c r="AK12" s="257">
        <f>IF($A12="","",IF($N12="",0,1))</f>
        <v/>
      </c>
    </row>
    <row r="13">
      <c r="A13" s="247" t="n">
        <v>46010</v>
      </c>
      <c r="B13" s="248">
        <f>IF(V13&lt;&gt;"",V13-T13,IF(AF13&lt;&gt;"",AA13+AF13,""))</f>
        <v/>
      </c>
      <c r="C13" s="249">
        <f>IF(OR(B13="",B12=""),"",B13-B12)</f>
        <v/>
      </c>
      <c r="D13" s="248">
        <f>IF(OR(B13="",AA13=""),"",B13-AA13)</f>
        <v/>
      </c>
      <c r="E13" s="250">
        <f>IF(OR(B13="",AD13=0),"",MIN(0,B13/AD13-1))</f>
        <v/>
      </c>
      <c r="F13" s="250">
        <f>IF(OR(U13="",T13=0,T13=""),"",(P13-T13*1.4)/U13)</f>
        <v/>
      </c>
      <c r="G13" s="251">
        <f>IF(OR(AC13="",'09_CF_원금'!$B$108=0),"",AC13/'09_CF_원금'!$B$108)</f>
        <v/>
      </c>
      <c r="H13" s="250">
        <f>IF(OR(U13="",U13=0,AC13=""),"",AC13/U13)</f>
        <v/>
      </c>
      <c r="I13" s="250">
        <f>IF(OR(S13="",U13=""),"",S13/(U13+S13))</f>
        <v/>
      </c>
      <c r="J13" s="248">
        <f>IF(W13&lt;&gt;"",W13-X13,IF(AG13&lt;&gt;"",AG13,""))</f>
        <v/>
      </c>
      <c r="K13" s="248">
        <f>IF(Q13&lt;&gt;"",Q13-Y13,IF(AH13&lt;&gt;"",AH13,""))</f>
        <v/>
      </c>
      <c r="L13" s="248">
        <f>IF(R13&lt;&gt;"",R13-Z13,IF(AI13&lt;&gt;"",AI13,""))</f>
        <v/>
      </c>
      <c r="M13" s="252" t="n"/>
      <c r="N13" s="253" t="n"/>
      <c r="O13" s="254" t="inlineStr">
        <is>
          <t>무리한 현금소진/레버리지로 계좌 악화</t>
        </is>
      </c>
      <c r="P13" s="255" t="n"/>
      <c r="Q13" s="258">
        <f>IF($A13="","",IF(Q12="","",Q12))</f>
        <v/>
      </c>
      <c r="R13" s="258">
        <f>IF($A13="","",IF(R12="","",R12))</f>
        <v/>
      </c>
      <c r="S13" s="258">
        <f>IF($A13="","",IF(S12="","",S12))</f>
        <v/>
      </c>
      <c r="T13" s="249">
        <f>IF(OR(P13="",W13=""),"",P13-W13)</f>
        <v/>
      </c>
      <c r="U13" s="258">
        <f>IF($A13="","",IF(U12="","",U12))</f>
        <v/>
      </c>
      <c r="V13" s="249">
        <f>IF(P13="","",P13+IF(Q13="",0,Q13)+IF(R13="",0,R13))</f>
        <v/>
      </c>
      <c r="W13" s="255" t="n"/>
      <c r="X13" s="249">
        <f>SUMIFS('09_CF_원금'!$E$6:$E$92,'09_CF_원금'!$D$6:$D$92,"국장",'09_CF_원금'!$A$6:$A$92,"&lt;="&amp;$A13)-SUMIFS('09_CF_원금'!$E$6:$E$92,'09_CF_원금'!$C$6:$C$92,"국장",'09_CF_원금'!$A$6:$A$92,"&lt;="&amp;$A13)</f>
        <v/>
      </c>
      <c r="Y13" s="249">
        <f>SUMIFS('09_CF_원금'!$E$6:$E$92,'09_CF_원금'!$D$6:$D$92,"미장",'09_CF_원금'!$A$6:$A$92,"&lt;="&amp;$A13)-SUMIFS('09_CF_원금'!$E$6:$E$92,'09_CF_원금'!$C$6:$C$92,"미장",'09_CF_원금'!$A$6:$A$92,"&lt;="&amp;$A13)</f>
        <v/>
      </c>
      <c r="Z13" s="249">
        <f>SUMIFS('09_CF_원금'!$E$6:$E$92,'09_CF_원금'!$D$6:$D$92,"ISA",'09_CF_원금'!$A$6:$A$92,"&lt;="&amp;$A13)-SUMIFS('09_CF_원금'!$E$6:$E$92,'09_CF_원금'!$C$6:$C$92,"ISA",'09_CF_원금'!$A$6:$A$92,"&lt;="&amp;$A13)</f>
        <v/>
      </c>
      <c r="AA13" s="249">
        <f>IF($A13="","",X13+Y13+Z13+SUMIFS('09_CF_원금'!$E$6:$E$92,'09_CF_원금'!$D$6:$D$92,"중국",'09_CF_원금'!$A$6:$A$92,"&lt;="&amp;$A13)-SUMIFS('09_CF_원금'!$E$6:$E$92,'09_CF_원금'!$C$6:$C$92,"중국",'09_CF_원금'!$A$6:$A$92,"&lt;="&amp;$A13)+SUMIFS('09_CF_원금'!$E$6:$E$92,'09_CF_원금'!$D$6:$D$92,"업비트",'09_CF_원금'!$A$6:$A$92,"&lt;="&amp;$A13)-SUMIFS('09_CF_원금'!$E$6:$E$92,'09_CF_원금'!$C$6:$C$92,"업비트",'09_CF_원금'!$A$6:$A$92,"&lt;="&amp;$A13))</f>
        <v/>
      </c>
      <c r="AB13" s="249">
        <f>IF(OR(U13="",V13=""),"",U13-(V13-IF(S13="",0,S13)))</f>
        <v/>
      </c>
      <c r="AC13" s="249">
        <f>IF(AB13="","",T13+AB13)</f>
        <v/>
      </c>
      <c r="AD13" s="249">
        <f>IF(B13="","",MAX($B$5:B13))</f>
        <v/>
      </c>
      <c r="AE13" s="256" t="n">
        <v>25574.75</v>
      </c>
      <c r="AF13" s="255" t="n"/>
      <c r="AG13" s="255" t="n">
        <v>100089765</v>
      </c>
      <c r="AH13" s="255" t="n">
        <v>23580388</v>
      </c>
      <c r="AI13" s="255" t="n"/>
      <c r="AJ13" s="257">
        <f>IF($A13="","",YEAR($A13)*100+MONTH($A13))</f>
        <v/>
      </c>
      <c r="AK13" s="257">
        <f>IF($A13="","",IF($N13="",0,1))</f>
        <v/>
      </c>
    </row>
    <row r="14">
      <c r="A14" s="247" t="n">
        <v>46017</v>
      </c>
      <c r="B14" s="248">
        <f>IF(V14&lt;&gt;"",V14-T14,IF(AF14&lt;&gt;"",AA14+AF14,""))</f>
        <v/>
      </c>
      <c r="C14" s="249">
        <f>IF(OR(B14="",B13=""),"",B14-B13)</f>
        <v/>
      </c>
      <c r="D14" s="248">
        <f>IF(OR(B14="",AA14=""),"",B14-AA14)</f>
        <v/>
      </c>
      <c r="E14" s="250">
        <f>IF(OR(B14="",AD14=0),"",MIN(0,B14/AD14-1))</f>
        <v/>
      </c>
      <c r="F14" s="250">
        <f>IF(OR(U14="",T14=0,T14=""),"",(P14-T14*1.4)/U14)</f>
        <v/>
      </c>
      <c r="G14" s="251">
        <f>IF(OR(AC14="",'09_CF_원금'!$B$108=0),"",AC14/'09_CF_원금'!$B$108)</f>
        <v/>
      </c>
      <c r="H14" s="250">
        <f>IF(OR(U14="",U14=0,AC14=""),"",AC14/U14)</f>
        <v/>
      </c>
      <c r="I14" s="250">
        <f>IF(OR(S14="",U14=""),"",S14/(U14+S14))</f>
        <v/>
      </c>
      <c r="J14" s="248">
        <f>IF(W14&lt;&gt;"",W14-X14,IF(AG14&lt;&gt;"",AG14,""))</f>
        <v/>
      </c>
      <c r="K14" s="248">
        <f>IF(Q14&lt;&gt;"",Q14-Y14,IF(AH14&lt;&gt;"",AH14,""))</f>
        <v/>
      </c>
      <c r="L14" s="248">
        <f>IF(R14&lt;&gt;"",R14-Z14,IF(AI14&lt;&gt;"",AI14,""))</f>
        <v/>
      </c>
      <c r="M14" s="252" t="n"/>
      <c r="N14" s="253" t="n"/>
      <c r="O14" s="254" t="n"/>
      <c r="P14" s="255" t="n"/>
      <c r="Q14" s="258">
        <f>IF($A14="","",IF(Q13="","",Q13))</f>
        <v/>
      </c>
      <c r="R14" s="258">
        <f>IF($A14="","",IF(R13="","",R13))</f>
        <v/>
      </c>
      <c r="S14" s="258">
        <f>IF($A14="","",IF(S13="","",S13))</f>
        <v/>
      </c>
      <c r="T14" s="249">
        <f>IF(OR(P14="",W14=""),"",P14-W14)</f>
        <v/>
      </c>
      <c r="U14" s="258">
        <f>IF($A14="","",IF(U13="","",U13))</f>
        <v/>
      </c>
      <c r="V14" s="249">
        <f>IF(P14="","",P14+IF(Q14="",0,Q14)+IF(R14="",0,R14))</f>
        <v/>
      </c>
      <c r="W14" s="255" t="n"/>
      <c r="X14" s="249">
        <f>SUMIFS('09_CF_원금'!$E$6:$E$92,'09_CF_원금'!$D$6:$D$92,"국장",'09_CF_원금'!$A$6:$A$92,"&lt;="&amp;$A14)-SUMIFS('09_CF_원금'!$E$6:$E$92,'09_CF_원금'!$C$6:$C$92,"국장",'09_CF_원금'!$A$6:$A$92,"&lt;="&amp;$A14)</f>
        <v/>
      </c>
      <c r="Y14" s="249">
        <f>SUMIFS('09_CF_원금'!$E$6:$E$92,'09_CF_원금'!$D$6:$D$92,"미장",'09_CF_원금'!$A$6:$A$92,"&lt;="&amp;$A14)-SUMIFS('09_CF_원금'!$E$6:$E$92,'09_CF_원금'!$C$6:$C$92,"미장",'09_CF_원금'!$A$6:$A$92,"&lt;="&amp;$A14)</f>
        <v/>
      </c>
      <c r="Z14" s="249">
        <f>SUMIFS('09_CF_원금'!$E$6:$E$92,'09_CF_원금'!$D$6:$D$92,"ISA",'09_CF_원금'!$A$6:$A$92,"&lt;="&amp;$A14)-SUMIFS('09_CF_원금'!$E$6:$E$92,'09_CF_원금'!$C$6:$C$92,"ISA",'09_CF_원금'!$A$6:$A$92,"&lt;="&amp;$A14)</f>
        <v/>
      </c>
      <c r="AA14" s="249">
        <f>IF($A14="","",X14+Y14+Z14+SUMIFS('09_CF_원금'!$E$6:$E$92,'09_CF_원금'!$D$6:$D$92,"중국",'09_CF_원금'!$A$6:$A$92,"&lt;="&amp;$A14)-SUMIFS('09_CF_원금'!$E$6:$E$92,'09_CF_원금'!$C$6:$C$92,"중국",'09_CF_원금'!$A$6:$A$92,"&lt;="&amp;$A14)+SUMIFS('09_CF_원금'!$E$6:$E$92,'09_CF_원금'!$D$6:$D$92,"업비트",'09_CF_원금'!$A$6:$A$92,"&lt;="&amp;$A14)-SUMIFS('09_CF_원금'!$E$6:$E$92,'09_CF_원금'!$C$6:$C$92,"업비트",'09_CF_원금'!$A$6:$A$92,"&lt;="&amp;$A14))</f>
        <v/>
      </c>
      <c r="AB14" s="249">
        <f>IF(OR(U14="",V14=""),"",U14-(V14-IF(S14="",0,S14)))</f>
        <v/>
      </c>
      <c r="AC14" s="249">
        <f>IF(AB14="","",T14+AB14)</f>
        <v/>
      </c>
      <c r="AD14" s="249">
        <f>IF(B14="","",MAX($B$5:B14))</f>
        <v/>
      </c>
      <c r="AE14" s="256" t="n">
        <v>25863</v>
      </c>
      <c r="AF14" s="255" t="n"/>
      <c r="AG14" s="255" t="n">
        <v>104193269</v>
      </c>
      <c r="AH14" s="255" t="n">
        <v>31850948</v>
      </c>
      <c r="AI14" s="255" t="n"/>
      <c r="AJ14" s="257">
        <f>IF($A14="","",YEAR($A14)*100+MONTH($A14))</f>
        <v/>
      </c>
      <c r="AK14" s="257">
        <f>IF($A14="","",IF($N14="",0,1))</f>
        <v/>
      </c>
    </row>
    <row r="15">
      <c r="A15" s="247" t="n">
        <v>46022</v>
      </c>
      <c r="B15" s="248">
        <f>IF(V15&lt;&gt;"",V15-T15,IF(AF15&lt;&gt;"",AA15+AF15,""))</f>
        <v/>
      </c>
      <c r="C15" s="249">
        <f>IF(OR(B15="",B14=""),"",B15-B14)</f>
        <v/>
      </c>
      <c r="D15" s="248">
        <f>IF(OR(B15="",AA15=""),"",B15-AA15)</f>
        <v/>
      </c>
      <c r="E15" s="250">
        <f>IF(OR(B15="",AD15=0),"",MIN(0,B15/AD15-1))</f>
        <v/>
      </c>
      <c r="F15" s="250">
        <f>IF(OR(U15="",T15=0,T15=""),"",(P15-T15*1.4)/U15)</f>
        <v/>
      </c>
      <c r="G15" s="251">
        <f>IF(OR(AC15="",'09_CF_원금'!$B$108=0),"",AC15/'09_CF_원금'!$B$108)</f>
        <v/>
      </c>
      <c r="H15" s="250">
        <f>IF(OR(U15="",U15=0,AC15=""),"",AC15/U15)</f>
        <v/>
      </c>
      <c r="I15" s="250">
        <f>IF(OR(S15="",U15=""),"",S15/(U15+S15))</f>
        <v/>
      </c>
      <c r="J15" s="248">
        <f>IF(W15&lt;&gt;"",W15-X15,IF(AG15&lt;&gt;"",AG15,""))</f>
        <v/>
      </c>
      <c r="K15" s="248">
        <f>IF(Q15&lt;&gt;"",Q15-Y15,IF(AH15&lt;&gt;"",AH15,""))</f>
        <v/>
      </c>
      <c r="L15" s="248">
        <f>IF(R15&lt;&gt;"",R15-Z15,IF(AI15&lt;&gt;"",AI15,""))</f>
        <v/>
      </c>
      <c r="M15" s="252" t="n"/>
      <c r="N15" s="253" t="n"/>
      <c r="O15" s="254" t="inlineStr">
        <is>
          <t>'25년 마감</t>
        </is>
      </c>
      <c r="P15" s="255" t="n"/>
      <c r="Q15" s="258">
        <f>IF($A15="","",IF(Q14="","",Q14))</f>
        <v/>
      </c>
      <c r="R15" s="258">
        <f>IF($A15="","",IF(R14="","",R14))</f>
        <v/>
      </c>
      <c r="S15" s="258">
        <f>IF($A15="","",IF(S14="","",S14))</f>
        <v/>
      </c>
      <c r="T15" s="249">
        <f>IF(OR(P15="",W15=""),"",P15-W15)</f>
        <v/>
      </c>
      <c r="U15" s="258">
        <f>IF($A15="","",IF(U14="","",U14))</f>
        <v/>
      </c>
      <c r="V15" s="249">
        <f>IF(P15="","",P15+IF(Q15="",0,Q15)+IF(R15="",0,R15))</f>
        <v/>
      </c>
      <c r="W15" s="255" t="n"/>
      <c r="X15" s="249">
        <f>SUMIFS('09_CF_원금'!$E$6:$E$92,'09_CF_원금'!$D$6:$D$92,"국장",'09_CF_원금'!$A$6:$A$92,"&lt;="&amp;$A15)-SUMIFS('09_CF_원금'!$E$6:$E$92,'09_CF_원금'!$C$6:$C$92,"국장",'09_CF_원금'!$A$6:$A$92,"&lt;="&amp;$A15)</f>
        <v/>
      </c>
      <c r="Y15" s="249">
        <f>SUMIFS('09_CF_원금'!$E$6:$E$92,'09_CF_원금'!$D$6:$D$92,"미장",'09_CF_원금'!$A$6:$A$92,"&lt;="&amp;$A15)-SUMIFS('09_CF_원금'!$E$6:$E$92,'09_CF_원금'!$C$6:$C$92,"미장",'09_CF_원금'!$A$6:$A$92,"&lt;="&amp;$A15)</f>
        <v/>
      </c>
      <c r="Z15" s="249">
        <f>SUMIFS('09_CF_원금'!$E$6:$E$92,'09_CF_원금'!$D$6:$D$92,"ISA",'09_CF_원금'!$A$6:$A$92,"&lt;="&amp;$A15)-SUMIFS('09_CF_원금'!$E$6:$E$92,'09_CF_원금'!$C$6:$C$92,"ISA",'09_CF_원금'!$A$6:$A$92,"&lt;="&amp;$A15)</f>
        <v/>
      </c>
      <c r="AA15" s="249">
        <f>IF($A15="","",X15+Y15+Z15+SUMIFS('09_CF_원금'!$E$6:$E$92,'09_CF_원금'!$D$6:$D$92,"중국",'09_CF_원금'!$A$6:$A$92,"&lt;="&amp;$A15)-SUMIFS('09_CF_원금'!$E$6:$E$92,'09_CF_원금'!$C$6:$C$92,"중국",'09_CF_원금'!$A$6:$A$92,"&lt;="&amp;$A15)+SUMIFS('09_CF_원금'!$E$6:$E$92,'09_CF_원금'!$D$6:$D$92,"업비트",'09_CF_원금'!$A$6:$A$92,"&lt;="&amp;$A15)-SUMIFS('09_CF_원금'!$E$6:$E$92,'09_CF_원금'!$C$6:$C$92,"업비트",'09_CF_원금'!$A$6:$A$92,"&lt;="&amp;$A15))</f>
        <v/>
      </c>
      <c r="AB15" s="249">
        <f>IF(OR(U15="",V15=""),"",U15-(V15-IF(S15="",0,S15)))</f>
        <v/>
      </c>
      <c r="AC15" s="249">
        <f>IF(AB15="","",T15+AB15)</f>
        <v/>
      </c>
      <c r="AD15" s="249">
        <f>IF(B15="","",MAX($B$5:B15))</f>
        <v/>
      </c>
      <c r="AE15" s="256" t="n">
        <v>25456.75</v>
      </c>
      <c r="AF15" s="255" t="n">
        <v>142830222</v>
      </c>
      <c r="AG15" s="255" t="n">
        <v>110805230</v>
      </c>
      <c r="AH15" s="255" t="n">
        <v>27430808</v>
      </c>
      <c r="AI15" s="255" t="n">
        <v>4594184</v>
      </c>
      <c r="AJ15" s="257">
        <f>IF($A15="","",YEAR($A15)*100+MONTH($A15))</f>
        <v/>
      </c>
      <c r="AK15" s="257">
        <f>IF($A15="","",IF($N15="",0,1))</f>
        <v/>
      </c>
    </row>
    <row r="16">
      <c r="A16" s="247" t="n">
        <v>46023</v>
      </c>
      <c r="B16" s="248">
        <f>IF(V16&lt;&gt;"",V16-T16,IF(AF16&lt;&gt;"",AA16+AF16,""))</f>
        <v/>
      </c>
      <c r="C16" s="249">
        <f>IF(OR(B16="",B15=""),"",B16-B15)</f>
        <v/>
      </c>
      <c r="D16" s="248">
        <f>IF(OR(B16="",AA16=""),"",B16-AA16)</f>
        <v/>
      </c>
      <c r="E16" s="250">
        <f>IF(OR(B16="",AD16=0),"",MIN(0,B16/AD16-1))</f>
        <v/>
      </c>
      <c r="F16" s="250">
        <f>IF(OR(U16="",T16=0,T16=""),"",(P16-T16*1.4)/U16)</f>
        <v/>
      </c>
      <c r="G16" s="251">
        <f>IF(OR(AC16="",'09_CF_원금'!$B$108=0),"",AC16/'09_CF_원금'!$B$108)</f>
        <v/>
      </c>
      <c r="H16" s="250">
        <f>IF(OR(U16="",U16=0,AC16=""),"",AC16/U16)</f>
        <v/>
      </c>
      <c r="I16" s="250">
        <f>IF(OR(S16="",U16=""),"",S16/(U16+S16))</f>
        <v/>
      </c>
      <c r="J16" s="248">
        <f>IF(W16&lt;&gt;"",W16-X16,IF(AG16&lt;&gt;"",AG16,""))</f>
        <v/>
      </c>
      <c r="K16" s="248">
        <f>IF(Q16&lt;&gt;"",Q16-Y16,IF(AH16&lt;&gt;"",AH16,""))</f>
        <v/>
      </c>
      <c r="L16" s="248">
        <f>IF(R16&lt;&gt;"",R16-Z16,IF(AI16&lt;&gt;"",AI16,""))</f>
        <v/>
      </c>
      <c r="M16" s="252" t="n"/>
      <c r="N16" s="253" t="n"/>
      <c r="O16" s="254" t="n"/>
      <c r="P16" s="255" t="n"/>
      <c r="Q16" s="258">
        <f>IF($A16="","",IF(Q15="","",Q15))</f>
        <v/>
      </c>
      <c r="R16" s="258">
        <f>IF($A16="","",IF(R15="","",R15))</f>
        <v/>
      </c>
      <c r="S16" s="258">
        <f>IF($A16="","",IF(S15="","",S15))</f>
        <v/>
      </c>
      <c r="T16" s="249">
        <f>IF(OR(P16="",W16=""),"",P16-W16)</f>
        <v/>
      </c>
      <c r="U16" s="258">
        <f>IF($A16="","",IF(U15="","",U15))</f>
        <v/>
      </c>
      <c r="V16" s="249">
        <f>IF(P16="","",P16+IF(Q16="",0,Q16)+IF(R16="",0,R16))</f>
        <v/>
      </c>
      <c r="W16" s="255" t="n"/>
      <c r="X16" s="249">
        <f>SUMIFS('09_CF_원금'!$E$6:$E$92,'09_CF_원금'!$D$6:$D$92,"국장",'09_CF_원금'!$A$6:$A$92,"&lt;="&amp;$A16)-SUMIFS('09_CF_원금'!$E$6:$E$92,'09_CF_원금'!$C$6:$C$92,"국장",'09_CF_원금'!$A$6:$A$92,"&lt;="&amp;$A16)</f>
        <v/>
      </c>
      <c r="Y16" s="249">
        <f>SUMIFS('09_CF_원금'!$E$6:$E$92,'09_CF_원금'!$D$6:$D$92,"미장",'09_CF_원금'!$A$6:$A$92,"&lt;="&amp;$A16)-SUMIFS('09_CF_원금'!$E$6:$E$92,'09_CF_원금'!$C$6:$C$92,"미장",'09_CF_원금'!$A$6:$A$92,"&lt;="&amp;$A16)</f>
        <v/>
      </c>
      <c r="Z16" s="249">
        <f>SUMIFS('09_CF_원금'!$E$6:$E$92,'09_CF_원금'!$D$6:$D$92,"ISA",'09_CF_원금'!$A$6:$A$92,"&lt;="&amp;$A16)-SUMIFS('09_CF_원금'!$E$6:$E$92,'09_CF_원금'!$C$6:$C$92,"ISA",'09_CF_원금'!$A$6:$A$92,"&lt;="&amp;$A16)</f>
        <v/>
      </c>
      <c r="AA16" s="249">
        <f>IF($A16="","",X16+Y16+Z16+SUMIFS('09_CF_원금'!$E$6:$E$92,'09_CF_원금'!$D$6:$D$92,"중국",'09_CF_원금'!$A$6:$A$92,"&lt;="&amp;$A16)-SUMIFS('09_CF_원금'!$E$6:$E$92,'09_CF_원금'!$C$6:$C$92,"중국",'09_CF_원금'!$A$6:$A$92,"&lt;="&amp;$A16)+SUMIFS('09_CF_원금'!$E$6:$E$92,'09_CF_원금'!$D$6:$D$92,"업비트",'09_CF_원금'!$A$6:$A$92,"&lt;="&amp;$A16)-SUMIFS('09_CF_원금'!$E$6:$E$92,'09_CF_원금'!$C$6:$C$92,"업비트",'09_CF_원금'!$A$6:$A$92,"&lt;="&amp;$A16))</f>
        <v/>
      </c>
      <c r="AB16" s="249">
        <f>IF(OR(U16="",V16=""),"",U16-(V16-IF(S16="",0,S16)))</f>
        <v/>
      </c>
      <c r="AC16" s="249">
        <f>IF(AB16="","",T16+AB16)</f>
        <v/>
      </c>
      <c r="AD16" s="249">
        <f>IF(B16="","",MAX($B$5:B16))</f>
        <v/>
      </c>
      <c r="AE16" s="256" t="n"/>
      <c r="AF16" s="255" t="n"/>
      <c r="AG16" s="255" t="n"/>
      <c r="AH16" s="255" t="n"/>
      <c r="AI16" s="255" t="n"/>
      <c r="AJ16" s="257">
        <f>IF($A16="","",YEAR($A16)*100+MONTH($A16))</f>
        <v/>
      </c>
      <c r="AK16" s="257">
        <f>IF($A16="","",IF($N16="",0,1))</f>
        <v/>
      </c>
    </row>
    <row r="17">
      <c r="A17" s="247" t="n">
        <v>46024</v>
      </c>
      <c r="B17" s="248">
        <f>IF(V17&lt;&gt;"",V17-T17,IF(AF17&lt;&gt;"",AA17+AF17,""))</f>
        <v/>
      </c>
      <c r="C17" s="249">
        <f>IF(OR(B17="",B16=""),"",B17-B16)</f>
        <v/>
      </c>
      <c r="D17" s="248">
        <f>IF(OR(B17="",AA17=""),"",B17-AA17)</f>
        <v/>
      </c>
      <c r="E17" s="250">
        <f>IF(OR(B17="",AD17=0),"",MIN(0,B17/AD17-1))</f>
        <v/>
      </c>
      <c r="F17" s="250">
        <f>IF(OR(U17="",T17=0,T17=""),"",(P17-T17*1.4)/U17)</f>
        <v/>
      </c>
      <c r="G17" s="251">
        <f>IF(OR(AC17="",'09_CF_원금'!$B$108=0),"",AC17/'09_CF_원금'!$B$108)</f>
        <v/>
      </c>
      <c r="H17" s="250">
        <f>IF(OR(U17="",U17=0,AC17=""),"",AC17/U17)</f>
        <v/>
      </c>
      <c r="I17" s="250">
        <f>IF(OR(S17="",U17=""),"",S17/(U17+S17))</f>
        <v/>
      </c>
      <c r="J17" s="248">
        <f>IF(W17&lt;&gt;"",W17-X17,IF(AG17&lt;&gt;"",AG17,""))</f>
        <v/>
      </c>
      <c r="K17" s="248">
        <f>IF(Q17&lt;&gt;"",Q17-Y17,IF(AH17&lt;&gt;"",AH17,""))</f>
        <v/>
      </c>
      <c r="L17" s="248">
        <f>IF(R17&lt;&gt;"",R17-Z17,IF(AI17&lt;&gt;"",AI17,""))</f>
        <v/>
      </c>
      <c r="M17" s="252" t="n"/>
      <c r="N17" s="253" t="n"/>
      <c r="O17" s="254" t="n"/>
      <c r="P17" s="255" t="n"/>
      <c r="Q17" s="258">
        <f>IF($A17="","",IF(Q16="","",Q16))</f>
        <v/>
      </c>
      <c r="R17" s="258">
        <f>IF($A17="","",IF(R16="","",R16))</f>
        <v/>
      </c>
      <c r="S17" s="258">
        <f>IF($A17="","",IF(S16="","",S16))</f>
        <v/>
      </c>
      <c r="T17" s="249">
        <f>IF(OR(P17="",W17=""),"",P17-W17)</f>
        <v/>
      </c>
      <c r="U17" s="258">
        <f>IF($A17="","",IF(U16="","",U16))</f>
        <v/>
      </c>
      <c r="V17" s="249">
        <f>IF(P17="","",P17+IF(Q17="",0,Q17)+IF(R17="",0,R17))</f>
        <v/>
      </c>
      <c r="W17" s="255" t="n"/>
      <c r="X17" s="249">
        <f>SUMIFS('09_CF_원금'!$E$6:$E$92,'09_CF_원금'!$D$6:$D$92,"국장",'09_CF_원금'!$A$6:$A$92,"&lt;="&amp;$A17)-SUMIFS('09_CF_원금'!$E$6:$E$92,'09_CF_원금'!$C$6:$C$92,"국장",'09_CF_원금'!$A$6:$A$92,"&lt;="&amp;$A17)</f>
        <v/>
      </c>
      <c r="Y17" s="249">
        <f>SUMIFS('09_CF_원금'!$E$6:$E$92,'09_CF_원금'!$D$6:$D$92,"미장",'09_CF_원금'!$A$6:$A$92,"&lt;="&amp;$A17)-SUMIFS('09_CF_원금'!$E$6:$E$92,'09_CF_원금'!$C$6:$C$92,"미장",'09_CF_원금'!$A$6:$A$92,"&lt;="&amp;$A17)</f>
        <v/>
      </c>
      <c r="Z17" s="249">
        <f>SUMIFS('09_CF_원금'!$E$6:$E$92,'09_CF_원금'!$D$6:$D$92,"ISA",'09_CF_원금'!$A$6:$A$92,"&lt;="&amp;$A17)-SUMIFS('09_CF_원금'!$E$6:$E$92,'09_CF_원금'!$C$6:$C$92,"ISA",'09_CF_원금'!$A$6:$A$92,"&lt;="&amp;$A17)</f>
        <v/>
      </c>
      <c r="AA17" s="249">
        <f>IF($A17="","",X17+Y17+Z17+SUMIFS('09_CF_원금'!$E$6:$E$92,'09_CF_원금'!$D$6:$D$92,"중국",'09_CF_원금'!$A$6:$A$92,"&lt;="&amp;$A17)-SUMIFS('09_CF_원금'!$E$6:$E$92,'09_CF_원금'!$C$6:$C$92,"중국",'09_CF_원금'!$A$6:$A$92,"&lt;="&amp;$A17)+SUMIFS('09_CF_원금'!$E$6:$E$92,'09_CF_원금'!$D$6:$D$92,"업비트",'09_CF_원금'!$A$6:$A$92,"&lt;="&amp;$A17)-SUMIFS('09_CF_원금'!$E$6:$E$92,'09_CF_원금'!$C$6:$C$92,"업비트",'09_CF_원금'!$A$6:$A$92,"&lt;="&amp;$A17))</f>
        <v/>
      </c>
      <c r="AB17" s="249">
        <f>IF(OR(U17="",V17=""),"",U17-(V17-IF(S17="",0,S17)))</f>
        <v/>
      </c>
      <c r="AC17" s="249">
        <f>IF(AB17="","",T17+AB17)</f>
        <v/>
      </c>
      <c r="AD17" s="249">
        <f>IF(B17="","",MAX($B$5:B17))</f>
        <v/>
      </c>
      <c r="AE17" s="256" t="n">
        <v>25385.25</v>
      </c>
      <c r="AF17" s="255" t="n">
        <v>151585850</v>
      </c>
      <c r="AG17" s="255" t="n">
        <v>113696755</v>
      </c>
      <c r="AH17" s="255" t="n">
        <v>31925364</v>
      </c>
      <c r="AI17" s="255" t="n">
        <v>5280829</v>
      </c>
      <c r="AJ17" s="257">
        <f>IF($A17="","",YEAR($A17)*100+MONTH($A17))</f>
        <v/>
      </c>
      <c r="AK17" s="257">
        <f>IF($A17="","",IF($N17="",0,1))</f>
        <v/>
      </c>
    </row>
    <row r="18">
      <c r="A18" s="247" t="n">
        <v>46027</v>
      </c>
      <c r="B18" s="248">
        <f>IF(V18&lt;&gt;"",V18-T18,IF(AF18&lt;&gt;"",AA18+AF18,""))</f>
        <v/>
      </c>
      <c r="C18" s="249">
        <f>IF(OR(B18="",B17=""),"",B18-B17)</f>
        <v/>
      </c>
      <c r="D18" s="248">
        <f>IF(OR(B18="",AA18=""),"",B18-AA18)</f>
        <v/>
      </c>
      <c r="E18" s="250">
        <f>IF(OR(B18="",AD18=0),"",MIN(0,B18/AD18-1))</f>
        <v/>
      </c>
      <c r="F18" s="250">
        <f>IF(OR(U18="",T18=0,T18=""),"",(P18-T18*1.4)/U18)</f>
        <v/>
      </c>
      <c r="G18" s="251">
        <f>IF(OR(AC18="",'09_CF_원금'!$B$108=0),"",AC18/'09_CF_원금'!$B$108)</f>
        <v/>
      </c>
      <c r="H18" s="250">
        <f>IF(OR(U18="",U18=0,AC18=""),"",AC18/U18)</f>
        <v/>
      </c>
      <c r="I18" s="250">
        <f>IF(OR(S18="",U18=""),"",S18/(U18+S18))</f>
        <v/>
      </c>
      <c r="J18" s="248">
        <f>IF(W18&lt;&gt;"",W18-X18,IF(AG18&lt;&gt;"",AG18,""))</f>
        <v/>
      </c>
      <c r="K18" s="248">
        <f>IF(Q18&lt;&gt;"",Q18-Y18,IF(AH18&lt;&gt;"",AH18,""))</f>
        <v/>
      </c>
      <c r="L18" s="248">
        <f>IF(R18&lt;&gt;"",R18-Z18,IF(AI18&lt;&gt;"",AI18,""))</f>
        <v/>
      </c>
      <c r="M18" s="252" t="n"/>
      <c r="N18" s="253" t="n"/>
      <c r="O18" s="254" t="n"/>
      <c r="P18" s="255" t="n"/>
      <c r="Q18" s="258">
        <f>IF($A18="","",IF(Q17="","",Q17))</f>
        <v/>
      </c>
      <c r="R18" s="258">
        <f>IF($A18="","",IF(R17="","",R17))</f>
        <v/>
      </c>
      <c r="S18" s="258">
        <f>IF($A18="","",IF(S17="","",S17))</f>
        <v/>
      </c>
      <c r="T18" s="249">
        <f>IF(OR(P18="",W18=""),"",P18-W18)</f>
        <v/>
      </c>
      <c r="U18" s="258">
        <f>IF($A18="","",IF(U17="","",U17))</f>
        <v/>
      </c>
      <c r="V18" s="249">
        <f>IF(P18="","",P18+IF(Q18="",0,Q18)+IF(R18="",0,R18))</f>
        <v/>
      </c>
      <c r="W18" s="255" t="n"/>
      <c r="X18" s="249">
        <f>SUMIFS('09_CF_원금'!$E$6:$E$92,'09_CF_원금'!$D$6:$D$92,"국장",'09_CF_원금'!$A$6:$A$92,"&lt;="&amp;$A18)-SUMIFS('09_CF_원금'!$E$6:$E$92,'09_CF_원금'!$C$6:$C$92,"국장",'09_CF_원금'!$A$6:$A$92,"&lt;="&amp;$A18)</f>
        <v/>
      </c>
      <c r="Y18" s="249">
        <f>SUMIFS('09_CF_원금'!$E$6:$E$92,'09_CF_원금'!$D$6:$D$92,"미장",'09_CF_원금'!$A$6:$A$92,"&lt;="&amp;$A18)-SUMIFS('09_CF_원금'!$E$6:$E$92,'09_CF_원금'!$C$6:$C$92,"미장",'09_CF_원금'!$A$6:$A$92,"&lt;="&amp;$A18)</f>
        <v/>
      </c>
      <c r="Z18" s="249">
        <f>SUMIFS('09_CF_원금'!$E$6:$E$92,'09_CF_원금'!$D$6:$D$92,"ISA",'09_CF_원금'!$A$6:$A$92,"&lt;="&amp;$A18)-SUMIFS('09_CF_원금'!$E$6:$E$92,'09_CF_원금'!$C$6:$C$92,"ISA",'09_CF_원금'!$A$6:$A$92,"&lt;="&amp;$A18)</f>
        <v/>
      </c>
      <c r="AA18" s="249">
        <f>IF($A18="","",X18+Y18+Z18+SUMIFS('09_CF_원금'!$E$6:$E$92,'09_CF_원금'!$D$6:$D$92,"중국",'09_CF_원금'!$A$6:$A$92,"&lt;="&amp;$A18)-SUMIFS('09_CF_원금'!$E$6:$E$92,'09_CF_원금'!$C$6:$C$92,"중국",'09_CF_원금'!$A$6:$A$92,"&lt;="&amp;$A18)+SUMIFS('09_CF_원금'!$E$6:$E$92,'09_CF_원금'!$D$6:$D$92,"업비트",'09_CF_원금'!$A$6:$A$92,"&lt;="&amp;$A18)-SUMIFS('09_CF_원금'!$E$6:$E$92,'09_CF_원금'!$C$6:$C$92,"업비트",'09_CF_원금'!$A$6:$A$92,"&lt;="&amp;$A18))</f>
        <v/>
      </c>
      <c r="AB18" s="249">
        <f>IF(OR(U18="",V18=""),"",U18-(V18-IF(S18="",0,S18)))</f>
        <v/>
      </c>
      <c r="AC18" s="249">
        <f>IF(AB18="","",T18+AB18)</f>
        <v/>
      </c>
      <c r="AD18" s="249">
        <f>IF(B18="","",MAX($B$5:B18))</f>
        <v/>
      </c>
      <c r="AE18" s="256" t="n"/>
      <c r="AF18" s="255" t="n"/>
      <c r="AG18" s="255" t="n"/>
      <c r="AH18" s="255" t="n"/>
      <c r="AI18" s="255" t="n"/>
      <c r="AJ18" s="257">
        <f>IF($A18="","",YEAR($A18)*100+MONTH($A18))</f>
        <v/>
      </c>
      <c r="AK18" s="257">
        <f>IF($A18="","",IF($N18="",0,1))</f>
        <v/>
      </c>
    </row>
    <row r="19">
      <c r="A19" s="247" t="n">
        <v>46028</v>
      </c>
      <c r="B19" s="248">
        <f>IF(V19&lt;&gt;"",V19-T19,IF(AF19&lt;&gt;"",AA19+AF19,""))</f>
        <v/>
      </c>
      <c r="C19" s="249">
        <f>IF(OR(B19="",B18=""),"",B19-B18)</f>
        <v/>
      </c>
      <c r="D19" s="248">
        <f>IF(OR(B19="",AA19=""),"",B19-AA19)</f>
        <v/>
      </c>
      <c r="E19" s="250">
        <f>IF(OR(B19="",AD19=0),"",MIN(0,B19/AD19-1))</f>
        <v/>
      </c>
      <c r="F19" s="250">
        <f>IF(OR(U19="",T19=0,T19=""),"",(P19-T19*1.4)/U19)</f>
        <v/>
      </c>
      <c r="G19" s="251">
        <f>IF(OR(AC19="",'09_CF_원금'!$B$108=0),"",AC19/'09_CF_원금'!$B$108)</f>
        <v/>
      </c>
      <c r="H19" s="250">
        <f>IF(OR(U19="",U19=0,AC19=""),"",AC19/U19)</f>
        <v/>
      </c>
      <c r="I19" s="250">
        <f>IF(OR(S19="",U19=""),"",S19/(U19+S19))</f>
        <v/>
      </c>
      <c r="J19" s="248">
        <f>IF(W19&lt;&gt;"",W19-X19,IF(AG19&lt;&gt;"",AG19,""))</f>
        <v/>
      </c>
      <c r="K19" s="248">
        <f>IF(Q19&lt;&gt;"",Q19-Y19,IF(AH19&lt;&gt;"",AH19,""))</f>
        <v/>
      </c>
      <c r="L19" s="248">
        <f>IF(R19&lt;&gt;"",R19-Z19,IF(AI19&lt;&gt;"",AI19,""))</f>
        <v/>
      </c>
      <c r="M19" s="252" t="n"/>
      <c r="N19" s="253" t="n"/>
      <c r="O19" s="254" t="n"/>
      <c r="P19" s="255" t="n"/>
      <c r="Q19" s="258">
        <f>IF($A19="","",IF(Q18="","",Q18))</f>
        <v/>
      </c>
      <c r="R19" s="258">
        <f>IF($A19="","",IF(R18="","",R18))</f>
        <v/>
      </c>
      <c r="S19" s="258">
        <f>IF($A19="","",IF(S18="","",S18))</f>
        <v/>
      </c>
      <c r="T19" s="249">
        <f>IF(OR(P19="",W19=""),"",P19-W19)</f>
        <v/>
      </c>
      <c r="U19" s="258">
        <f>IF($A19="","",IF(U18="","",U18))</f>
        <v/>
      </c>
      <c r="V19" s="249">
        <f>IF(P19="","",P19+IF(Q19="",0,Q19)+IF(R19="",0,R19))</f>
        <v/>
      </c>
      <c r="W19" s="255" t="n"/>
      <c r="X19" s="249">
        <f>SUMIFS('09_CF_원금'!$E$6:$E$92,'09_CF_원금'!$D$6:$D$92,"국장",'09_CF_원금'!$A$6:$A$92,"&lt;="&amp;$A19)-SUMIFS('09_CF_원금'!$E$6:$E$92,'09_CF_원금'!$C$6:$C$92,"국장",'09_CF_원금'!$A$6:$A$92,"&lt;="&amp;$A19)</f>
        <v/>
      </c>
      <c r="Y19" s="249">
        <f>SUMIFS('09_CF_원금'!$E$6:$E$92,'09_CF_원금'!$D$6:$D$92,"미장",'09_CF_원금'!$A$6:$A$92,"&lt;="&amp;$A19)-SUMIFS('09_CF_원금'!$E$6:$E$92,'09_CF_원금'!$C$6:$C$92,"미장",'09_CF_원금'!$A$6:$A$92,"&lt;="&amp;$A19)</f>
        <v/>
      </c>
      <c r="Z19" s="249">
        <f>SUMIFS('09_CF_원금'!$E$6:$E$92,'09_CF_원금'!$D$6:$D$92,"ISA",'09_CF_원금'!$A$6:$A$92,"&lt;="&amp;$A19)-SUMIFS('09_CF_원금'!$E$6:$E$92,'09_CF_원금'!$C$6:$C$92,"ISA",'09_CF_원금'!$A$6:$A$92,"&lt;="&amp;$A19)</f>
        <v/>
      </c>
      <c r="AA19" s="249">
        <f>IF($A19="","",X19+Y19+Z19+SUMIFS('09_CF_원금'!$E$6:$E$92,'09_CF_원금'!$D$6:$D$92,"중국",'09_CF_원금'!$A$6:$A$92,"&lt;="&amp;$A19)-SUMIFS('09_CF_원금'!$E$6:$E$92,'09_CF_원금'!$C$6:$C$92,"중국",'09_CF_원금'!$A$6:$A$92,"&lt;="&amp;$A19)+SUMIFS('09_CF_원금'!$E$6:$E$92,'09_CF_원금'!$D$6:$D$92,"업비트",'09_CF_원금'!$A$6:$A$92,"&lt;="&amp;$A19)-SUMIFS('09_CF_원금'!$E$6:$E$92,'09_CF_원금'!$C$6:$C$92,"업비트",'09_CF_원금'!$A$6:$A$92,"&lt;="&amp;$A19))</f>
        <v/>
      </c>
      <c r="AB19" s="249">
        <f>IF(OR(U19="",V19=""),"",U19-(V19-IF(S19="",0,S19)))</f>
        <v/>
      </c>
      <c r="AC19" s="249">
        <f>IF(AB19="","",T19+AB19)</f>
        <v/>
      </c>
      <c r="AD19" s="249">
        <f>IF(B19="","",MAX($B$5:B19))</f>
        <v/>
      </c>
      <c r="AE19" s="256" t="n">
        <v>25830</v>
      </c>
      <c r="AF19" s="255" t="n">
        <v>178746935</v>
      </c>
      <c r="AG19" s="255" t="n">
        <v>133878053</v>
      </c>
      <c r="AH19" s="255" t="n">
        <v>37408859</v>
      </c>
      <c r="AI19" s="255" t="n">
        <v>6973590</v>
      </c>
      <c r="AJ19" s="257">
        <f>IF($A19="","",YEAR($A19)*100+MONTH($A19))</f>
        <v/>
      </c>
      <c r="AK19" s="257">
        <f>IF($A19="","",IF($N19="",0,1))</f>
        <v/>
      </c>
    </row>
    <row r="20">
      <c r="A20" s="247" t="n">
        <v>46029</v>
      </c>
      <c r="B20" s="248">
        <f>IF(V20&lt;&gt;"",V20-T20,IF(AF20&lt;&gt;"",AA20+AF20,""))</f>
        <v/>
      </c>
      <c r="C20" s="249">
        <f>IF(OR(B20="",B19=""),"",B20-B19)</f>
        <v/>
      </c>
      <c r="D20" s="248">
        <f>IF(OR(B20="",AA20=""),"",B20-AA20)</f>
        <v/>
      </c>
      <c r="E20" s="250">
        <f>IF(OR(B20="",AD20=0),"",MIN(0,B20/AD20-1))</f>
        <v/>
      </c>
      <c r="F20" s="250">
        <f>IF(OR(U20="",T20=0,T20=""),"",(P20-T20*1.4)/U20)</f>
        <v/>
      </c>
      <c r="G20" s="251">
        <f>IF(OR(AC20="",'09_CF_원금'!$B$108=0),"",AC20/'09_CF_원금'!$B$108)</f>
        <v/>
      </c>
      <c r="H20" s="250">
        <f>IF(OR(U20="",U20=0,AC20=""),"",AC20/U20)</f>
        <v/>
      </c>
      <c r="I20" s="250">
        <f>IF(OR(S20="",U20=""),"",S20/(U20+S20))</f>
        <v/>
      </c>
      <c r="J20" s="248">
        <f>IF(W20&lt;&gt;"",W20-X20,IF(AG20&lt;&gt;"",AG20,""))</f>
        <v/>
      </c>
      <c r="K20" s="248">
        <f>IF(Q20&lt;&gt;"",Q20-Y20,IF(AH20&lt;&gt;"",AH20,""))</f>
        <v/>
      </c>
      <c r="L20" s="248">
        <f>IF(R20&lt;&gt;"",R20-Z20,IF(AI20&lt;&gt;"",AI20,""))</f>
        <v/>
      </c>
      <c r="M20" s="252" t="n"/>
      <c r="N20" s="253" t="n"/>
      <c r="O20" s="254" t="n"/>
      <c r="P20" s="255" t="n"/>
      <c r="Q20" s="258">
        <f>IF($A20="","",IF(Q19="","",Q19))</f>
        <v/>
      </c>
      <c r="R20" s="258">
        <f>IF($A20="","",IF(R19="","",R19))</f>
        <v/>
      </c>
      <c r="S20" s="258">
        <f>IF($A20="","",IF(S19="","",S19))</f>
        <v/>
      </c>
      <c r="T20" s="249">
        <f>IF(OR(P20="",W20=""),"",P20-W20)</f>
        <v/>
      </c>
      <c r="U20" s="258">
        <f>IF($A20="","",IF(U19="","",U19))</f>
        <v/>
      </c>
      <c r="V20" s="249">
        <f>IF(P20="","",P20+IF(Q20="",0,Q20)+IF(R20="",0,R20))</f>
        <v/>
      </c>
      <c r="W20" s="255" t="n"/>
      <c r="X20" s="249">
        <f>SUMIFS('09_CF_원금'!$E$6:$E$92,'09_CF_원금'!$D$6:$D$92,"국장",'09_CF_원금'!$A$6:$A$92,"&lt;="&amp;$A20)-SUMIFS('09_CF_원금'!$E$6:$E$92,'09_CF_원금'!$C$6:$C$92,"국장",'09_CF_원금'!$A$6:$A$92,"&lt;="&amp;$A20)</f>
        <v/>
      </c>
      <c r="Y20" s="249">
        <f>SUMIFS('09_CF_원금'!$E$6:$E$92,'09_CF_원금'!$D$6:$D$92,"미장",'09_CF_원금'!$A$6:$A$92,"&lt;="&amp;$A20)-SUMIFS('09_CF_원금'!$E$6:$E$92,'09_CF_원금'!$C$6:$C$92,"미장",'09_CF_원금'!$A$6:$A$92,"&lt;="&amp;$A20)</f>
        <v/>
      </c>
      <c r="Z20" s="249">
        <f>SUMIFS('09_CF_원금'!$E$6:$E$92,'09_CF_원금'!$D$6:$D$92,"ISA",'09_CF_원금'!$A$6:$A$92,"&lt;="&amp;$A20)-SUMIFS('09_CF_원금'!$E$6:$E$92,'09_CF_원금'!$C$6:$C$92,"ISA",'09_CF_원금'!$A$6:$A$92,"&lt;="&amp;$A20)</f>
        <v/>
      </c>
      <c r="AA20" s="249">
        <f>IF($A20="","",X20+Y20+Z20+SUMIFS('09_CF_원금'!$E$6:$E$92,'09_CF_원금'!$D$6:$D$92,"중국",'09_CF_원금'!$A$6:$A$92,"&lt;="&amp;$A20)-SUMIFS('09_CF_원금'!$E$6:$E$92,'09_CF_원금'!$C$6:$C$92,"중국",'09_CF_원금'!$A$6:$A$92,"&lt;="&amp;$A20)+SUMIFS('09_CF_원금'!$E$6:$E$92,'09_CF_원금'!$D$6:$D$92,"업비트",'09_CF_원금'!$A$6:$A$92,"&lt;="&amp;$A20)-SUMIFS('09_CF_원금'!$E$6:$E$92,'09_CF_원금'!$C$6:$C$92,"업비트",'09_CF_원금'!$A$6:$A$92,"&lt;="&amp;$A20))</f>
        <v/>
      </c>
      <c r="AB20" s="249">
        <f>IF(OR(U20="",V20=""),"",U20-(V20-IF(S20="",0,S20)))</f>
        <v/>
      </c>
      <c r="AC20" s="249">
        <f>IF(AB20="","",T20+AB20)</f>
        <v/>
      </c>
      <c r="AD20" s="249">
        <f>IF(B20="","",MAX($B$5:B20))</f>
        <v/>
      </c>
      <c r="AE20" s="256" t="n"/>
      <c r="AF20" s="255" t="n"/>
      <c r="AG20" s="255" t="n"/>
      <c r="AH20" s="255" t="n"/>
      <c r="AI20" s="255" t="n"/>
      <c r="AJ20" s="257">
        <f>IF($A20="","",YEAR($A20)*100+MONTH($A20))</f>
        <v/>
      </c>
      <c r="AK20" s="257">
        <f>IF($A20="","",IF($N20="",0,1))</f>
        <v/>
      </c>
    </row>
    <row r="21">
      <c r="A21" s="247" t="n">
        <v>46030</v>
      </c>
      <c r="B21" s="248">
        <f>IF(V21&lt;&gt;"",V21-T21,IF(AF21&lt;&gt;"",AA21+AF21,""))</f>
        <v/>
      </c>
      <c r="C21" s="249">
        <f>IF(OR(B21="",B20=""),"",B21-B20)</f>
        <v/>
      </c>
      <c r="D21" s="248">
        <f>IF(OR(B21="",AA21=""),"",B21-AA21)</f>
        <v/>
      </c>
      <c r="E21" s="250">
        <f>IF(OR(B21="",AD21=0),"",MIN(0,B21/AD21-1))</f>
        <v/>
      </c>
      <c r="F21" s="250">
        <f>IF(OR(U21="",T21=0,T21=""),"",(P21-T21*1.4)/U21)</f>
        <v/>
      </c>
      <c r="G21" s="251">
        <f>IF(OR(AC21="",'09_CF_원금'!$B$108=0),"",AC21/'09_CF_원금'!$B$108)</f>
        <v/>
      </c>
      <c r="H21" s="250">
        <f>IF(OR(U21="",U21=0,AC21=""),"",AC21/U21)</f>
        <v/>
      </c>
      <c r="I21" s="250">
        <f>IF(OR(S21="",U21=""),"",S21/(U21+S21))</f>
        <v/>
      </c>
      <c r="J21" s="248">
        <f>IF(W21&lt;&gt;"",W21-X21,IF(AG21&lt;&gt;"",AG21,""))</f>
        <v/>
      </c>
      <c r="K21" s="248">
        <f>IF(Q21&lt;&gt;"",Q21-Y21,IF(AH21&lt;&gt;"",AH21,""))</f>
        <v/>
      </c>
      <c r="L21" s="248">
        <f>IF(R21&lt;&gt;"",R21-Z21,IF(AI21&lt;&gt;"",AI21,""))</f>
        <v/>
      </c>
      <c r="M21" s="252" t="n"/>
      <c r="N21" s="253" t="n"/>
      <c r="O21" s="254" t="n"/>
      <c r="P21" s="255" t="n"/>
      <c r="Q21" s="258">
        <f>IF($A21="","",IF(Q20="","",Q20))</f>
        <v/>
      </c>
      <c r="R21" s="258">
        <f>IF($A21="","",IF(R20="","",R20))</f>
        <v/>
      </c>
      <c r="S21" s="258">
        <f>IF($A21="","",IF(S20="","",S20))</f>
        <v/>
      </c>
      <c r="T21" s="249">
        <f>IF(OR(P21="",W21=""),"",P21-W21)</f>
        <v/>
      </c>
      <c r="U21" s="258">
        <f>IF($A21="","",IF(U20="","",U20))</f>
        <v/>
      </c>
      <c r="V21" s="249">
        <f>IF(P21="","",P21+IF(Q21="",0,Q21)+IF(R21="",0,R21))</f>
        <v/>
      </c>
      <c r="W21" s="255" t="n"/>
      <c r="X21" s="249">
        <f>SUMIFS('09_CF_원금'!$E$6:$E$92,'09_CF_원금'!$D$6:$D$92,"국장",'09_CF_원금'!$A$6:$A$92,"&lt;="&amp;$A21)-SUMIFS('09_CF_원금'!$E$6:$E$92,'09_CF_원금'!$C$6:$C$92,"국장",'09_CF_원금'!$A$6:$A$92,"&lt;="&amp;$A21)</f>
        <v/>
      </c>
      <c r="Y21" s="249">
        <f>SUMIFS('09_CF_원금'!$E$6:$E$92,'09_CF_원금'!$D$6:$D$92,"미장",'09_CF_원금'!$A$6:$A$92,"&lt;="&amp;$A21)-SUMIFS('09_CF_원금'!$E$6:$E$92,'09_CF_원금'!$C$6:$C$92,"미장",'09_CF_원금'!$A$6:$A$92,"&lt;="&amp;$A21)</f>
        <v/>
      </c>
      <c r="Z21" s="249">
        <f>SUMIFS('09_CF_원금'!$E$6:$E$92,'09_CF_원금'!$D$6:$D$92,"ISA",'09_CF_원금'!$A$6:$A$92,"&lt;="&amp;$A21)-SUMIFS('09_CF_원금'!$E$6:$E$92,'09_CF_원금'!$C$6:$C$92,"ISA",'09_CF_원금'!$A$6:$A$92,"&lt;="&amp;$A21)</f>
        <v/>
      </c>
      <c r="AA21" s="249">
        <f>IF($A21="","",X21+Y21+Z21+SUMIFS('09_CF_원금'!$E$6:$E$92,'09_CF_원금'!$D$6:$D$92,"중국",'09_CF_원금'!$A$6:$A$92,"&lt;="&amp;$A21)-SUMIFS('09_CF_원금'!$E$6:$E$92,'09_CF_원금'!$C$6:$C$92,"중국",'09_CF_원금'!$A$6:$A$92,"&lt;="&amp;$A21)+SUMIFS('09_CF_원금'!$E$6:$E$92,'09_CF_원금'!$D$6:$D$92,"업비트",'09_CF_원금'!$A$6:$A$92,"&lt;="&amp;$A21)-SUMIFS('09_CF_원금'!$E$6:$E$92,'09_CF_원금'!$C$6:$C$92,"업비트",'09_CF_원금'!$A$6:$A$92,"&lt;="&amp;$A21))</f>
        <v/>
      </c>
      <c r="AB21" s="249">
        <f>IF(OR(U21="",V21=""),"",U21-(V21-IF(S21="",0,S21)))</f>
        <v/>
      </c>
      <c r="AC21" s="249">
        <f>IF(AB21="","",T21+AB21)</f>
        <v/>
      </c>
      <c r="AD21" s="249">
        <f>IF(B21="","",MAX($B$5:B21))</f>
        <v/>
      </c>
      <c r="AE21" s="256" t="n"/>
      <c r="AF21" s="255" t="n"/>
      <c r="AG21" s="255" t="n"/>
      <c r="AH21" s="255" t="n"/>
      <c r="AI21" s="255" t="n"/>
      <c r="AJ21" s="257">
        <f>IF($A21="","",YEAR($A21)*100+MONTH($A21))</f>
        <v/>
      </c>
      <c r="AK21" s="257">
        <f>IF($A21="","",IF($N21="",0,1))</f>
        <v/>
      </c>
    </row>
    <row r="22">
      <c r="A22" s="247" t="n">
        <v>46031</v>
      </c>
      <c r="B22" s="248">
        <f>IF(V22&lt;&gt;"",V22-T22,IF(AF22&lt;&gt;"",AA22+AF22,""))</f>
        <v/>
      </c>
      <c r="C22" s="249">
        <f>IF(OR(B22="",B21=""),"",B22-B21)</f>
        <v/>
      </c>
      <c r="D22" s="248">
        <f>IF(OR(B22="",AA22=""),"",B22-AA22)</f>
        <v/>
      </c>
      <c r="E22" s="250">
        <f>IF(OR(B22="",AD22=0),"",MIN(0,B22/AD22-1))</f>
        <v/>
      </c>
      <c r="F22" s="250">
        <f>IF(OR(U22="",T22=0,T22=""),"",(P22-T22*1.4)/U22)</f>
        <v/>
      </c>
      <c r="G22" s="251">
        <f>IF(OR(AC22="",'09_CF_원금'!$B$108=0),"",AC22/'09_CF_원금'!$B$108)</f>
        <v/>
      </c>
      <c r="H22" s="250">
        <f>IF(OR(U22="",U22=0,AC22=""),"",AC22/U22)</f>
        <v/>
      </c>
      <c r="I22" s="250">
        <f>IF(OR(S22="",U22=""),"",S22/(U22+S22))</f>
        <v/>
      </c>
      <c r="J22" s="248">
        <f>IF(W22&lt;&gt;"",W22-X22,IF(AG22&lt;&gt;"",AG22,""))</f>
        <v/>
      </c>
      <c r="K22" s="248">
        <f>IF(Q22&lt;&gt;"",Q22-Y22,IF(AH22&lt;&gt;"",AH22,""))</f>
        <v/>
      </c>
      <c r="L22" s="248">
        <f>IF(R22&lt;&gt;"",R22-Z22,IF(AI22&lt;&gt;"",AI22,""))</f>
        <v/>
      </c>
      <c r="M22" s="252" t="n"/>
      <c r="N22" s="253" t="n"/>
      <c r="O22" s="254" t="n"/>
      <c r="P22" s="255" t="n"/>
      <c r="Q22" s="258">
        <f>IF($A22="","",IF(Q21="","",Q21))</f>
        <v/>
      </c>
      <c r="R22" s="258">
        <f>IF($A22="","",IF(R21="","",R21))</f>
        <v/>
      </c>
      <c r="S22" s="258">
        <f>IF($A22="","",IF(S21="","",S21))</f>
        <v/>
      </c>
      <c r="T22" s="249">
        <f>IF(OR(P22="",W22=""),"",P22-W22)</f>
        <v/>
      </c>
      <c r="U22" s="258">
        <f>IF($A22="","",IF(U21="","",U21))</f>
        <v/>
      </c>
      <c r="V22" s="249">
        <f>IF(P22="","",P22+IF(Q22="",0,Q22)+IF(R22="",0,R22))</f>
        <v/>
      </c>
      <c r="W22" s="255" t="n"/>
      <c r="X22" s="249">
        <f>SUMIFS('09_CF_원금'!$E$6:$E$92,'09_CF_원금'!$D$6:$D$92,"국장",'09_CF_원금'!$A$6:$A$92,"&lt;="&amp;$A22)-SUMIFS('09_CF_원금'!$E$6:$E$92,'09_CF_원금'!$C$6:$C$92,"국장",'09_CF_원금'!$A$6:$A$92,"&lt;="&amp;$A22)</f>
        <v/>
      </c>
      <c r="Y22" s="249">
        <f>SUMIFS('09_CF_원금'!$E$6:$E$92,'09_CF_원금'!$D$6:$D$92,"미장",'09_CF_원금'!$A$6:$A$92,"&lt;="&amp;$A22)-SUMIFS('09_CF_원금'!$E$6:$E$92,'09_CF_원금'!$C$6:$C$92,"미장",'09_CF_원금'!$A$6:$A$92,"&lt;="&amp;$A22)</f>
        <v/>
      </c>
      <c r="Z22" s="249">
        <f>SUMIFS('09_CF_원금'!$E$6:$E$92,'09_CF_원금'!$D$6:$D$92,"ISA",'09_CF_원금'!$A$6:$A$92,"&lt;="&amp;$A22)-SUMIFS('09_CF_원금'!$E$6:$E$92,'09_CF_원금'!$C$6:$C$92,"ISA",'09_CF_원금'!$A$6:$A$92,"&lt;="&amp;$A22)</f>
        <v/>
      </c>
      <c r="AA22" s="249">
        <f>IF($A22="","",X22+Y22+Z22+SUMIFS('09_CF_원금'!$E$6:$E$92,'09_CF_원금'!$D$6:$D$92,"중국",'09_CF_원금'!$A$6:$A$92,"&lt;="&amp;$A22)-SUMIFS('09_CF_원금'!$E$6:$E$92,'09_CF_원금'!$C$6:$C$92,"중국",'09_CF_원금'!$A$6:$A$92,"&lt;="&amp;$A22)+SUMIFS('09_CF_원금'!$E$6:$E$92,'09_CF_원금'!$D$6:$D$92,"업비트",'09_CF_원금'!$A$6:$A$92,"&lt;="&amp;$A22)-SUMIFS('09_CF_원금'!$E$6:$E$92,'09_CF_원금'!$C$6:$C$92,"업비트",'09_CF_원금'!$A$6:$A$92,"&lt;="&amp;$A22))</f>
        <v/>
      </c>
      <c r="AB22" s="249">
        <f>IF(OR(U22="",V22=""),"",U22-(V22-IF(S22="",0,S22)))</f>
        <v/>
      </c>
      <c r="AC22" s="249">
        <f>IF(AB22="","",T22+AB22)</f>
        <v/>
      </c>
      <c r="AD22" s="249">
        <f>IF(B22="","",MAX($B$5:B22))</f>
        <v/>
      </c>
      <c r="AE22" s="256" t="n">
        <v>25938.25</v>
      </c>
      <c r="AF22" s="255" t="n">
        <v>200031674</v>
      </c>
      <c r="AG22" s="255" t="n">
        <v>153648785</v>
      </c>
      <c r="AH22" s="255" t="n">
        <v>38710402</v>
      </c>
      <c r="AI22" s="255" t="n">
        <v>7450286</v>
      </c>
      <c r="AJ22" s="257">
        <f>IF($A22="","",YEAR($A22)*100+MONTH($A22))</f>
        <v/>
      </c>
      <c r="AK22" s="257">
        <f>IF($A22="","",IF($N22="",0,1))</f>
        <v/>
      </c>
    </row>
    <row r="23">
      <c r="A23" s="247" t="n">
        <v>46034</v>
      </c>
      <c r="B23" s="248">
        <f>IF(V23&lt;&gt;"",V23-T23,IF(AF23&lt;&gt;"",AA23+AF23,""))</f>
        <v/>
      </c>
      <c r="C23" s="249">
        <f>IF(OR(B23="",B22=""),"",B23-B22)</f>
        <v/>
      </c>
      <c r="D23" s="248">
        <f>IF(OR(B23="",AA23=""),"",B23-AA23)</f>
        <v/>
      </c>
      <c r="E23" s="250">
        <f>IF(OR(B23="",AD23=0),"",MIN(0,B23/AD23-1))</f>
        <v/>
      </c>
      <c r="F23" s="250">
        <f>IF(OR(U23="",T23=0,T23=""),"",(P23-T23*1.4)/U23)</f>
        <v/>
      </c>
      <c r="G23" s="251">
        <f>IF(OR(AC23="",'09_CF_원금'!$B$108=0),"",AC23/'09_CF_원금'!$B$108)</f>
        <v/>
      </c>
      <c r="H23" s="250">
        <f>IF(OR(U23="",U23=0,AC23=""),"",AC23/U23)</f>
        <v/>
      </c>
      <c r="I23" s="250">
        <f>IF(OR(S23="",U23=""),"",S23/(U23+S23))</f>
        <v/>
      </c>
      <c r="J23" s="248">
        <f>IF(W23&lt;&gt;"",W23-X23,IF(AG23&lt;&gt;"",AG23,""))</f>
        <v/>
      </c>
      <c r="K23" s="248">
        <f>IF(Q23&lt;&gt;"",Q23-Y23,IF(AH23&lt;&gt;"",AH23,""))</f>
        <v/>
      </c>
      <c r="L23" s="248">
        <f>IF(R23&lt;&gt;"",R23-Z23,IF(AI23&lt;&gt;"",AI23,""))</f>
        <v/>
      </c>
      <c r="M23" s="252" t="n"/>
      <c r="N23" s="253" t="n"/>
      <c r="O23" s="254" t="n"/>
      <c r="P23" s="255" t="n"/>
      <c r="Q23" s="258">
        <f>IF($A23="","",IF(Q22="","",Q22))</f>
        <v/>
      </c>
      <c r="R23" s="258">
        <f>IF($A23="","",IF(R22="","",R22))</f>
        <v/>
      </c>
      <c r="S23" s="258">
        <f>IF($A23="","",IF(S22="","",S22))</f>
        <v/>
      </c>
      <c r="T23" s="249">
        <f>IF(OR(P23="",W23=""),"",P23-W23)</f>
        <v/>
      </c>
      <c r="U23" s="258">
        <f>IF($A23="","",IF(U22="","",U22))</f>
        <v/>
      </c>
      <c r="V23" s="249">
        <f>IF(P23="","",P23+IF(Q23="",0,Q23)+IF(R23="",0,R23))</f>
        <v/>
      </c>
      <c r="W23" s="255" t="n"/>
      <c r="X23" s="249">
        <f>SUMIFS('09_CF_원금'!$E$6:$E$92,'09_CF_원금'!$D$6:$D$92,"국장",'09_CF_원금'!$A$6:$A$92,"&lt;="&amp;$A23)-SUMIFS('09_CF_원금'!$E$6:$E$92,'09_CF_원금'!$C$6:$C$92,"국장",'09_CF_원금'!$A$6:$A$92,"&lt;="&amp;$A23)</f>
        <v/>
      </c>
      <c r="Y23" s="249">
        <f>SUMIFS('09_CF_원금'!$E$6:$E$92,'09_CF_원금'!$D$6:$D$92,"미장",'09_CF_원금'!$A$6:$A$92,"&lt;="&amp;$A23)-SUMIFS('09_CF_원금'!$E$6:$E$92,'09_CF_원금'!$C$6:$C$92,"미장",'09_CF_원금'!$A$6:$A$92,"&lt;="&amp;$A23)</f>
        <v/>
      </c>
      <c r="Z23" s="249">
        <f>SUMIFS('09_CF_원금'!$E$6:$E$92,'09_CF_원금'!$D$6:$D$92,"ISA",'09_CF_원금'!$A$6:$A$92,"&lt;="&amp;$A23)-SUMIFS('09_CF_원금'!$E$6:$E$92,'09_CF_원금'!$C$6:$C$92,"ISA",'09_CF_원금'!$A$6:$A$92,"&lt;="&amp;$A23)</f>
        <v/>
      </c>
      <c r="AA23" s="249">
        <f>IF($A23="","",X23+Y23+Z23+SUMIFS('09_CF_원금'!$E$6:$E$92,'09_CF_원금'!$D$6:$D$92,"중국",'09_CF_원금'!$A$6:$A$92,"&lt;="&amp;$A23)-SUMIFS('09_CF_원금'!$E$6:$E$92,'09_CF_원금'!$C$6:$C$92,"중국",'09_CF_원금'!$A$6:$A$92,"&lt;="&amp;$A23)+SUMIFS('09_CF_원금'!$E$6:$E$92,'09_CF_원금'!$D$6:$D$92,"업비트",'09_CF_원금'!$A$6:$A$92,"&lt;="&amp;$A23)-SUMIFS('09_CF_원금'!$E$6:$E$92,'09_CF_원금'!$C$6:$C$92,"업비트",'09_CF_원금'!$A$6:$A$92,"&lt;="&amp;$A23))</f>
        <v/>
      </c>
      <c r="AB23" s="249">
        <f>IF(OR(U23="",V23=""),"",U23-(V23-IF(S23="",0,S23)))</f>
        <v/>
      </c>
      <c r="AC23" s="249">
        <f>IF(AB23="","",T23+AB23)</f>
        <v/>
      </c>
      <c r="AD23" s="249">
        <f>IF(B23="","",MAX($B$5:B23))</f>
        <v/>
      </c>
      <c r="AE23" s="256" t="n"/>
      <c r="AF23" s="255" t="n"/>
      <c r="AG23" s="255" t="n"/>
      <c r="AH23" s="255" t="n"/>
      <c r="AI23" s="255" t="n"/>
      <c r="AJ23" s="257">
        <f>IF($A23="","",YEAR($A23)*100+MONTH($A23))</f>
        <v/>
      </c>
      <c r="AK23" s="257">
        <f>IF($A23="","",IF($N23="",0,1))</f>
        <v/>
      </c>
    </row>
    <row r="24">
      <c r="A24" s="247" t="n">
        <v>46035</v>
      </c>
      <c r="B24" s="248">
        <f>IF(V24&lt;&gt;"",V24-T24,IF(AF24&lt;&gt;"",AA24+AF24,""))</f>
        <v/>
      </c>
      <c r="C24" s="249">
        <f>IF(OR(B24="",B23=""),"",B24-B23)</f>
        <v/>
      </c>
      <c r="D24" s="248">
        <f>IF(OR(B24="",AA24=""),"",B24-AA24)</f>
        <v/>
      </c>
      <c r="E24" s="250">
        <f>IF(OR(B24="",AD24=0),"",MIN(0,B24/AD24-1))</f>
        <v/>
      </c>
      <c r="F24" s="250">
        <f>IF(OR(U24="",T24=0,T24=""),"",(P24-T24*1.4)/U24)</f>
        <v/>
      </c>
      <c r="G24" s="251">
        <f>IF(OR(AC24="",'09_CF_원금'!$B$108=0),"",AC24/'09_CF_원금'!$B$108)</f>
        <v/>
      </c>
      <c r="H24" s="250">
        <f>IF(OR(U24="",U24=0,AC24=""),"",AC24/U24)</f>
        <v/>
      </c>
      <c r="I24" s="250">
        <f>IF(OR(S24="",U24=""),"",S24/(U24+S24))</f>
        <v/>
      </c>
      <c r="J24" s="248">
        <f>IF(W24&lt;&gt;"",W24-X24,IF(AG24&lt;&gt;"",AG24,""))</f>
        <v/>
      </c>
      <c r="K24" s="248">
        <f>IF(Q24&lt;&gt;"",Q24-Y24,IF(AH24&lt;&gt;"",AH24,""))</f>
        <v/>
      </c>
      <c r="L24" s="248">
        <f>IF(R24&lt;&gt;"",R24-Z24,IF(AI24&lt;&gt;"",AI24,""))</f>
        <v/>
      </c>
      <c r="M24" s="252" t="n"/>
      <c r="N24" s="253" t="n"/>
      <c r="O24" s="254" t="n"/>
      <c r="P24" s="255" t="n"/>
      <c r="Q24" s="258">
        <f>IF($A24="","",IF(Q23="","",Q23))</f>
        <v/>
      </c>
      <c r="R24" s="258">
        <f>IF($A24="","",IF(R23="","",R23))</f>
        <v/>
      </c>
      <c r="S24" s="258">
        <f>IF($A24="","",IF(S23="","",S23))</f>
        <v/>
      </c>
      <c r="T24" s="249">
        <f>IF(OR(P24="",W24=""),"",P24-W24)</f>
        <v/>
      </c>
      <c r="U24" s="258">
        <f>IF($A24="","",IF(U23="","",U23))</f>
        <v/>
      </c>
      <c r="V24" s="249">
        <f>IF(P24="","",P24+IF(Q24="",0,Q24)+IF(R24="",0,R24))</f>
        <v/>
      </c>
      <c r="W24" s="255" t="n"/>
      <c r="X24" s="249">
        <f>SUMIFS('09_CF_원금'!$E$6:$E$92,'09_CF_원금'!$D$6:$D$92,"국장",'09_CF_원금'!$A$6:$A$92,"&lt;="&amp;$A24)-SUMIFS('09_CF_원금'!$E$6:$E$92,'09_CF_원금'!$C$6:$C$92,"국장",'09_CF_원금'!$A$6:$A$92,"&lt;="&amp;$A24)</f>
        <v/>
      </c>
      <c r="Y24" s="249">
        <f>SUMIFS('09_CF_원금'!$E$6:$E$92,'09_CF_원금'!$D$6:$D$92,"미장",'09_CF_원금'!$A$6:$A$92,"&lt;="&amp;$A24)-SUMIFS('09_CF_원금'!$E$6:$E$92,'09_CF_원금'!$C$6:$C$92,"미장",'09_CF_원금'!$A$6:$A$92,"&lt;="&amp;$A24)</f>
        <v/>
      </c>
      <c r="Z24" s="249">
        <f>SUMIFS('09_CF_원금'!$E$6:$E$92,'09_CF_원금'!$D$6:$D$92,"ISA",'09_CF_원금'!$A$6:$A$92,"&lt;="&amp;$A24)-SUMIFS('09_CF_원금'!$E$6:$E$92,'09_CF_원금'!$C$6:$C$92,"ISA",'09_CF_원금'!$A$6:$A$92,"&lt;="&amp;$A24)</f>
        <v/>
      </c>
      <c r="AA24" s="249">
        <f>IF($A24="","",X24+Y24+Z24+SUMIFS('09_CF_원금'!$E$6:$E$92,'09_CF_원금'!$D$6:$D$92,"중국",'09_CF_원금'!$A$6:$A$92,"&lt;="&amp;$A24)-SUMIFS('09_CF_원금'!$E$6:$E$92,'09_CF_원금'!$C$6:$C$92,"중국",'09_CF_원금'!$A$6:$A$92,"&lt;="&amp;$A24)+SUMIFS('09_CF_원금'!$E$6:$E$92,'09_CF_원금'!$D$6:$D$92,"업비트",'09_CF_원금'!$A$6:$A$92,"&lt;="&amp;$A24)-SUMIFS('09_CF_원금'!$E$6:$E$92,'09_CF_원금'!$C$6:$C$92,"업비트",'09_CF_원금'!$A$6:$A$92,"&lt;="&amp;$A24))</f>
        <v/>
      </c>
      <c r="AB24" s="249">
        <f>IF(OR(U24="",V24=""),"",U24-(V24-IF(S24="",0,S24)))</f>
        <v/>
      </c>
      <c r="AC24" s="249">
        <f>IF(AB24="","",T24+AB24)</f>
        <v/>
      </c>
      <c r="AD24" s="249">
        <f>IF(B24="","",MAX($B$5:B24))</f>
        <v/>
      </c>
      <c r="AE24" s="256" t="n">
        <v>25896.75</v>
      </c>
      <c r="AF24" s="255" t="n">
        <v>187489663</v>
      </c>
      <c r="AG24" s="255" t="n">
        <v>133885826</v>
      </c>
      <c r="AH24" s="255" t="n">
        <v>45222364</v>
      </c>
      <c r="AI24" s="255" t="n">
        <v>8381473</v>
      </c>
      <c r="AJ24" s="257">
        <f>IF($A24="","",YEAR($A24)*100+MONTH($A24))</f>
        <v/>
      </c>
      <c r="AK24" s="257">
        <f>IF($A24="","",IF($N24="",0,1))</f>
        <v/>
      </c>
    </row>
    <row r="25">
      <c r="A25" s="247" t="n">
        <v>46036</v>
      </c>
      <c r="B25" s="248">
        <f>IF(V25&lt;&gt;"",V25-T25,IF(AF25&lt;&gt;"",AA25+AF25,""))</f>
        <v/>
      </c>
      <c r="C25" s="249">
        <f>IF(OR(B25="",B24=""),"",B25-B24)</f>
        <v/>
      </c>
      <c r="D25" s="248">
        <f>IF(OR(B25="",AA25=""),"",B25-AA25)</f>
        <v/>
      </c>
      <c r="E25" s="250">
        <f>IF(OR(B25="",AD25=0),"",MIN(0,B25/AD25-1))</f>
        <v/>
      </c>
      <c r="F25" s="250">
        <f>IF(OR(U25="",T25=0,T25=""),"",(P25-T25*1.4)/U25)</f>
        <v/>
      </c>
      <c r="G25" s="251">
        <f>IF(OR(AC25="",'09_CF_원금'!$B$108=0),"",AC25/'09_CF_원금'!$B$108)</f>
        <v/>
      </c>
      <c r="H25" s="250">
        <f>IF(OR(U25="",U25=0,AC25=""),"",AC25/U25)</f>
        <v/>
      </c>
      <c r="I25" s="250">
        <f>IF(OR(S25="",U25=""),"",S25/(U25+S25))</f>
        <v/>
      </c>
      <c r="J25" s="248">
        <f>IF(W25&lt;&gt;"",W25-X25,IF(AG25&lt;&gt;"",AG25,""))</f>
        <v/>
      </c>
      <c r="K25" s="248">
        <f>IF(Q25&lt;&gt;"",Q25-Y25,IF(AH25&lt;&gt;"",AH25,""))</f>
        <v/>
      </c>
      <c r="L25" s="248">
        <f>IF(R25&lt;&gt;"",R25-Z25,IF(AI25&lt;&gt;"",AI25,""))</f>
        <v/>
      </c>
      <c r="M25" s="252" t="n"/>
      <c r="N25" s="253" t="n"/>
      <c r="O25" s="254" t="n"/>
      <c r="P25" s="255" t="n"/>
      <c r="Q25" s="258">
        <f>IF($A25="","",IF(Q24="","",Q24))</f>
        <v/>
      </c>
      <c r="R25" s="258">
        <f>IF($A25="","",IF(R24="","",R24))</f>
        <v/>
      </c>
      <c r="S25" s="258">
        <f>IF($A25="","",IF(S24="","",S24))</f>
        <v/>
      </c>
      <c r="T25" s="249">
        <f>IF(OR(P25="",W25=""),"",P25-W25)</f>
        <v/>
      </c>
      <c r="U25" s="258">
        <f>IF($A25="","",IF(U24="","",U24))</f>
        <v/>
      </c>
      <c r="V25" s="249">
        <f>IF(P25="","",P25+IF(Q25="",0,Q25)+IF(R25="",0,R25))</f>
        <v/>
      </c>
      <c r="W25" s="255" t="n"/>
      <c r="X25" s="249">
        <f>SUMIFS('09_CF_원금'!$E$6:$E$92,'09_CF_원금'!$D$6:$D$92,"국장",'09_CF_원금'!$A$6:$A$92,"&lt;="&amp;$A25)-SUMIFS('09_CF_원금'!$E$6:$E$92,'09_CF_원금'!$C$6:$C$92,"국장",'09_CF_원금'!$A$6:$A$92,"&lt;="&amp;$A25)</f>
        <v/>
      </c>
      <c r="Y25" s="249">
        <f>SUMIFS('09_CF_원금'!$E$6:$E$92,'09_CF_원금'!$D$6:$D$92,"미장",'09_CF_원금'!$A$6:$A$92,"&lt;="&amp;$A25)-SUMIFS('09_CF_원금'!$E$6:$E$92,'09_CF_원금'!$C$6:$C$92,"미장",'09_CF_원금'!$A$6:$A$92,"&lt;="&amp;$A25)</f>
        <v/>
      </c>
      <c r="Z25" s="249">
        <f>SUMIFS('09_CF_원금'!$E$6:$E$92,'09_CF_원금'!$D$6:$D$92,"ISA",'09_CF_원금'!$A$6:$A$92,"&lt;="&amp;$A25)-SUMIFS('09_CF_원금'!$E$6:$E$92,'09_CF_원금'!$C$6:$C$92,"ISA",'09_CF_원금'!$A$6:$A$92,"&lt;="&amp;$A25)</f>
        <v/>
      </c>
      <c r="AA25" s="249">
        <f>IF($A25="","",X25+Y25+Z25+SUMIFS('09_CF_원금'!$E$6:$E$92,'09_CF_원금'!$D$6:$D$92,"중국",'09_CF_원금'!$A$6:$A$92,"&lt;="&amp;$A25)-SUMIFS('09_CF_원금'!$E$6:$E$92,'09_CF_원금'!$C$6:$C$92,"중국",'09_CF_원금'!$A$6:$A$92,"&lt;="&amp;$A25)+SUMIFS('09_CF_원금'!$E$6:$E$92,'09_CF_원금'!$D$6:$D$92,"업비트",'09_CF_원금'!$A$6:$A$92,"&lt;="&amp;$A25)-SUMIFS('09_CF_원금'!$E$6:$E$92,'09_CF_원금'!$C$6:$C$92,"업비트",'09_CF_원금'!$A$6:$A$92,"&lt;="&amp;$A25))</f>
        <v/>
      </c>
      <c r="AB25" s="249">
        <f>IF(OR(U25="",V25=""),"",U25-(V25-IF(S25="",0,S25)))</f>
        <v/>
      </c>
      <c r="AC25" s="249">
        <f>IF(AB25="","",T25+AB25)</f>
        <v/>
      </c>
      <c r="AD25" s="249">
        <f>IF(B25="","",MAX($B$5:B25))</f>
        <v/>
      </c>
      <c r="AE25" s="256" t="n"/>
      <c r="AF25" s="255" t="n"/>
      <c r="AG25" s="255" t="n"/>
      <c r="AH25" s="255" t="n"/>
      <c r="AI25" s="255" t="n"/>
      <c r="AJ25" s="257">
        <f>IF($A25="","",YEAR($A25)*100+MONTH($A25))</f>
        <v/>
      </c>
      <c r="AK25" s="257">
        <f>IF($A25="","",IF($N25="",0,1))</f>
        <v/>
      </c>
    </row>
    <row r="26">
      <c r="A26" s="247" t="n">
        <v>46037</v>
      </c>
      <c r="B26" s="248">
        <f>IF(V26&lt;&gt;"",V26-T26,IF(AF26&lt;&gt;"",AA26+AF26,""))</f>
        <v/>
      </c>
      <c r="C26" s="249">
        <f>IF(OR(B26="",B25=""),"",B26-B25)</f>
        <v/>
      </c>
      <c r="D26" s="248">
        <f>IF(OR(B26="",AA26=""),"",B26-AA26)</f>
        <v/>
      </c>
      <c r="E26" s="250">
        <f>IF(OR(B26="",AD26=0),"",MIN(0,B26/AD26-1))</f>
        <v/>
      </c>
      <c r="F26" s="250">
        <f>IF(OR(U26="",T26=0,T26=""),"",(P26-T26*1.4)/U26)</f>
        <v/>
      </c>
      <c r="G26" s="251">
        <f>IF(OR(AC26="",'09_CF_원금'!$B$108=0),"",AC26/'09_CF_원금'!$B$108)</f>
        <v/>
      </c>
      <c r="H26" s="250">
        <f>IF(OR(U26="",U26=0,AC26=""),"",AC26/U26)</f>
        <v/>
      </c>
      <c r="I26" s="250">
        <f>IF(OR(S26="",U26=""),"",S26/(U26+S26))</f>
        <v/>
      </c>
      <c r="J26" s="248">
        <f>IF(W26&lt;&gt;"",W26-X26,IF(AG26&lt;&gt;"",AG26,""))</f>
        <v/>
      </c>
      <c r="K26" s="248">
        <f>IF(Q26&lt;&gt;"",Q26-Y26,IF(AH26&lt;&gt;"",AH26,""))</f>
        <v/>
      </c>
      <c r="L26" s="248">
        <f>IF(R26&lt;&gt;"",R26-Z26,IF(AI26&lt;&gt;"",AI26,""))</f>
        <v/>
      </c>
      <c r="M26" s="252" t="n"/>
      <c r="N26" s="253" t="n"/>
      <c r="O26" s="254" t="n"/>
      <c r="P26" s="255" t="n"/>
      <c r="Q26" s="258">
        <f>IF($A26="","",IF(Q25="","",Q25))</f>
        <v/>
      </c>
      <c r="R26" s="258">
        <f>IF($A26="","",IF(R25="","",R25))</f>
        <v/>
      </c>
      <c r="S26" s="258">
        <f>IF($A26="","",IF(S25="","",S25))</f>
        <v/>
      </c>
      <c r="T26" s="249">
        <f>IF(OR(P26="",W26=""),"",P26-W26)</f>
        <v/>
      </c>
      <c r="U26" s="258">
        <f>IF($A26="","",IF(U25="","",U25))</f>
        <v/>
      </c>
      <c r="V26" s="249">
        <f>IF(P26="","",P26+IF(Q26="",0,Q26)+IF(R26="",0,R26))</f>
        <v/>
      </c>
      <c r="W26" s="255" t="n"/>
      <c r="X26" s="249">
        <f>SUMIFS('09_CF_원금'!$E$6:$E$92,'09_CF_원금'!$D$6:$D$92,"국장",'09_CF_원금'!$A$6:$A$92,"&lt;="&amp;$A26)-SUMIFS('09_CF_원금'!$E$6:$E$92,'09_CF_원금'!$C$6:$C$92,"국장",'09_CF_원금'!$A$6:$A$92,"&lt;="&amp;$A26)</f>
        <v/>
      </c>
      <c r="Y26" s="249">
        <f>SUMIFS('09_CF_원금'!$E$6:$E$92,'09_CF_원금'!$D$6:$D$92,"미장",'09_CF_원금'!$A$6:$A$92,"&lt;="&amp;$A26)-SUMIFS('09_CF_원금'!$E$6:$E$92,'09_CF_원금'!$C$6:$C$92,"미장",'09_CF_원금'!$A$6:$A$92,"&lt;="&amp;$A26)</f>
        <v/>
      </c>
      <c r="Z26" s="249">
        <f>SUMIFS('09_CF_원금'!$E$6:$E$92,'09_CF_원금'!$D$6:$D$92,"ISA",'09_CF_원금'!$A$6:$A$92,"&lt;="&amp;$A26)-SUMIFS('09_CF_원금'!$E$6:$E$92,'09_CF_원금'!$C$6:$C$92,"ISA",'09_CF_원금'!$A$6:$A$92,"&lt;="&amp;$A26)</f>
        <v/>
      </c>
      <c r="AA26" s="249">
        <f>IF($A26="","",X26+Y26+Z26+SUMIFS('09_CF_원금'!$E$6:$E$92,'09_CF_원금'!$D$6:$D$92,"중국",'09_CF_원금'!$A$6:$A$92,"&lt;="&amp;$A26)-SUMIFS('09_CF_원금'!$E$6:$E$92,'09_CF_원금'!$C$6:$C$92,"중국",'09_CF_원금'!$A$6:$A$92,"&lt;="&amp;$A26)+SUMIFS('09_CF_원금'!$E$6:$E$92,'09_CF_원금'!$D$6:$D$92,"업비트",'09_CF_원금'!$A$6:$A$92,"&lt;="&amp;$A26)-SUMIFS('09_CF_원금'!$E$6:$E$92,'09_CF_원금'!$C$6:$C$92,"업비트",'09_CF_원금'!$A$6:$A$92,"&lt;="&amp;$A26))</f>
        <v/>
      </c>
      <c r="AB26" s="249">
        <f>IF(OR(U26="",V26=""),"",U26-(V26-IF(S26="",0,S26)))</f>
        <v/>
      </c>
      <c r="AC26" s="249">
        <f>IF(AB26="","",T26+AB26)</f>
        <v/>
      </c>
      <c r="AD26" s="249">
        <f>IF(B26="","",MAX($B$5:B26))</f>
        <v/>
      </c>
      <c r="AE26" s="256" t="n"/>
      <c r="AF26" s="255" t="n"/>
      <c r="AG26" s="255" t="n"/>
      <c r="AH26" s="255" t="n"/>
      <c r="AI26" s="255" t="n"/>
      <c r="AJ26" s="257">
        <f>IF($A26="","",YEAR($A26)*100+MONTH($A26))</f>
        <v/>
      </c>
      <c r="AK26" s="257">
        <f>IF($A26="","",IF($N26="",0,1))</f>
        <v/>
      </c>
    </row>
    <row r="27">
      <c r="A27" s="247" t="n">
        <v>46038</v>
      </c>
      <c r="B27" s="248">
        <f>IF(V27&lt;&gt;"",V27-T27,IF(AF27&lt;&gt;"",AA27+AF27,""))</f>
        <v/>
      </c>
      <c r="C27" s="249">
        <f>IF(OR(B27="",B26=""),"",B27-B26)</f>
        <v/>
      </c>
      <c r="D27" s="248">
        <f>IF(OR(B27="",AA27=""),"",B27-AA27)</f>
        <v/>
      </c>
      <c r="E27" s="250">
        <f>IF(OR(B27="",AD27=0),"",MIN(0,B27/AD27-1))</f>
        <v/>
      </c>
      <c r="F27" s="250">
        <f>IF(OR(U27="",T27=0,T27=""),"",(P27-T27*1.4)/U27)</f>
        <v/>
      </c>
      <c r="G27" s="251">
        <f>IF(OR(AC27="",'09_CF_원금'!$B$108=0),"",AC27/'09_CF_원금'!$B$108)</f>
        <v/>
      </c>
      <c r="H27" s="250">
        <f>IF(OR(U27="",U27=0,AC27=""),"",AC27/U27)</f>
        <v/>
      </c>
      <c r="I27" s="250">
        <f>IF(OR(S27="",U27=""),"",S27/(U27+S27))</f>
        <v/>
      </c>
      <c r="J27" s="248">
        <f>IF(W27&lt;&gt;"",W27-X27,IF(AG27&lt;&gt;"",AG27,""))</f>
        <v/>
      </c>
      <c r="K27" s="248">
        <f>IF(Q27&lt;&gt;"",Q27-Y27,IF(AH27&lt;&gt;"",AH27,""))</f>
        <v/>
      </c>
      <c r="L27" s="248">
        <f>IF(R27&lt;&gt;"",R27-Z27,IF(AI27&lt;&gt;"",AI27,""))</f>
        <v/>
      </c>
      <c r="M27" s="252" t="n"/>
      <c r="N27" s="253" t="n"/>
      <c r="O27" s="254" t="n"/>
      <c r="P27" s="255" t="n"/>
      <c r="Q27" s="258">
        <f>IF($A27="","",IF(Q26="","",Q26))</f>
        <v/>
      </c>
      <c r="R27" s="258">
        <f>IF($A27="","",IF(R26="","",R26))</f>
        <v/>
      </c>
      <c r="S27" s="258">
        <f>IF($A27="","",IF(S26="","",S26))</f>
        <v/>
      </c>
      <c r="T27" s="249">
        <f>IF(OR(P27="",W27=""),"",P27-W27)</f>
        <v/>
      </c>
      <c r="U27" s="258">
        <f>IF($A27="","",IF(U26="","",U26))</f>
        <v/>
      </c>
      <c r="V27" s="249">
        <f>IF(P27="","",P27+IF(Q27="",0,Q27)+IF(R27="",0,R27))</f>
        <v/>
      </c>
      <c r="W27" s="255" t="n"/>
      <c r="X27" s="249">
        <f>SUMIFS('09_CF_원금'!$E$6:$E$92,'09_CF_원금'!$D$6:$D$92,"국장",'09_CF_원금'!$A$6:$A$92,"&lt;="&amp;$A27)-SUMIFS('09_CF_원금'!$E$6:$E$92,'09_CF_원금'!$C$6:$C$92,"국장",'09_CF_원금'!$A$6:$A$92,"&lt;="&amp;$A27)</f>
        <v/>
      </c>
      <c r="Y27" s="249">
        <f>SUMIFS('09_CF_원금'!$E$6:$E$92,'09_CF_원금'!$D$6:$D$92,"미장",'09_CF_원금'!$A$6:$A$92,"&lt;="&amp;$A27)-SUMIFS('09_CF_원금'!$E$6:$E$92,'09_CF_원금'!$C$6:$C$92,"미장",'09_CF_원금'!$A$6:$A$92,"&lt;="&amp;$A27)</f>
        <v/>
      </c>
      <c r="Z27" s="249">
        <f>SUMIFS('09_CF_원금'!$E$6:$E$92,'09_CF_원금'!$D$6:$D$92,"ISA",'09_CF_원금'!$A$6:$A$92,"&lt;="&amp;$A27)-SUMIFS('09_CF_원금'!$E$6:$E$92,'09_CF_원금'!$C$6:$C$92,"ISA",'09_CF_원금'!$A$6:$A$92,"&lt;="&amp;$A27)</f>
        <v/>
      </c>
      <c r="AA27" s="249">
        <f>IF($A27="","",X27+Y27+Z27+SUMIFS('09_CF_원금'!$E$6:$E$92,'09_CF_원금'!$D$6:$D$92,"중국",'09_CF_원금'!$A$6:$A$92,"&lt;="&amp;$A27)-SUMIFS('09_CF_원금'!$E$6:$E$92,'09_CF_원금'!$C$6:$C$92,"중국",'09_CF_원금'!$A$6:$A$92,"&lt;="&amp;$A27)+SUMIFS('09_CF_원금'!$E$6:$E$92,'09_CF_원금'!$D$6:$D$92,"업비트",'09_CF_원금'!$A$6:$A$92,"&lt;="&amp;$A27)-SUMIFS('09_CF_원금'!$E$6:$E$92,'09_CF_원금'!$C$6:$C$92,"업비트",'09_CF_원금'!$A$6:$A$92,"&lt;="&amp;$A27))</f>
        <v/>
      </c>
      <c r="AB27" s="249">
        <f>IF(OR(U27="",V27=""),"",U27-(V27-IF(S27="",0,S27)))</f>
        <v/>
      </c>
      <c r="AC27" s="249">
        <f>IF(AB27="","",T27+AB27)</f>
        <v/>
      </c>
      <c r="AD27" s="249">
        <f>IF(B27="","",MAX($B$5:B27))</f>
        <v/>
      </c>
      <c r="AE27" s="256" t="n"/>
      <c r="AF27" s="255" t="n"/>
      <c r="AG27" s="255" t="n"/>
      <c r="AH27" s="255" t="n"/>
      <c r="AI27" s="255" t="n"/>
      <c r="AJ27" s="257">
        <f>IF($A27="","",YEAR($A27)*100+MONTH($A27))</f>
        <v/>
      </c>
      <c r="AK27" s="257">
        <f>IF($A27="","",IF($N27="",0,1))</f>
        <v/>
      </c>
    </row>
    <row r="28">
      <c r="A28" s="247" t="n">
        <v>46041</v>
      </c>
      <c r="B28" s="248">
        <f>IF(V28&lt;&gt;"",V28-T28,IF(AF28&lt;&gt;"",AA28+AF28,""))</f>
        <v/>
      </c>
      <c r="C28" s="249">
        <f>IF(OR(B28="",B27=""),"",B28-B27)</f>
        <v/>
      </c>
      <c r="D28" s="248">
        <f>IF(OR(B28="",AA28=""),"",B28-AA28)</f>
        <v/>
      </c>
      <c r="E28" s="250">
        <f>IF(OR(B28="",AD28=0),"",MIN(0,B28/AD28-1))</f>
        <v/>
      </c>
      <c r="F28" s="250">
        <f>IF(OR(U28="",T28=0,T28=""),"",(P28-T28*1.4)/U28)</f>
        <v/>
      </c>
      <c r="G28" s="251">
        <f>IF(OR(AC28="",'09_CF_원금'!$B$108=0),"",AC28/'09_CF_원금'!$B$108)</f>
        <v/>
      </c>
      <c r="H28" s="250">
        <f>IF(OR(U28="",U28=0,AC28=""),"",AC28/U28)</f>
        <v/>
      </c>
      <c r="I28" s="250">
        <f>IF(OR(S28="",U28=""),"",S28/(U28+S28))</f>
        <v/>
      </c>
      <c r="J28" s="248">
        <f>IF(W28&lt;&gt;"",W28-X28,IF(AG28&lt;&gt;"",AG28,""))</f>
        <v/>
      </c>
      <c r="K28" s="248">
        <f>IF(Q28&lt;&gt;"",Q28-Y28,IF(AH28&lt;&gt;"",AH28,""))</f>
        <v/>
      </c>
      <c r="L28" s="248">
        <f>IF(R28&lt;&gt;"",R28-Z28,IF(AI28&lt;&gt;"",AI28,""))</f>
        <v/>
      </c>
      <c r="M28" s="252" t="n"/>
      <c r="N28" s="253" t="n"/>
      <c r="O28" s="254" t="n"/>
      <c r="P28" s="255" t="n"/>
      <c r="Q28" s="258">
        <f>IF($A28="","",IF(Q27="","",Q27))</f>
        <v/>
      </c>
      <c r="R28" s="258">
        <f>IF($A28="","",IF(R27="","",R27))</f>
        <v/>
      </c>
      <c r="S28" s="258">
        <f>IF($A28="","",IF(S27="","",S27))</f>
        <v/>
      </c>
      <c r="T28" s="249">
        <f>IF(OR(P28="",W28=""),"",P28-W28)</f>
        <v/>
      </c>
      <c r="U28" s="258">
        <f>IF($A28="","",IF(U27="","",U27))</f>
        <v/>
      </c>
      <c r="V28" s="249">
        <f>IF(P28="","",P28+IF(Q28="",0,Q28)+IF(R28="",0,R28))</f>
        <v/>
      </c>
      <c r="W28" s="255" t="n"/>
      <c r="X28" s="249">
        <f>SUMIFS('09_CF_원금'!$E$6:$E$92,'09_CF_원금'!$D$6:$D$92,"국장",'09_CF_원금'!$A$6:$A$92,"&lt;="&amp;$A28)-SUMIFS('09_CF_원금'!$E$6:$E$92,'09_CF_원금'!$C$6:$C$92,"국장",'09_CF_원금'!$A$6:$A$92,"&lt;="&amp;$A28)</f>
        <v/>
      </c>
      <c r="Y28" s="249">
        <f>SUMIFS('09_CF_원금'!$E$6:$E$92,'09_CF_원금'!$D$6:$D$92,"미장",'09_CF_원금'!$A$6:$A$92,"&lt;="&amp;$A28)-SUMIFS('09_CF_원금'!$E$6:$E$92,'09_CF_원금'!$C$6:$C$92,"미장",'09_CF_원금'!$A$6:$A$92,"&lt;="&amp;$A28)</f>
        <v/>
      </c>
      <c r="Z28" s="249">
        <f>SUMIFS('09_CF_원금'!$E$6:$E$92,'09_CF_원금'!$D$6:$D$92,"ISA",'09_CF_원금'!$A$6:$A$92,"&lt;="&amp;$A28)-SUMIFS('09_CF_원금'!$E$6:$E$92,'09_CF_원금'!$C$6:$C$92,"ISA",'09_CF_원금'!$A$6:$A$92,"&lt;="&amp;$A28)</f>
        <v/>
      </c>
      <c r="AA28" s="249">
        <f>IF($A28="","",X28+Y28+Z28+SUMIFS('09_CF_원금'!$E$6:$E$92,'09_CF_원금'!$D$6:$D$92,"중국",'09_CF_원금'!$A$6:$A$92,"&lt;="&amp;$A28)-SUMIFS('09_CF_원금'!$E$6:$E$92,'09_CF_원금'!$C$6:$C$92,"중국",'09_CF_원금'!$A$6:$A$92,"&lt;="&amp;$A28)+SUMIFS('09_CF_원금'!$E$6:$E$92,'09_CF_원금'!$D$6:$D$92,"업비트",'09_CF_원금'!$A$6:$A$92,"&lt;="&amp;$A28)-SUMIFS('09_CF_원금'!$E$6:$E$92,'09_CF_원금'!$C$6:$C$92,"업비트",'09_CF_원금'!$A$6:$A$92,"&lt;="&amp;$A28))</f>
        <v/>
      </c>
      <c r="AB28" s="249">
        <f>IF(OR(U28="",V28=""),"",U28-(V28-IF(S28="",0,S28)))</f>
        <v/>
      </c>
      <c r="AC28" s="249">
        <f>IF(AB28="","",T28+AB28)</f>
        <v/>
      </c>
      <c r="AD28" s="249">
        <f>IF(B28="","",MAX($B$5:B28))</f>
        <v/>
      </c>
      <c r="AE28" s="256" t="n"/>
      <c r="AF28" s="255" t="n"/>
      <c r="AG28" s="255" t="n"/>
      <c r="AH28" s="255" t="n"/>
      <c r="AI28" s="255" t="n"/>
      <c r="AJ28" s="257">
        <f>IF($A28="","",YEAR($A28)*100+MONTH($A28))</f>
        <v/>
      </c>
      <c r="AK28" s="257">
        <f>IF($A28="","",IF($N28="",0,1))</f>
        <v/>
      </c>
    </row>
    <row r="29">
      <c r="A29" s="247" t="n">
        <v>46042</v>
      </c>
      <c r="B29" s="248">
        <f>IF(V29&lt;&gt;"",V29-T29,IF(AF29&lt;&gt;"",AA29+AF29,""))</f>
        <v/>
      </c>
      <c r="C29" s="249">
        <f>IF(OR(B29="",B28=""),"",B29-B28)</f>
        <v/>
      </c>
      <c r="D29" s="248">
        <f>IF(OR(B29="",AA29=""),"",B29-AA29)</f>
        <v/>
      </c>
      <c r="E29" s="250">
        <f>IF(OR(B29="",AD29=0),"",MIN(0,B29/AD29-1))</f>
        <v/>
      </c>
      <c r="F29" s="250">
        <f>IF(OR(U29="",T29=0,T29=""),"",(P29-T29*1.4)/U29)</f>
        <v/>
      </c>
      <c r="G29" s="251">
        <f>IF(OR(AC29="",'09_CF_원금'!$B$108=0),"",AC29/'09_CF_원금'!$B$108)</f>
        <v/>
      </c>
      <c r="H29" s="250">
        <f>IF(OR(U29="",U29=0,AC29=""),"",AC29/U29)</f>
        <v/>
      </c>
      <c r="I29" s="250">
        <f>IF(OR(S29="",U29=""),"",S29/(U29+S29))</f>
        <v/>
      </c>
      <c r="J29" s="248">
        <f>IF(W29&lt;&gt;"",W29-X29,IF(AG29&lt;&gt;"",AG29,""))</f>
        <v/>
      </c>
      <c r="K29" s="248">
        <f>IF(Q29&lt;&gt;"",Q29-Y29,IF(AH29&lt;&gt;"",AH29,""))</f>
        <v/>
      </c>
      <c r="L29" s="248">
        <f>IF(R29&lt;&gt;"",R29-Z29,IF(AI29&lt;&gt;"",AI29,""))</f>
        <v/>
      </c>
      <c r="M29" s="252" t="n"/>
      <c r="N29" s="253" t="n"/>
      <c r="O29" s="254" t="n"/>
      <c r="P29" s="255" t="n"/>
      <c r="Q29" s="258">
        <f>IF($A29="","",IF(Q28="","",Q28))</f>
        <v/>
      </c>
      <c r="R29" s="258">
        <f>IF($A29="","",IF(R28="","",R28))</f>
        <v/>
      </c>
      <c r="S29" s="258">
        <f>IF($A29="","",IF(S28="","",S28))</f>
        <v/>
      </c>
      <c r="T29" s="249">
        <f>IF(OR(P29="",W29=""),"",P29-W29)</f>
        <v/>
      </c>
      <c r="U29" s="258">
        <f>IF($A29="","",IF(U28="","",U28))</f>
        <v/>
      </c>
      <c r="V29" s="249">
        <f>IF(P29="","",P29+IF(Q29="",0,Q29)+IF(R29="",0,R29))</f>
        <v/>
      </c>
      <c r="W29" s="255" t="n"/>
      <c r="X29" s="249">
        <f>SUMIFS('09_CF_원금'!$E$6:$E$92,'09_CF_원금'!$D$6:$D$92,"국장",'09_CF_원금'!$A$6:$A$92,"&lt;="&amp;$A29)-SUMIFS('09_CF_원금'!$E$6:$E$92,'09_CF_원금'!$C$6:$C$92,"국장",'09_CF_원금'!$A$6:$A$92,"&lt;="&amp;$A29)</f>
        <v/>
      </c>
      <c r="Y29" s="249">
        <f>SUMIFS('09_CF_원금'!$E$6:$E$92,'09_CF_원금'!$D$6:$D$92,"미장",'09_CF_원금'!$A$6:$A$92,"&lt;="&amp;$A29)-SUMIFS('09_CF_원금'!$E$6:$E$92,'09_CF_원금'!$C$6:$C$92,"미장",'09_CF_원금'!$A$6:$A$92,"&lt;="&amp;$A29)</f>
        <v/>
      </c>
      <c r="Z29" s="249">
        <f>SUMIFS('09_CF_원금'!$E$6:$E$92,'09_CF_원금'!$D$6:$D$92,"ISA",'09_CF_원금'!$A$6:$A$92,"&lt;="&amp;$A29)-SUMIFS('09_CF_원금'!$E$6:$E$92,'09_CF_원금'!$C$6:$C$92,"ISA",'09_CF_원금'!$A$6:$A$92,"&lt;="&amp;$A29)</f>
        <v/>
      </c>
      <c r="AA29" s="249">
        <f>IF($A29="","",X29+Y29+Z29+SUMIFS('09_CF_원금'!$E$6:$E$92,'09_CF_원금'!$D$6:$D$92,"중국",'09_CF_원금'!$A$6:$A$92,"&lt;="&amp;$A29)-SUMIFS('09_CF_원금'!$E$6:$E$92,'09_CF_원금'!$C$6:$C$92,"중국",'09_CF_원금'!$A$6:$A$92,"&lt;="&amp;$A29)+SUMIFS('09_CF_원금'!$E$6:$E$92,'09_CF_원금'!$D$6:$D$92,"업비트",'09_CF_원금'!$A$6:$A$92,"&lt;="&amp;$A29)-SUMIFS('09_CF_원금'!$E$6:$E$92,'09_CF_원금'!$C$6:$C$92,"업비트",'09_CF_원금'!$A$6:$A$92,"&lt;="&amp;$A29))</f>
        <v/>
      </c>
      <c r="AB29" s="249">
        <f>IF(OR(U29="",V29=""),"",U29-(V29-IF(S29="",0,S29)))</f>
        <v/>
      </c>
      <c r="AC29" s="249">
        <f>IF(AB29="","",T29+AB29)</f>
        <v/>
      </c>
      <c r="AD29" s="249">
        <f>IF(B29="","",MAX($B$5:B29))</f>
        <v/>
      </c>
      <c r="AE29" s="256" t="n"/>
      <c r="AF29" s="255" t="n"/>
      <c r="AG29" s="255" t="n"/>
      <c r="AH29" s="255" t="n"/>
      <c r="AI29" s="255" t="n"/>
      <c r="AJ29" s="257">
        <f>IF($A29="","",YEAR($A29)*100+MONTH($A29))</f>
        <v/>
      </c>
      <c r="AK29" s="257">
        <f>IF($A29="","",IF($N29="",0,1))</f>
        <v/>
      </c>
    </row>
    <row r="30">
      <c r="A30" s="247" t="n">
        <v>46043</v>
      </c>
      <c r="B30" s="248">
        <f>IF(V30&lt;&gt;"",V30-T30,IF(AF30&lt;&gt;"",AA30+AF30,""))</f>
        <v/>
      </c>
      <c r="C30" s="249">
        <f>IF(OR(B30="",B29=""),"",B30-B29)</f>
        <v/>
      </c>
      <c r="D30" s="248">
        <f>IF(OR(B30="",AA30=""),"",B30-AA30)</f>
        <v/>
      </c>
      <c r="E30" s="250">
        <f>IF(OR(B30="",AD30=0),"",MIN(0,B30/AD30-1))</f>
        <v/>
      </c>
      <c r="F30" s="250">
        <f>IF(OR(U30="",T30=0,T30=""),"",(P30-T30*1.4)/U30)</f>
        <v/>
      </c>
      <c r="G30" s="251">
        <f>IF(OR(AC30="",'09_CF_원금'!$B$108=0),"",AC30/'09_CF_원금'!$B$108)</f>
        <v/>
      </c>
      <c r="H30" s="250">
        <f>IF(OR(U30="",U30=0,AC30=""),"",AC30/U30)</f>
        <v/>
      </c>
      <c r="I30" s="250">
        <f>IF(OR(S30="",U30=""),"",S30/(U30+S30))</f>
        <v/>
      </c>
      <c r="J30" s="248">
        <f>IF(W30&lt;&gt;"",W30-X30,IF(AG30&lt;&gt;"",AG30,""))</f>
        <v/>
      </c>
      <c r="K30" s="248">
        <f>IF(Q30&lt;&gt;"",Q30-Y30,IF(AH30&lt;&gt;"",AH30,""))</f>
        <v/>
      </c>
      <c r="L30" s="248">
        <f>IF(R30&lt;&gt;"",R30-Z30,IF(AI30&lt;&gt;"",AI30,""))</f>
        <v/>
      </c>
      <c r="M30" s="252" t="n"/>
      <c r="N30" s="253" t="n"/>
      <c r="O30" s="254" t="n"/>
      <c r="P30" s="255" t="n"/>
      <c r="Q30" s="258">
        <f>IF($A30="","",IF(Q29="","",Q29))</f>
        <v/>
      </c>
      <c r="R30" s="258">
        <f>IF($A30="","",IF(R29="","",R29))</f>
        <v/>
      </c>
      <c r="S30" s="258">
        <f>IF($A30="","",IF(S29="","",S29))</f>
        <v/>
      </c>
      <c r="T30" s="249">
        <f>IF(OR(P30="",W30=""),"",P30-W30)</f>
        <v/>
      </c>
      <c r="U30" s="258">
        <f>IF($A30="","",IF(U29="","",U29))</f>
        <v/>
      </c>
      <c r="V30" s="249">
        <f>IF(P30="","",P30+IF(Q30="",0,Q30)+IF(R30="",0,R30))</f>
        <v/>
      </c>
      <c r="W30" s="255" t="n"/>
      <c r="X30" s="249">
        <f>SUMIFS('09_CF_원금'!$E$6:$E$92,'09_CF_원금'!$D$6:$D$92,"국장",'09_CF_원금'!$A$6:$A$92,"&lt;="&amp;$A30)-SUMIFS('09_CF_원금'!$E$6:$E$92,'09_CF_원금'!$C$6:$C$92,"국장",'09_CF_원금'!$A$6:$A$92,"&lt;="&amp;$A30)</f>
        <v/>
      </c>
      <c r="Y30" s="249">
        <f>SUMIFS('09_CF_원금'!$E$6:$E$92,'09_CF_원금'!$D$6:$D$92,"미장",'09_CF_원금'!$A$6:$A$92,"&lt;="&amp;$A30)-SUMIFS('09_CF_원금'!$E$6:$E$92,'09_CF_원금'!$C$6:$C$92,"미장",'09_CF_원금'!$A$6:$A$92,"&lt;="&amp;$A30)</f>
        <v/>
      </c>
      <c r="Z30" s="249">
        <f>SUMIFS('09_CF_원금'!$E$6:$E$92,'09_CF_원금'!$D$6:$D$92,"ISA",'09_CF_원금'!$A$6:$A$92,"&lt;="&amp;$A30)-SUMIFS('09_CF_원금'!$E$6:$E$92,'09_CF_원금'!$C$6:$C$92,"ISA",'09_CF_원금'!$A$6:$A$92,"&lt;="&amp;$A30)</f>
        <v/>
      </c>
      <c r="AA30" s="249">
        <f>IF($A30="","",X30+Y30+Z30+SUMIFS('09_CF_원금'!$E$6:$E$92,'09_CF_원금'!$D$6:$D$92,"중국",'09_CF_원금'!$A$6:$A$92,"&lt;="&amp;$A30)-SUMIFS('09_CF_원금'!$E$6:$E$92,'09_CF_원금'!$C$6:$C$92,"중국",'09_CF_원금'!$A$6:$A$92,"&lt;="&amp;$A30)+SUMIFS('09_CF_원금'!$E$6:$E$92,'09_CF_원금'!$D$6:$D$92,"업비트",'09_CF_원금'!$A$6:$A$92,"&lt;="&amp;$A30)-SUMIFS('09_CF_원금'!$E$6:$E$92,'09_CF_원금'!$C$6:$C$92,"업비트",'09_CF_원금'!$A$6:$A$92,"&lt;="&amp;$A30))</f>
        <v/>
      </c>
      <c r="AB30" s="249">
        <f>IF(OR(U30="",V30=""),"",U30-(V30-IF(S30="",0,S30)))</f>
        <v/>
      </c>
      <c r="AC30" s="249">
        <f>IF(AB30="","",T30+AB30)</f>
        <v/>
      </c>
      <c r="AD30" s="249">
        <f>IF(B30="","",MAX($B$5:B30))</f>
        <v/>
      </c>
      <c r="AE30" s="256" t="n"/>
      <c r="AF30" s="255" t="n"/>
      <c r="AG30" s="255" t="n"/>
      <c r="AH30" s="255" t="n"/>
      <c r="AI30" s="255" t="n"/>
      <c r="AJ30" s="257">
        <f>IF($A30="","",YEAR($A30)*100+MONTH($A30))</f>
        <v/>
      </c>
      <c r="AK30" s="257">
        <f>IF($A30="","",IF($N30="",0,1))</f>
        <v/>
      </c>
    </row>
    <row r="31">
      <c r="A31" s="247" t="n">
        <v>46044</v>
      </c>
      <c r="B31" s="248">
        <f>IF(V31&lt;&gt;"",V31-T31,IF(AF31&lt;&gt;"",AA31+AF31,""))</f>
        <v/>
      </c>
      <c r="C31" s="249">
        <f>IF(OR(B31="",B30=""),"",B31-B30)</f>
        <v/>
      </c>
      <c r="D31" s="248">
        <f>IF(OR(B31="",AA31=""),"",B31-AA31)</f>
        <v/>
      </c>
      <c r="E31" s="250">
        <f>IF(OR(B31="",AD31=0),"",MIN(0,B31/AD31-1))</f>
        <v/>
      </c>
      <c r="F31" s="250">
        <f>IF(OR(U31="",T31=0,T31=""),"",(P31-T31*1.4)/U31)</f>
        <v/>
      </c>
      <c r="G31" s="251">
        <f>IF(OR(AC31="",'09_CF_원금'!$B$108=0),"",AC31/'09_CF_원금'!$B$108)</f>
        <v/>
      </c>
      <c r="H31" s="250">
        <f>IF(OR(U31="",U31=0,AC31=""),"",AC31/U31)</f>
        <v/>
      </c>
      <c r="I31" s="250">
        <f>IF(OR(S31="",U31=""),"",S31/(U31+S31))</f>
        <v/>
      </c>
      <c r="J31" s="248">
        <f>IF(W31&lt;&gt;"",W31-X31,IF(AG31&lt;&gt;"",AG31,""))</f>
        <v/>
      </c>
      <c r="K31" s="248">
        <f>IF(Q31&lt;&gt;"",Q31-Y31,IF(AH31&lt;&gt;"",AH31,""))</f>
        <v/>
      </c>
      <c r="L31" s="248">
        <f>IF(R31&lt;&gt;"",R31-Z31,IF(AI31&lt;&gt;"",AI31,""))</f>
        <v/>
      </c>
      <c r="M31" s="252" t="n"/>
      <c r="N31" s="253" t="n"/>
      <c r="O31" s="254" t="n"/>
      <c r="P31" s="255" t="n"/>
      <c r="Q31" s="258">
        <f>IF($A31="","",IF(Q30="","",Q30))</f>
        <v/>
      </c>
      <c r="R31" s="258">
        <f>IF($A31="","",IF(R30="","",R30))</f>
        <v/>
      </c>
      <c r="S31" s="258">
        <f>IF($A31="","",IF(S30="","",S30))</f>
        <v/>
      </c>
      <c r="T31" s="249">
        <f>IF(OR(P31="",W31=""),"",P31-W31)</f>
        <v/>
      </c>
      <c r="U31" s="258">
        <f>IF($A31="","",IF(U30="","",U30))</f>
        <v/>
      </c>
      <c r="V31" s="249">
        <f>IF(P31="","",P31+IF(Q31="",0,Q31)+IF(R31="",0,R31))</f>
        <v/>
      </c>
      <c r="W31" s="255" t="n"/>
      <c r="X31" s="249">
        <f>SUMIFS('09_CF_원금'!$E$6:$E$92,'09_CF_원금'!$D$6:$D$92,"국장",'09_CF_원금'!$A$6:$A$92,"&lt;="&amp;$A31)-SUMIFS('09_CF_원금'!$E$6:$E$92,'09_CF_원금'!$C$6:$C$92,"국장",'09_CF_원금'!$A$6:$A$92,"&lt;="&amp;$A31)</f>
        <v/>
      </c>
      <c r="Y31" s="249">
        <f>SUMIFS('09_CF_원금'!$E$6:$E$92,'09_CF_원금'!$D$6:$D$92,"미장",'09_CF_원금'!$A$6:$A$92,"&lt;="&amp;$A31)-SUMIFS('09_CF_원금'!$E$6:$E$92,'09_CF_원금'!$C$6:$C$92,"미장",'09_CF_원금'!$A$6:$A$92,"&lt;="&amp;$A31)</f>
        <v/>
      </c>
      <c r="Z31" s="249">
        <f>SUMIFS('09_CF_원금'!$E$6:$E$92,'09_CF_원금'!$D$6:$D$92,"ISA",'09_CF_원금'!$A$6:$A$92,"&lt;="&amp;$A31)-SUMIFS('09_CF_원금'!$E$6:$E$92,'09_CF_원금'!$C$6:$C$92,"ISA",'09_CF_원금'!$A$6:$A$92,"&lt;="&amp;$A31)</f>
        <v/>
      </c>
      <c r="AA31" s="249">
        <f>IF($A31="","",X31+Y31+Z31+SUMIFS('09_CF_원금'!$E$6:$E$92,'09_CF_원금'!$D$6:$D$92,"중국",'09_CF_원금'!$A$6:$A$92,"&lt;="&amp;$A31)-SUMIFS('09_CF_원금'!$E$6:$E$92,'09_CF_원금'!$C$6:$C$92,"중국",'09_CF_원금'!$A$6:$A$92,"&lt;="&amp;$A31)+SUMIFS('09_CF_원금'!$E$6:$E$92,'09_CF_원금'!$D$6:$D$92,"업비트",'09_CF_원금'!$A$6:$A$92,"&lt;="&amp;$A31)-SUMIFS('09_CF_원금'!$E$6:$E$92,'09_CF_원금'!$C$6:$C$92,"업비트",'09_CF_원금'!$A$6:$A$92,"&lt;="&amp;$A31))</f>
        <v/>
      </c>
      <c r="AB31" s="249">
        <f>IF(OR(U31="",V31=""),"",U31-(V31-IF(S31="",0,S31)))</f>
        <v/>
      </c>
      <c r="AC31" s="249">
        <f>IF(AB31="","",T31+AB31)</f>
        <v/>
      </c>
      <c r="AD31" s="249">
        <f>IF(B31="","",MAX($B$5:B31))</f>
        <v/>
      </c>
      <c r="AE31" s="256" t="n"/>
      <c r="AF31" s="255" t="n"/>
      <c r="AG31" s="255" t="n"/>
      <c r="AH31" s="255" t="n"/>
      <c r="AI31" s="255" t="n"/>
      <c r="AJ31" s="257">
        <f>IF($A31="","",YEAR($A31)*100+MONTH($A31))</f>
        <v/>
      </c>
      <c r="AK31" s="257">
        <f>IF($A31="","",IF($N31="",0,1))</f>
        <v/>
      </c>
    </row>
    <row r="32">
      <c r="A32" s="247" t="n">
        <v>46045</v>
      </c>
      <c r="B32" s="248">
        <f>IF(V32&lt;&gt;"",V32-T32,IF(AF32&lt;&gt;"",AA32+AF32,""))</f>
        <v/>
      </c>
      <c r="C32" s="249">
        <f>IF(OR(B32="",B31=""),"",B32-B31)</f>
        <v/>
      </c>
      <c r="D32" s="248">
        <f>IF(OR(B32="",AA32=""),"",B32-AA32)</f>
        <v/>
      </c>
      <c r="E32" s="250">
        <f>IF(OR(B32="",AD32=0),"",MIN(0,B32/AD32-1))</f>
        <v/>
      </c>
      <c r="F32" s="250">
        <f>IF(OR(U32="",T32=0,T32=""),"",(P32-T32*1.4)/U32)</f>
        <v/>
      </c>
      <c r="G32" s="251">
        <f>IF(OR(AC32="",'09_CF_원금'!$B$108=0),"",AC32/'09_CF_원금'!$B$108)</f>
        <v/>
      </c>
      <c r="H32" s="250">
        <f>IF(OR(U32="",U32=0,AC32=""),"",AC32/U32)</f>
        <v/>
      </c>
      <c r="I32" s="250">
        <f>IF(OR(S32="",U32=""),"",S32/(U32+S32))</f>
        <v/>
      </c>
      <c r="J32" s="248">
        <f>IF(W32&lt;&gt;"",W32-X32,IF(AG32&lt;&gt;"",AG32,""))</f>
        <v/>
      </c>
      <c r="K32" s="248">
        <f>IF(Q32&lt;&gt;"",Q32-Y32,IF(AH32&lt;&gt;"",AH32,""))</f>
        <v/>
      </c>
      <c r="L32" s="248">
        <f>IF(R32&lt;&gt;"",R32-Z32,IF(AI32&lt;&gt;"",AI32,""))</f>
        <v/>
      </c>
      <c r="M32" s="252" t="n"/>
      <c r="N32" s="253" t="n"/>
      <c r="O32" s="254" t="n"/>
      <c r="P32" s="255" t="n"/>
      <c r="Q32" s="258">
        <f>IF($A32="","",IF(Q31="","",Q31))</f>
        <v/>
      </c>
      <c r="R32" s="258">
        <f>IF($A32="","",IF(R31="","",R31))</f>
        <v/>
      </c>
      <c r="S32" s="258">
        <f>IF($A32="","",IF(S31="","",S31))</f>
        <v/>
      </c>
      <c r="T32" s="249">
        <f>IF(OR(P32="",W32=""),"",P32-W32)</f>
        <v/>
      </c>
      <c r="U32" s="258">
        <f>IF($A32="","",IF(U31="","",U31))</f>
        <v/>
      </c>
      <c r="V32" s="249">
        <f>IF(P32="","",P32+IF(Q32="",0,Q32)+IF(R32="",0,R32))</f>
        <v/>
      </c>
      <c r="W32" s="255" t="n"/>
      <c r="X32" s="249">
        <f>SUMIFS('09_CF_원금'!$E$6:$E$92,'09_CF_원금'!$D$6:$D$92,"국장",'09_CF_원금'!$A$6:$A$92,"&lt;="&amp;$A32)-SUMIFS('09_CF_원금'!$E$6:$E$92,'09_CF_원금'!$C$6:$C$92,"국장",'09_CF_원금'!$A$6:$A$92,"&lt;="&amp;$A32)</f>
        <v/>
      </c>
      <c r="Y32" s="249">
        <f>SUMIFS('09_CF_원금'!$E$6:$E$92,'09_CF_원금'!$D$6:$D$92,"미장",'09_CF_원금'!$A$6:$A$92,"&lt;="&amp;$A32)-SUMIFS('09_CF_원금'!$E$6:$E$92,'09_CF_원금'!$C$6:$C$92,"미장",'09_CF_원금'!$A$6:$A$92,"&lt;="&amp;$A32)</f>
        <v/>
      </c>
      <c r="Z32" s="249">
        <f>SUMIFS('09_CF_원금'!$E$6:$E$92,'09_CF_원금'!$D$6:$D$92,"ISA",'09_CF_원금'!$A$6:$A$92,"&lt;="&amp;$A32)-SUMIFS('09_CF_원금'!$E$6:$E$92,'09_CF_원금'!$C$6:$C$92,"ISA",'09_CF_원금'!$A$6:$A$92,"&lt;="&amp;$A32)</f>
        <v/>
      </c>
      <c r="AA32" s="249">
        <f>IF($A32="","",X32+Y32+Z32+SUMIFS('09_CF_원금'!$E$6:$E$92,'09_CF_원금'!$D$6:$D$92,"중국",'09_CF_원금'!$A$6:$A$92,"&lt;="&amp;$A32)-SUMIFS('09_CF_원금'!$E$6:$E$92,'09_CF_원금'!$C$6:$C$92,"중국",'09_CF_원금'!$A$6:$A$92,"&lt;="&amp;$A32)+SUMIFS('09_CF_원금'!$E$6:$E$92,'09_CF_원금'!$D$6:$D$92,"업비트",'09_CF_원금'!$A$6:$A$92,"&lt;="&amp;$A32)-SUMIFS('09_CF_원금'!$E$6:$E$92,'09_CF_원금'!$C$6:$C$92,"업비트",'09_CF_원금'!$A$6:$A$92,"&lt;="&amp;$A32))</f>
        <v/>
      </c>
      <c r="AB32" s="249">
        <f>IF(OR(U32="",V32=""),"",U32-(V32-IF(S32="",0,S32)))</f>
        <v/>
      </c>
      <c r="AC32" s="249">
        <f>IF(AB32="","",T32+AB32)</f>
        <v/>
      </c>
      <c r="AD32" s="249">
        <f>IF(B32="","",MAX($B$5:B32))</f>
        <v/>
      </c>
      <c r="AE32" s="256" t="n">
        <v>25738.25</v>
      </c>
      <c r="AF32" s="255" t="n">
        <v>163270150</v>
      </c>
      <c r="AG32" s="255" t="n">
        <v>118758170</v>
      </c>
      <c r="AH32" s="255" t="n">
        <v>35414248</v>
      </c>
      <c r="AI32" s="255" t="n">
        <v>9097732</v>
      </c>
      <c r="AJ32" s="257">
        <f>IF($A32="","",YEAR($A32)*100+MONTH($A32))</f>
        <v/>
      </c>
      <c r="AK32" s="257">
        <f>IF($A32="","",IF($N32="",0,1))</f>
        <v/>
      </c>
    </row>
    <row r="33">
      <c r="A33" s="247" t="n">
        <v>46048</v>
      </c>
      <c r="B33" s="248">
        <f>IF(V33&lt;&gt;"",V33-T33,IF(AF33&lt;&gt;"",AA33+AF33,""))</f>
        <v/>
      </c>
      <c r="C33" s="249">
        <f>IF(OR(B33="",B32=""),"",B33-B32)</f>
        <v/>
      </c>
      <c r="D33" s="248">
        <f>IF(OR(B33="",AA33=""),"",B33-AA33)</f>
        <v/>
      </c>
      <c r="E33" s="250">
        <f>IF(OR(B33="",AD33=0),"",MIN(0,B33/AD33-1))</f>
        <v/>
      </c>
      <c r="F33" s="250">
        <f>IF(OR(U33="",T33=0,T33=""),"",(P33-T33*1.4)/U33)</f>
        <v/>
      </c>
      <c r="G33" s="251">
        <f>IF(OR(AC33="",'09_CF_원금'!$B$108=0),"",AC33/'09_CF_원금'!$B$108)</f>
        <v/>
      </c>
      <c r="H33" s="250">
        <f>IF(OR(U33="",U33=0,AC33=""),"",AC33/U33)</f>
        <v/>
      </c>
      <c r="I33" s="250">
        <f>IF(OR(S33="",U33=""),"",S33/(U33+S33))</f>
        <v/>
      </c>
      <c r="J33" s="248">
        <f>IF(W33&lt;&gt;"",W33-X33,IF(AG33&lt;&gt;"",AG33,""))</f>
        <v/>
      </c>
      <c r="K33" s="248">
        <f>IF(Q33&lt;&gt;"",Q33-Y33,IF(AH33&lt;&gt;"",AH33,""))</f>
        <v/>
      </c>
      <c r="L33" s="248">
        <f>IF(R33&lt;&gt;"",R33-Z33,IF(AI33&lt;&gt;"",AI33,""))</f>
        <v/>
      </c>
      <c r="M33" s="252" t="n"/>
      <c r="N33" s="253" t="n"/>
      <c r="O33" s="254" t="n"/>
      <c r="P33" s="255" t="n"/>
      <c r="Q33" s="258">
        <f>IF($A33="","",IF(Q32="","",Q32))</f>
        <v/>
      </c>
      <c r="R33" s="258">
        <f>IF($A33="","",IF(R32="","",R32))</f>
        <v/>
      </c>
      <c r="S33" s="258">
        <f>IF($A33="","",IF(S32="","",S32))</f>
        <v/>
      </c>
      <c r="T33" s="249">
        <f>IF(OR(P33="",W33=""),"",P33-W33)</f>
        <v/>
      </c>
      <c r="U33" s="258">
        <f>IF($A33="","",IF(U32="","",U32))</f>
        <v/>
      </c>
      <c r="V33" s="249">
        <f>IF(P33="","",P33+IF(Q33="",0,Q33)+IF(R33="",0,R33))</f>
        <v/>
      </c>
      <c r="W33" s="255" t="n"/>
      <c r="X33" s="249">
        <f>SUMIFS('09_CF_원금'!$E$6:$E$92,'09_CF_원금'!$D$6:$D$92,"국장",'09_CF_원금'!$A$6:$A$92,"&lt;="&amp;$A33)-SUMIFS('09_CF_원금'!$E$6:$E$92,'09_CF_원금'!$C$6:$C$92,"국장",'09_CF_원금'!$A$6:$A$92,"&lt;="&amp;$A33)</f>
        <v/>
      </c>
      <c r="Y33" s="249">
        <f>SUMIFS('09_CF_원금'!$E$6:$E$92,'09_CF_원금'!$D$6:$D$92,"미장",'09_CF_원금'!$A$6:$A$92,"&lt;="&amp;$A33)-SUMIFS('09_CF_원금'!$E$6:$E$92,'09_CF_원금'!$C$6:$C$92,"미장",'09_CF_원금'!$A$6:$A$92,"&lt;="&amp;$A33)</f>
        <v/>
      </c>
      <c r="Z33" s="249">
        <f>SUMIFS('09_CF_원금'!$E$6:$E$92,'09_CF_원금'!$D$6:$D$92,"ISA",'09_CF_원금'!$A$6:$A$92,"&lt;="&amp;$A33)-SUMIFS('09_CF_원금'!$E$6:$E$92,'09_CF_원금'!$C$6:$C$92,"ISA",'09_CF_원금'!$A$6:$A$92,"&lt;="&amp;$A33)</f>
        <v/>
      </c>
      <c r="AA33" s="249">
        <f>IF($A33="","",X33+Y33+Z33+SUMIFS('09_CF_원금'!$E$6:$E$92,'09_CF_원금'!$D$6:$D$92,"중국",'09_CF_원금'!$A$6:$A$92,"&lt;="&amp;$A33)-SUMIFS('09_CF_원금'!$E$6:$E$92,'09_CF_원금'!$C$6:$C$92,"중국",'09_CF_원금'!$A$6:$A$92,"&lt;="&amp;$A33)+SUMIFS('09_CF_원금'!$E$6:$E$92,'09_CF_원금'!$D$6:$D$92,"업비트",'09_CF_원금'!$A$6:$A$92,"&lt;="&amp;$A33)-SUMIFS('09_CF_원금'!$E$6:$E$92,'09_CF_원금'!$C$6:$C$92,"업비트",'09_CF_원금'!$A$6:$A$92,"&lt;="&amp;$A33))</f>
        <v/>
      </c>
      <c r="AB33" s="249">
        <f>IF(OR(U33="",V33=""),"",U33-(V33-IF(S33="",0,S33)))</f>
        <v/>
      </c>
      <c r="AC33" s="249">
        <f>IF(AB33="","",T33+AB33)</f>
        <v/>
      </c>
      <c r="AD33" s="249">
        <f>IF(B33="","",MAX($B$5:B33))</f>
        <v/>
      </c>
      <c r="AE33" s="256" t="n"/>
      <c r="AF33" s="255" t="n"/>
      <c r="AG33" s="255" t="n"/>
      <c r="AH33" s="255" t="n"/>
      <c r="AI33" s="255" t="n"/>
      <c r="AJ33" s="257">
        <f>IF($A33="","",YEAR($A33)*100+MONTH($A33))</f>
        <v/>
      </c>
      <c r="AK33" s="257">
        <f>IF($A33="","",IF($N33="",0,1))</f>
        <v/>
      </c>
    </row>
    <row r="34">
      <c r="A34" s="247" t="n">
        <v>46049</v>
      </c>
      <c r="B34" s="248">
        <f>IF(V34&lt;&gt;"",V34-T34,IF(AF34&lt;&gt;"",AA34+AF34,""))</f>
        <v/>
      </c>
      <c r="C34" s="249">
        <f>IF(OR(B34="",B33=""),"",B34-B33)</f>
        <v/>
      </c>
      <c r="D34" s="248">
        <f>IF(OR(B34="",AA34=""),"",B34-AA34)</f>
        <v/>
      </c>
      <c r="E34" s="250">
        <f>IF(OR(B34="",AD34=0),"",MIN(0,B34/AD34-1))</f>
        <v/>
      </c>
      <c r="F34" s="250">
        <f>IF(OR(U34="",T34=0,T34=""),"",(P34-T34*1.4)/U34)</f>
        <v/>
      </c>
      <c r="G34" s="251">
        <f>IF(OR(AC34="",'09_CF_원금'!$B$108=0),"",AC34/'09_CF_원금'!$B$108)</f>
        <v/>
      </c>
      <c r="H34" s="250">
        <f>IF(OR(U34="",U34=0,AC34=""),"",AC34/U34)</f>
        <v/>
      </c>
      <c r="I34" s="250">
        <f>IF(OR(S34="",U34=""),"",S34/(U34+S34))</f>
        <v/>
      </c>
      <c r="J34" s="248">
        <f>IF(W34&lt;&gt;"",W34-X34,IF(AG34&lt;&gt;"",AG34,""))</f>
        <v/>
      </c>
      <c r="K34" s="248">
        <f>IF(Q34&lt;&gt;"",Q34-Y34,IF(AH34&lt;&gt;"",AH34,""))</f>
        <v/>
      </c>
      <c r="L34" s="248">
        <f>IF(R34&lt;&gt;"",R34-Z34,IF(AI34&lt;&gt;"",AI34,""))</f>
        <v/>
      </c>
      <c r="M34" s="252" t="n"/>
      <c r="N34" s="253" t="n"/>
      <c r="O34" s="254" t="n"/>
      <c r="P34" s="255" t="n"/>
      <c r="Q34" s="258">
        <f>IF($A34="","",IF(Q33="","",Q33))</f>
        <v/>
      </c>
      <c r="R34" s="258">
        <f>IF($A34="","",IF(R33="","",R33))</f>
        <v/>
      </c>
      <c r="S34" s="258">
        <f>IF($A34="","",IF(S33="","",S33))</f>
        <v/>
      </c>
      <c r="T34" s="249">
        <f>IF(OR(P34="",W34=""),"",P34-W34)</f>
        <v/>
      </c>
      <c r="U34" s="258">
        <f>IF($A34="","",IF(U33="","",U33))</f>
        <v/>
      </c>
      <c r="V34" s="249">
        <f>IF(P34="","",P34+IF(Q34="",0,Q34)+IF(R34="",0,R34))</f>
        <v/>
      </c>
      <c r="W34" s="255" t="n"/>
      <c r="X34" s="249">
        <f>SUMIFS('09_CF_원금'!$E$6:$E$92,'09_CF_원금'!$D$6:$D$92,"국장",'09_CF_원금'!$A$6:$A$92,"&lt;="&amp;$A34)-SUMIFS('09_CF_원금'!$E$6:$E$92,'09_CF_원금'!$C$6:$C$92,"국장",'09_CF_원금'!$A$6:$A$92,"&lt;="&amp;$A34)</f>
        <v/>
      </c>
      <c r="Y34" s="249">
        <f>SUMIFS('09_CF_원금'!$E$6:$E$92,'09_CF_원금'!$D$6:$D$92,"미장",'09_CF_원금'!$A$6:$A$92,"&lt;="&amp;$A34)-SUMIFS('09_CF_원금'!$E$6:$E$92,'09_CF_원금'!$C$6:$C$92,"미장",'09_CF_원금'!$A$6:$A$92,"&lt;="&amp;$A34)</f>
        <v/>
      </c>
      <c r="Z34" s="249">
        <f>SUMIFS('09_CF_원금'!$E$6:$E$92,'09_CF_원금'!$D$6:$D$92,"ISA",'09_CF_원금'!$A$6:$A$92,"&lt;="&amp;$A34)-SUMIFS('09_CF_원금'!$E$6:$E$92,'09_CF_원금'!$C$6:$C$92,"ISA",'09_CF_원금'!$A$6:$A$92,"&lt;="&amp;$A34)</f>
        <v/>
      </c>
      <c r="AA34" s="249">
        <f>IF($A34="","",X34+Y34+Z34+SUMIFS('09_CF_원금'!$E$6:$E$92,'09_CF_원금'!$D$6:$D$92,"중국",'09_CF_원금'!$A$6:$A$92,"&lt;="&amp;$A34)-SUMIFS('09_CF_원금'!$E$6:$E$92,'09_CF_원금'!$C$6:$C$92,"중국",'09_CF_원금'!$A$6:$A$92,"&lt;="&amp;$A34)+SUMIFS('09_CF_원금'!$E$6:$E$92,'09_CF_원금'!$D$6:$D$92,"업비트",'09_CF_원금'!$A$6:$A$92,"&lt;="&amp;$A34)-SUMIFS('09_CF_원금'!$E$6:$E$92,'09_CF_원금'!$C$6:$C$92,"업비트",'09_CF_원금'!$A$6:$A$92,"&lt;="&amp;$A34))</f>
        <v/>
      </c>
      <c r="AB34" s="249">
        <f>IF(OR(U34="",V34=""),"",U34-(V34-IF(S34="",0,S34)))</f>
        <v/>
      </c>
      <c r="AC34" s="249">
        <f>IF(AB34="","",T34+AB34)</f>
        <v/>
      </c>
      <c r="AD34" s="249">
        <f>IF(B34="","",MAX($B$5:B34))</f>
        <v/>
      </c>
      <c r="AE34" s="256" t="n"/>
      <c r="AF34" s="255" t="n"/>
      <c r="AG34" s="255" t="n"/>
      <c r="AH34" s="255" t="n"/>
      <c r="AI34" s="255" t="n"/>
      <c r="AJ34" s="257">
        <f>IF($A34="","",YEAR($A34)*100+MONTH($A34))</f>
        <v/>
      </c>
      <c r="AK34" s="257">
        <f>IF($A34="","",IF($N34="",0,1))</f>
        <v/>
      </c>
    </row>
    <row r="35">
      <c r="A35" s="247" t="n">
        <v>46050</v>
      </c>
      <c r="B35" s="248">
        <f>IF(V35&lt;&gt;"",V35-T35,IF(AF35&lt;&gt;"",AA35+AF35,""))</f>
        <v/>
      </c>
      <c r="C35" s="249">
        <f>IF(OR(B35="",B34=""),"",B35-B34)</f>
        <v/>
      </c>
      <c r="D35" s="248">
        <f>IF(OR(B35="",AA35=""),"",B35-AA35)</f>
        <v/>
      </c>
      <c r="E35" s="250">
        <f>IF(OR(B35="",AD35=0),"",MIN(0,B35/AD35-1))</f>
        <v/>
      </c>
      <c r="F35" s="250">
        <f>IF(OR(U35="",T35=0,T35=""),"",(P35-T35*1.4)/U35)</f>
        <v/>
      </c>
      <c r="G35" s="251">
        <f>IF(OR(AC35="",'09_CF_원금'!$B$108=0),"",AC35/'09_CF_원금'!$B$108)</f>
        <v/>
      </c>
      <c r="H35" s="250">
        <f>IF(OR(U35="",U35=0,AC35=""),"",AC35/U35)</f>
        <v/>
      </c>
      <c r="I35" s="250">
        <f>IF(OR(S35="",U35=""),"",S35/(U35+S35))</f>
        <v/>
      </c>
      <c r="J35" s="248">
        <f>IF(W35&lt;&gt;"",W35-X35,IF(AG35&lt;&gt;"",AG35,""))</f>
        <v/>
      </c>
      <c r="K35" s="248">
        <f>IF(Q35&lt;&gt;"",Q35-Y35,IF(AH35&lt;&gt;"",AH35,""))</f>
        <v/>
      </c>
      <c r="L35" s="248">
        <f>IF(R35&lt;&gt;"",R35-Z35,IF(AI35&lt;&gt;"",AI35,""))</f>
        <v/>
      </c>
      <c r="M35" s="252" t="n"/>
      <c r="N35" s="253" t="n"/>
      <c r="O35" s="254" t="n"/>
      <c r="P35" s="255" t="n"/>
      <c r="Q35" s="258">
        <f>IF($A35="","",IF(Q34="","",Q34))</f>
        <v/>
      </c>
      <c r="R35" s="258">
        <f>IF($A35="","",IF(R34="","",R34))</f>
        <v/>
      </c>
      <c r="S35" s="258">
        <f>IF($A35="","",IF(S34="","",S34))</f>
        <v/>
      </c>
      <c r="T35" s="249">
        <f>IF(OR(P35="",W35=""),"",P35-W35)</f>
        <v/>
      </c>
      <c r="U35" s="258">
        <f>IF($A35="","",IF(U34="","",U34))</f>
        <v/>
      </c>
      <c r="V35" s="249">
        <f>IF(P35="","",P35+IF(Q35="",0,Q35)+IF(R35="",0,R35))</f>
        <v/>
      </c>
      <c r="W35" s="255" t="n"/>
      <c r="X35" s="249">
        <f>SUMIFS('09_CF_원금'!$E$6:$E$92,'09_CF_원금'!$D$6:$D$92,"국장",'09_CF_원금'!$A$6:$A$92,"&lt;="&amp;$A35)-SUMIFS('09_CF_원금'!$E$6:$E$92,'09_CF_원금'!$C$6:$C$92,"국장",'09_CF_원금'!$A$6:$A$92,"&lt;="&amp;$A35)</f>
        <v/>
      </c>
      <c r="Y35" s="249">
        <f>SUMIFS('09_CF_원금'!$E$6:$E$92,'09_CF_원금'!$D$6:$D$92,"미장",'09_CF_원금'!$A$6:$A$92,"&lt;="&amp;$A35)-SUMIFS('09_CF_원금'!$E$6:$E$92,'09_CF_원금'!$C$6:$C$92,"미장",'09_CF_원금'!$A$6:$A$92,"&lt;="&amp;$A35)</f>
        <v/>
      </c>
      <c r="Z35" s="249">
        <f>SUMIFS('09_CF_원금'!$E$6:$E$92,'09_CF_원금'!$D$6:$D$92,"ISA",'09_CF_원금'!$A$6:$A$92,"&lt;="&amp;$A35)-SUMIFS('09_CF_원금'!$E$6:$E$92,'09_CF_원금'!$C$6:$C$92,"ISA",'09_CF_원금'!$A$6:$A$92,"&lt;="&amp;$A35)</f>
        <v/>
      </c>
      <c r="AA35" s="249">
        <f>IF($A35="","",X35+Y35+Z35+SUMIFS('09_CF_원금'!$E$6:$E$92,'09_CF_원금'!$D$6:$D$92,"중국",'09_CF_원금'!$A$6:$A$92,"&lt;="&amp;$A35)-SUMIFS('09_CF_원금'!$E$6:$E$92,'09_CF_원금'!$C$6:$C$92,"중국",'09_CF_원금'!$A$6:$A$92,"&lt;="&amp;$A35)+SUMIFS('09_CF_원금'!$E$6:$E$92,'09_CF_원금'!$D$6:$D$92,"업비트",'09_CF_원금'!$A$6:$A$92,"&lt;="&amp;$A35)-SUMIFS('09_CF_원금'!$E$6:$E$92,'09_CF_원금'!$C$6:$C$92,"업비트",'09_CF_원금'!$A$6:$A$92,"&lt;="&amp;$A35))</f>
        <v/>
      </c>
      <c r="AB35" s="249">
        <f>IF(OR(U35="",V35=""),"",U35-(V35-IF(S35="",0,S35)))</f>
        <v/>
      </c>
      <c r="AC35" s="249">
        <f>IF(AB35="","",T35+AB35)</f>
        <v/>
      </c>
      <c r="AD35" s="249">
        <f>IF(B35="","",MAX($B$5:B35))</f>
        <v/>
      </c>
      <c r="AE35" s="256" t="n">
        <v>26239</v>
      </c>
      <c r="AF35" s="255" t="n">
        <v>247772002</v>
      </c>
      <c r="AG35" s="255" t="n">
        <v>195475821</v>
      </c>
      <c r="AH35" s="255" t="n">
        <v>41744044</v>
      </c>
      <c r="AI35" s="255" t="n">
        <v>10552137</v>
      </c>
      <c r="AJ35" s="257">
        <f>IF($A35="","",YEAR($A35)*100+MONTH($A35))</f>
        <v/>
      </c>
      <c r="AK35" s="257">
        <f>IF($A35="","",IF($N35="",0,1))</f>
        <v/>
      </c>
    </row>
    <row r="36">
      <c r="A36" s="247" t="n">
        <v>46051</v>
      </c>
      <c r="B36" s="248">
        <f>IF(V36&lt;&gt;"",V36-T36,IF(AF36&lt;&gt;"",AA36+AF36,""))</f>
        <v/>
      </c>
      <c r="C36" s="249">
        <f>IF(OR(B36="",B35=""),"",B36-B35)</f>
        <v/>
      </c>
      <c r="D36" s="248">
        <f>IF(OR(B36="",AA36=""),"",B36-AA36)</f>
        <v/>
      </c>
      <c r="E36" s="250">
        <f>IF(OR(B36="",AD36=0),"",MIN(0,B36/AD36-1))</f>
        <v/>
      </c>
      <c r="F36" s="250">
        <f>IF(OR(U36="",T36=0,T36=""),"",(P36-T36*1.4)/U36)</f>
        <v/>
      </c>
      <c r="G36" s="251">
        <f>IF(OR(AC36="",'09_CF_원금'!$B$108=0),"",AC36/'09_CF_원금'!$B$108)</f>
        <v/>
      </c>
      <c r="H36" s="250">
        <f>IF(OR(U36="",U36=0,AC36=""),"",AC36/U36)</f>
        <v/>
      </c>
      <c r="I36" s="250">
        <f>IF(OR(S36="",U36=""),"",S36/(U36+S36))</f>
        <v/>
      </c>
      <c r="J36" s="248">
        <f>IF(W36&lt;&gt;"",W36-X36,IF(AG36&lt;&gt;"",AG36,""))</f>
        <v/>
      </c>
      <c r="K36" s="248">
        <f>IF(Q36&lt;&gt;"",Q36-Y36,IF(AH36&lt;&gt;"",AH36,""))</f>
        <v/>
      </c>
      <c r="L36" s="248">
        <f>IF(R36&lt;&gt;"",R36-Z36,IF(AI36&lt;&gt;"",AI36,""))</f>
        <v/>
      </c>
      <c r="M36" s="252" t="n"/>
      <c r="N36" s="253" t="n"/>
      <c r="O36" s="254" t="n"/>
      <c r="P36" s="255" t="n"/>
      <c r="Q36" s="258">
        <f>IF($A36="","",IF(Q35="","",Q35))</f>
        <v/>
      </c>
      <c r="R36" s="258">
        <f>IF($A36="","",IF(R35="","",R35))</f>
        <v/>
      </c>
      <c r="S36" s="258">
        <f>IF($A36="","",IF(S35="","",S35))</f>
        <v/>
      </c>
      <c r="T36" s="249">
        <f>IF(OR(P36="",W36=""),"",P36-W36)</f>
        <v/>
      </c>
      <c r="U36" s="258">
        <f>IF($A36="","",IF(U35="","",U35))</f>
        <v/>
      </c>
      <c r="V36" s="249">
        <f>IF(P36="","",P36+IF(Q36="",0,Q36)+IF(R36="",0,R36))</f>
        <v/>
      </c>
      <c r="W36" s="255" t="n"/>
      <c r="X36" s="249">
        <f>SUMIFS('09_CF_원금'!$E$6:$E$92,'09_CF_원금'!$D$6:$D$92,"국장",'09_CF_원금'!$A$6:$A$92,"&lt;="&amp;$A36)-SUMIFS('09_CF_원금'!$E$6:$E$92,'09_CF_원금'!$C$6:$C$92,"국장",'09_CF_원금'!$A$6:$A$92,"&lt;="&amp;$A36)</f>
        <v/>
      </c>
      <c r="Y36" s="249">
        <f>SUMIFS('09_CF_원금'!$E$6:$E$92,'09_CF_원금'!$D$6:$D$92,"미장",'09_CF_원금'!$A$6:$A$92,"&lt;="&amp;$A36)-SUMIFS('09_CF_원금'!$E$6:$E$92,'09_CF_원금'!$C$6:$C$92,"미장",'09_CF_원금'!$A$6:$A$92,"&lt;="&amp;$A36)</f>
        <v/>
      </c>
      <c r="Z36" s="249">
        <f>SUMIFS('09_CF_원금'!$E$6:$E$92,'09_CF_원금'!$D$6:$D$92,"ISA",'09_CF_원금'!$A$6:$A$92,"&lt;="&amp;$A36)-SUMIFS('09_CF_원금'!$E$6:$E$92,'09_CF_원금'!$C$6:$C$92,"ISA",'09_CF_원금'!$A$6:$A$92,"&lt;="&amp;$A36)</f>
        <v/>
      </c>
      <c r="AA36" s="249">
        <f>IF($A36="","",X36+Y36+Z36+SUMIFS('09_CF_원금'!$E$6:$E$92,'09_CF_원금'!$D$6:$D$92,"중국",'09_CF_원금'!$A$6:$A$92,"&lt;="&amp;$A36)-SUMIFS('09_CF_원금'!$E$6:$E$92,'09_CF_원금'!$C$6:$C$92,"중국",'09_CF_원금'!$A$6:$A$92,"&lt;="&amp;$A36)+SUMIFS('09_CF_원금'!$E$6:$E$92,'09_CF_원금'!$D$6:$D$92,"업비트",'09_CF_원금'!$A$6:$A$92,"&lt;="&amp;$A36)-SUMIFS('09_CF_원금'!$E$6:$E$92,'09_CF_원금'!$C$6:$C$92,"업비트",'09_CF_원금'!$A$6:$A$92,"&lt;="&amp;$A36))</f>
        <v/>
      </c>
      <c r="AB36" s="249">
        <f>IF(OR(U36="",V36=""),"",U36-(V36-IF(S36="",0,S36)))</f>
        <v/>
      </c>
      <c r="AC36" s="249">
        <f>IF(AB36="","",T36+AB36)</f>
        <v/>
      </c>
      <c r="AD36" s="249">
        <f>IF(B36="","",MAX($B$5:B36))</f>
        <v/>
      </c>
      <c r="AE36" s="256" t="n"/>
      <c r="AF36" s="255" t="n"/>
      <c r="AG36" s="255" t="n"/>
      <c r="AH36" s="255" t="n"/>
      <c r="AI36" s="255" t="n"/>
      <c r="AJ36" s="257">
        <f>IF($A36="","",YEAR($A36)*100+MONTH($A36))</f>
        <v/>
      </c>
      <c r="AK36" s="257">
        <f>IF($A36="","",IF($N36="",0,1))</f>
        <v/>
      </c>
    </row>
    <row r="37">
      <c r="A37" s="247" t="n">
        <v>46052</v>
      </c>
      <c r="B37" s="248">
        <f>IF(V37&lt;&gt;"",V37-T37,IF(AF37&lt;&gt;"",AA37+AF37,""))</f>
        <v/>
      </c>
      <c r="C37" s="249">
        <f>IF(OR(B37="",B36=""),"",B37-B36)</f>
        <v/>
      </c>
      <c r="D37" s="248">
        <f>IF(OR(B37="",AA37=""),"",B37-AA37)</f>
        <v/>
      </c>
      <c r="E37" s="250">
        <f>IF(OR(B37="",AD37=0),"",MIN(0,B37/AD37-1))</f>
        <v/>
      </c>
      <c r="F37" s="250">
        <f>IF(OR(U37="",T37=0,T37=""),"",(P37-T37*1.4)/U37)</f>
        <v/>
      </c>
      <c r="G37" s="251">
        <f>IF(OR(AC37="",'09_CF_원금'!$B$108=0),"",AC37/'09_CF_원금'!$B$108)</f>
        <v/>
      </c>
      <c r="H37" s="250">
        <f>IF(OR(U37="",U37=0,AC37=""),"",AC37/U37)</f>
        <v/>
      </c>
      <c r="I37" s="250">
        <f>IF(OR(S37="",U37=""),"",S37/(U37+S37))</f>
        <v/>
      </c>
      <c r="J37" s="248">
        <f>IF(W37&lt;&gt;"",W37-X37,IF(AG37&lt;&gt;"",AG37,""))</f>
        <v/>
      </c>
      <c r="K37" s="248">
        <f>IF(Q37&lt;&gt;"",Q37-Y37,IF(AH37&lt;&gt;"",AH37,""))</f>
        <v/>
      </c>
      <c r="L37" s="248">
        <f>IF(R37&lt;&gt;"",R37-Z37,IF(AI37&lt;&gt;"",AI37,""))</f>
        <v/>
      </c>
      <c r="M37" s="252" t="n"/>
      <c r="N37" s="253" t="n"/>
      <c r="O37" s="254" t="inlineStr">
        <is>
          <t>정부 코스닥 부양, 바이오 급등</t>
        </is>
      </c>
      <c r="P37" s="255" t="n"/>
      <c r="Q37" s="258">
        <f>IF($A37="","",IF(Q36="","",Q36))</f>
        <v/>
      </c>
      <c r="R37" s="258">
        <f>IF($A37="","",IF(R36="","",R36))</f>
        <v/>
      </c>
      <c r="S37" s="258">
        <f>IF($A37="","",IF(S36="","",S36))</f>
        <v/>
      </c>
      <c r="T37" s="249">
        <f>IF(OR(P37="",W37=""),"",P37-W37)</f>
        <v/>
      </c>
      <c r="U37" s="258">
        <f>IF($A37="","",IF(U36="","",U36))</f>
        <v/>
      </c>
      <c r="V37" s="249">
        <f>IF(P37="","",P37+IF(Q37="",0,Q37)+IF(R37="",0,R37))</f>
        <v/>
      </c>
      <c r="W37" s="255" t="n"/>
      <c r="X37" s="249">
        <f>SUMIFS('09_CF_원금'!$E$6:$E$92,'09_CF_원금'!$D$6:$D$92,"국장",'09_CF_원금'!$A$6:$A$92,"&lt;="&amp;$A37)-SUMIFS('09_CF_원금'!$E$6:$E$92,'09_CF_원금'!$C$6:$C$92,"국장",'09_CF_원금'!$A$6:$A$92,"&lt;="&amp;$A37)</f>
        <v/>
      </c>
      <c r="Y37" s="249">
        <f>SUMIFS('09_CF_원금'!$E$6:$E$92,'09_CF_원금'!$D$6:$D$92,"미장",'09_CF_원금'!$A$6:$A$92,"&lt;="&amp;$A37)-SUMIFS('09_CF_원금'!$E$6:$E$92,'09_CF_원금'!$C$6:$C$92,"미장",'09_CF_원금'!$A$6:$A$92,"&lt;="&amp;$A37)</f>
        <v/>
      </c>
      <c r="Z37" s="249">
        <f>SUMIFS('09_CF_원금'!$E$6:$E$92,'09_CF_원금'!$D$6:$D$92,"ISA",'09_CF_원금'!$A$6:$A$92,"&lt;="&amp;$A37)-SUMIFS('09_CF_원금'!$E$6:$E$92,'09_CF_원금'!$C$6:$C$92,"ISA",'09_CF_원금'!$A$6:$A$92,"&lt;="&amp;$A37)</f>
        <v/>
      </c>
      <c r="AA37" s="249">
        <f>IF($A37="","",X37+Y37+Z37+SUMIFS('09_CF_원금'!$E$6:$E$92,'09_CF_원금'!$D$6:$D$92,"중국",'09_CF_원금'!$A$6:$A$92,"&lt;="&amp;$A37)-SUMIFS('09_CF_원금'!$E$6:$E$92,'09_CF_원금'!$C$6:$C$92,"중국",'09_CF_원금'!$A$6:$A$92,"&lt;="&amp;$A37)+SUMIFS('09_CF_원금'!$E$6:$E$92,'09_CF_원금'!$D$6:$D$92,"업비트",'09_CF_원금'!$A$6:$A$92,"&lt;="&amp;$A37)-SUMIFS('09_CF_원금'!$E$6:$E$92,'09_CF_원금'!$C$6:$C$92,"업비트",'09_CF_원금'!$A$6:$A$92,"&lt;="&amp;$A37))</f>
        <v/>
      </c>
      <c r="AB37" s="249">
        <f>IF(OR(U37="",V37=""),"",U37-(V37-IF(S37="",0,S37)))</f>
        <v/>
      </c>
      <c r="AC37" s="249">
        <f>IF(AB37="","",T37+AB37)</f>
        <v/>
      </c>
      <c r="AD37" s="249">
        <f>IF(B37="","",MAX($B$5:B37))</f>
        <v/>
      </c>
      <c r="AE37" s="256" t="n">
        <v>26239</v>
      </c>
      <c r="AF37" s="255" t="n">
        <v>210382117</v>
      </c>
      <c r="AG37" s="255" t="n">
        <v>169855657</v>
      </c>
      <c r="AH37" s="255" t="n">
        <v>30139051</v>
      </c>
      <c r="AI37" s="255" t="n">
        <v>10387409</v>
      </c>
      <c r="AJ37" s="257">
        <f>IF($A37="","",YEAR($A37)*100+MONTH($A37))</f>
        <v/>
      </c>
      <c r="AK37" s="257">
        <f>IF($A37="","",IF($N37="",0,1))</f>
        <v/>
      </c>
    </row>
    <row r="38">
      <c r="A38" s="247" t="n">
        <v>46055</v>
      </c>
      <c r="B38" s="248">
        <f>IF(V38&lt;&gt;"",V38-T38,IF(AF38&lt;&gt;"",AA38+AF38,""))</f>
        <v/>
      </c>
      <c r="C38" s="249">
        <f>IF(OR(B38="",B37=""),"",B38-B37)</f>
        <v/>
      </c>
      <c r="D38" s="248">
        <f>IF(OR(B38="",AA38=""),"",B38-AA38)</f>
        <v/>
      </c>
      <c r="E38" s="250">
        <f>IF(OR(B38="",AD38=0),"",MIN(0,B38/AD38-1))</f>
        <v/>
      </c>
      <c r="F38" s="250">
        <f>IF(OR(U38="",T38=0,T38=""),"",(P38-T38*1.4)/U38)</f>
        <v/>
      </c>
      <c r="G38" s="251">
        <f>IF(OR(AC38="",'09_CF_원금'!$B$108=0),"",AC38/'09_CF_원금'!$B$108)</f>
        <v/>
      </c>
      <c r="H38" s="250">
        <f>IF(OR(U38="",U38=0,AC38=""),"",AC38/U38)</f>
        <v/>
      </c>
      <c r="I38" s="250">
        <f>IF(OR(S38="",U38=""),"",S38/(U38+S38))</f>
        <v/>
      </c>
      <c r="J38" s="248">
        <f>IF(W38&lt;&gt;"",W38-X38,IF(AG38&lt;&gt;"",AG38,""))</f>
        <v/>
      </c>
      <c r="K38" s="248">
        <f>IF(Q38&lt;&gt;"",Q38-Y38,IF(AH38&lt;&gt;"",AH38,""))</f>
        <v/>
      </c>
      <c r="L38" s="248">
        <f>IF(R38&lt;&gt;"",R38-Z38,IF(AI38&lt;&gt;"",AI38,""))</f>
        <v/>
      </c>
      <c r="M38" s="252" t="n"/>
      <c r="N38" s="253" t="n"/>
      <c r="O38" s="254" t="n"/>
      <c r="P38" s="255" t="n"/>
      <c r="Q38" s="258">
        <f>IF($A38="","",IF(Q37="","",Q37))</f>
        <v/>
      </c>
      <c r="R38" s="258">
        <f>IF($A38="","",IF(R37="","",R37))</f>
        <v/>
      </c>
      <c r="S38" s="258">
        <f>IF($A38="","",IF(S37="","",S37))</f>
        <v/>
      </c>
      <c r="T38" s="249">
        <f>IF(OR(P38="",W38=""),"",P38-W38)</f>
        <v/>
      </c>
      <c r="U38" s="258">
        <f>IF($A38="","",IF(U37="","",U37))</f>
        <v/>
      </c>
      <c r="V38" s="249">
        <f>IF(P38="","",P38+IF(Q38="",0,Q38)+IF(R38="",0,R38))</f>
        <v/>
      </c>
      <c r="W38" s="255" t="n"/>
      <c r="X38" s="249">
        <f>SUMIFS('09_CF_원금'!$E$6:$E$92,'09_CF_원금'!$D$6:$D$92,"국장",'09_CF_원금'!$A$6:$A$92,"&lt;="&amp;$A38)-SUMIFS('09_CF_원금'!$E$6:$E$92,'09_CF_원금'!$C$6:$C$92,"국장",'09_CF_원금'!$A$6:$A$92,"&lt;="&amp;$A38)</f>
        <v/>
      </c>
      <c r="Y38" s="249">
        <f>SUMIFS('09_CF_원금'!$E$6:$E$92,'09_CF_원금'!$D$6:$D$92,"미장",'09_CF_원금'!$A$6:$A$92,"&lt;="&amp;$A38)-SUMIFS('09_CF_원금'!$E$6:$E$92,'09_CF_원금'!$C$6:$C$92,"미장",'09_CF_원금'!$A$6:$A$92,"&lt;="&amp;$A38)</f>
        <v/>
      </c>
      <c r="Z38" s="249">
        <f>SUMIFS('09_CF_원금'!$E$6:$E$92,'09_CF_원금'!$D$6:$D$92,"ISA",'09_CF_원금'!$A$6:$A$92,"&lt;="&amp;$A38)-SUMIFS('09_CF_원금'!$E$6:$E$92,'09_CF_원금'!$C$6:$C$92,"ISA",'09_CF_원금'!$A$6:$A$92,"&lt;="&amp;$A38)</f>
        <v/>
      </c>
      <c r="AA38" s="249">
        <f>IF($A38="","",X38+Y38+Z38+SUMIFS('09_CF_원금'!$E$6:$E$92,'09_CF_원금'!$D$6:$D$92,"중국",'09_CF_원금'!$A$6:$A$92,"&lt;="&amp;$A38)-SUMIFS('09_CF_원금'!$E$6:$E$92,'09_CF_원금'!$C$6:$C$92,"중국",'09_CF_원금'!$A$6:$A$92,"&lt;="&amp;$A38)+SUMIFS('09_CF_원금'!$E$6:$E$92,'09_CF_원금'!$D$6:$D$92,"업비트",'09_CF_원금'!$A$6:$A$92,"&lt;="&amp;$A38)-SUMIFS('09_CF_원금'!$E$6:$E$92,'09_CF_원금'!$C$6:$C$92,"업비트",'09_CF_원금'!$A$6:$A$92,"&lt;="&amp;$A38))</f>
        <v/>
      </c>
      <c r="AB38" s="249">
        <f>IF(OR(U38="",V38=""),"",U38-(V38-IF(S38="",0,S38)))</f>
        <v/>
      </c>
      <c r="AC38" s="249">
        <f>IF(AB38="","",T38+AB38)</f>
        <v/>
      </c>
      <c r="AD38" s="249">
        <f>IF(B38="","",MAX($B$5:B38))</f>
        <v/>
      </c>
      <c r="AE38" s="256" t="n"/>
      <c r="AF38" s="255" t="n"/>
      <c r="AG38" s="255" t="n"/>
      <c r="AH38" s="255" t="n"/>
      <c r="AI38" s="255" t="n"/>
      <c r="AJ38" s="257">
        <f>IF($A38="","",YEAR($A38)*100+MONTH($A38))</f>
        <v/>
      </c>
      <c r="AK38" s="257">
        <f>IF($A38="","",IF($N38="",0,1))</f>
        <v/>
      </c>
    </row>
    <row r="39">
      <c r="A39" s="247" t="n">
        <v>46056</v>
      </c>
      <c r="B39" s="248">
        <f>IF(V39&lt;&gt;"",V39-T39,IF(AF39&lt;&gt;"",AA39+AF39,""))</f>
        <v/>
      </c>
      <c r="C39" s="249">
        <f>IF(OR(B39="",B38=""),"",B39-B38)</f>
        <v/>
      </c>
      <c r="D39" s="248">
        <f>IF(OR(B39="",AA39=""),"",B39-AA39)</f>
        <v/>
      </c>
      <c r="E39" s="250">
        <f>IF(OR(B39="",AD39=0),"",MIN(0,B39/AD39-1))</f>
        <v/>
      </c>
      <c r="F39" s="250">
        <f>IF(OR(U39="",T39=0,T39=""),"",(P39-T39*1.4)/U39)</f>
        <v/>
      </c>
      <c r="G39" s="251">
        <f>IF(OR(AC39="",'09_CF_원금'!$B$108=0),"",AC39/'09_CF_원금'!$B$108)</f>
        <v/>
      </c>
      <c r="H39" s="250">
        <f>IF(OR(U39="",U39=0,AC39=""),"",AC39/U39)</f>
        <v/>
      </c>
      <c r="I39" s="250">
        <f>IF(OR(S39="",U39=""),"",S39/(U39+S39))</f>
        <v/>
      </c>
      <c r="J39" s="248">
        <f>IF(W39&lt;&gt;"",W39-X39,IF(AG39&lt;&gt;"",AG39,""))</f>
        <v/>
      </c>
      <c r="K39" s="248">
        <f>IF(Q39&lt;&gt;"",Q39-Y39,IF(AH39&lt;&gt;"",AH39,""))</f>
        <v/>
      </c>
      <c r="L39" s="248">
        <f>IF(R39&lt;&gt;"",R39-Z39,IF(AI39&lt;&gt;"",AI39,""))</f>
        <v/>
      </c>
      <c r="M39" s="252" t="n"/>
      <c r="N39" s="253" t="n"/>
      <c r="O39" s="254" t="n"/>
      <c r="P39" s="255" t="n"/>
      <c r="Q39" s="258">
        <f>IF($A39="","",IF(Q38="","",Q38))</f>
        <v/>
      </c>
      <c r="R39" s="258">
        <f>IF($A39="","",IF(R38="","",R38))</f>
        <v/>
      </c>
      <c r="S39" s="258">
        <f>IF($A39="","",IF(S38="","",S38))</f>
        <v/>
      </c>
      <c r="T39" s="249">
        <f>IF(OR(P39="",W39=""),"",P39-W39)</f>
        <v/>
      </c>
      <c r="U39" s="258">
        <f>IF($A39="","",IF(U38="","",U38))</f>
        <v/>
      </c>
      <c r="V39" s="249">
        <f>IF(P39="","",P39+IF(Q39="",0,Q39)+IF(R39="",0,R39))</f>
        <v/>
      </c>
      <c r="W39" s="255" t="n"/>
      <c r="X39" s="249">
        <f>SUMIFS('09_CF_원금'!$E$6:$E$92,'09_CF_원금'!$D$6:$D$92,"국장",'09_CF_원금'!$A$6:$A$92,"&lt;="&amp;$A39)-SUMIFS('09_CF_원금'!$E$6:$E$92,'09_CF_원금'!$C$6:$C$92,"국장",'09_CF_원금'!$A$6:$A$92,"&lt;="&amp;$A39)</f>
        <v/>
      </c>
      <c r="Y39" s="249">
        <f>SUMIFS('09_CF_원금'!$E$6:$E$92,'09_CF_원금'!$D$6:$D$92,"미장",'09_CF_원금'!$A$6:$A$92,"&lt;="&amp;$A39)-SUMIFS('09_CF_원금'!$E$6:$E$92,'09_CF_원금'!$C$6:$C$92,"미장",'09_CF_원금'!$A$6:$A$92,"&lt;="&amp;$A39)</f>
        <v/>
      </c>
      <c r="Z39" s="249">
        <f>SUMIFS('09_CF_원금'!$E$6:$E$92,'09_CF_원금'!$D$6:$D$92,"ISA",'09_CF_원금'!$A$6:$A$92,"&lt;="&amp;$A39)-SUMIFS('09_CF_원금'!$E$6:$E$92,'09_CF_원금'!$C$6:$C$92,"ISA",'09_CF_원금'!$A$6:$A$92,"&lt;="&amp;$A39)</f>
        <v/>
      </c>
      <c r="AA39" s="249">
        <f>IF($A39="","",X39+Y39+Z39+SUMIFS('09_CF_원금'!$E$6:$E$92,'09_CF_원금'!$D$6:$D$92,"중국",'09_CF_원금'!$A$6:$A$92,"&lt;="&amp;$A39)-SUMIFS('09_CF_원금'!$E$6:$E$92,'09_CF_원금'!$C$6:$C$92,"중국",'09_CF_원금'!$A$6:$A$92,"&lt;="&amp;$A39)+SUMIFS('09_CF_원금'!$E$6:$E$92,'09_CF_원금'!$D$6:$D$92,"업비트",'09_CF_원금'!$A$6:$A$92,"&lt;="&amp;$A39)-SUMIFS('09_CF_원금'!$E$6:$E$92,'09_CF_원금'!$C$6:$C$92,"업비트",'09_CF_원금'!$A$6:$A$92,"&lt;="&amp;$A39))</f>
        <v/>
      </c>
      <c r="AB39" s="249">
        <f>IF(OR(U39="",V39=""),"",U39-(V39-IF(S39="",0,S39)))</f>
        <v/>
      </c>
      <c r="AC39" s="249">
        <f>IF(AB39="","",T39+AB39)</f>
        <v/>
      </c>
      <c r="AD39" s="249">
        <f>IF(B39="","",MAX($B$5:B39))</f>
        <v/>
      </c>
      <c r="AE39" s="256" t="n"/>
      <c r="AF39" s="255" t="n"/>
      <c r="AG39" s="255" t="n"/>
      <c r="AH39" s="255" t="n"/>
      <c r="AI39" s="255" t="n"/>
      <c r="AJ39" s="257">
        <f>IF($A39="","",YEAR($A39)*100+MONTH($A39))</f>
        <v/>
      </c>
      <c r="AK39" s="257">
        <f>IF($A39="","",IF($N39="",0,1))</f>
        <v/>
      </c>
    </row>
    <row r="40">
      <c r="A40" s="247" t="n">
        <v>46057</v>
      </c>
      <c r="B40" s="248">
        <f>IF(V40&lt;&gt;"",V40-T40,IF(AF40&lt;&gt;"",AA40+AF40,""))</f>
        <v/>
      </c>
      <c r="C40" s="249">
        <f>IF(OR(B40="",B39=""),"",B40-B39)</f>
        <v/>
      </c>
      <c r="D40" s="248">
        <f>IF(OR(B40="",AA40=""),"",B40-AA40)</f>
        <v/>
      </c>
      <c r="E40" s="250">
        <f>IF(OR(B40="",AD40=0),"",MIN(0,B40/AD40-1))</f>
        <v/>
      </c>
      <c r="F40" s="250">
        <f>IF(OR(U40="",T40=0,T40=""),"",(P40-T40*1.4)/U40)</f>
        <v/>
      </c>
      <c r="G40" s="251">
        <f>IF(OR(AC40="",'09_CF_원금'!$B$108=0),"",AC40/'09_CF_원금'!$B$108)</f>
        <v/>
      </c>
      <c r="H40" s="250">
        <f>IF(OR(U40="",U40=0,AC40=""),"",AC40/U40)</f>
        <v/>
      </c>
      <c r="I40" s="250">
        <f>IF(OR(S40="",U40=""),"",S40/(U40+S40))</f>
        <v/>
      </c>
      <c r="J40" s="248">
        <f>IF(W40&lt;&gt;"",W40-X40,IF(AG40&lt;&gt;"",AG40,""))</f>
        <v/>
      </c>
      <c r="K40" s="248">
        <f>IF(Q40&lt;&gt;"",Q40-Y40,IF(AH40&lt;&gt;"",AH40,""))</f>
        <v/>
      </c>
      <c r="L40" s="248">
        <f>IF(R40&lt;&gt;"",R40-Z40,IF(AI40&lt;&gt;"",AI40,""))</f>
        <v/>
      </c>
      <c r="M40" s="252" t="n"/>
      <c r="N40" s="253" t="n"/>
      <c r="O40" s="254" t="n"/>
      <c r="P40" s="255" t="n"/>
      <c r="Q40" s="258">
        <f>IF($A40="","",IF(Q39="","",Q39))</f>
        <v/>
      </c>
      <c r="R40" s="258">
        <f>IF($A40="","",IF(R39="","",R39))</f>
        <v/>
      </c>
      <c r="S40" s="258">
        <f>IF($A40="","",IF(S39="","",S39))</f>
        <v/>
      </c>
      <c r="T40" s="249">
        <f>IF(OR(P40="",W40=""),"",P40-W40)</f>
        <v/>
      </c>
      <c r="U40" s="258">
        <f>IF($A40="","",IF(U39="","",U39))</f>
        <v/>
      </c>
      <c r="V40" s="249">
        <f>IF(P40="","",P40+IF(Q40="",0,Q40)+IF(R40="",0,R40))</f>
        <v/>
      </c>
      <c r="W40" s="255" t="n"/>
      <c r="X40" s="249">
        <f>SUMIFS('09_CF_원금'!$E$6:$E$92,'09_CF_원금'!$D$6:$D$92,"국장",'09_CF_원금'!$A$6:$A$92,"&lt;="&amp;$A40)-SUMIFS('09_CF_원금'!$E$6:$E$92,'09_CF_원금'!$C$6:$C$92,"국장",'09_CF_원금'!$A$6:$A$92,"&lt;="&amp;$A40)</f>
        <v/>
      </c>
      <c r="Y40" s="249">
        <f>SUMIFS('09_CF_원금'!$E$6:$E$92,'09_CF_원금'!$D$6:$D$92,"미장",'09_CF_원금'!$A$6:$A$92,"&lt;="&amp;$A40)-SUMIFS('09_CF_원금'!$E$6:$E$92,'09_CF_원금'!$C$6:$C$92,"미장",'09_CF_원금'!$A$6:$A$92,"&lt;="&amp;$A40)</f>
        <v/>
      </c>
      <c r="Z40" s="249">
        <f>SUMIFS('09_CF_원금'!$E$6:$E$92,'09_CF_원금'!$D$6:$D$92,"ISA",'09_CF_원금'!$A$6:$A$92,"&lt;="&amp;$A40)-SUMIFS('09_CF_원금'!$E$6:$E$92,'09_CF_원금'!$C$6:$C$92,"ISA",'09_CF_원금'!$A$6:$A$92,"&lt;="&amp;$A40)</f>
        <v/>
      </c>
      <c r="AA40" s="249">
        <f>IF($A40="","",X40+Y40+Z40+SUMIFS('09_CF_원금'!$E$6:$E$92,'09_CF_원금'!$D$6:$D$92,"중국",'09_CF_원금'!$A$6:$A$92,"&lt;="&amp;$A40)-SUMIFS('09_CF_원금'!$E$6:$E$92,'09_CF_원금'!$C$6:$C$92,"중국",'09_CF_원금'!$A$6:$A$92,"&lt;="&amp;$A40)+SUMIFS('09_CF_원금'!$E$6:$E$92,'09_CF_원금'!$D$6:$D$92,"업비트",'09_CF_원금'!$A$6:$A$92,"&lt;="&amp;$A40)-SUMIFS('09_CF_원금'!$E$6:$E$92,'09_CF_원금'!$C$6:$C$92,"업비트",'09_CF_원금'!$A$6:$A$92,"&lt;="&amp;$A40))</f>
        <v/>
      </c>
      <c r="AB40" s="249">
        <f>IF(OR(U40="",V40=""),"",U40-(V40-IF(S40="",0,S40)))</f>
        <v/>
      </c>
      <c r="AC40" s="249">
        <f>IF(AB40="","",T40+AB40)</f>
        <v/>
      </c>
      <c r="AD40" s="249">
        <f>IF(B40="","",MAX($B$5:B40))</f>
        <v/>
      </c>
      <c r="AE40" s="256" t="n"/>
      <c r="AF40" s="255" t="n"/>
      <c r="AG40" s="255" t="n"/>
      <c r="AH40" s="255" t="n"/>
      <c r="AI40" s="255" t="n"/>
      <c r="AJ40" s="257">
        <f>IF($A40="","",YEAR($A40)*100+MONTH($A40))</f>
        <v/>
      </c>
      <c r="AK40" s="257">
        <f>IF($A40="","",IF($N40="",0,1))</f>
        <v/>
      </c>
    </row>
    <row r="41">
      <c r="A41" s="247" t="n">
        <v>46058</v>
      </c>
      <c r="B41" s="248">
        <f>IF(V41&lt;&gt;"",V41-T41,IF(AF41&lt;&gt;"",AA41+AF41,""))</f>
        <v/>
      </c>
      <c r="C41" s="249">
        <f>IF(OR(B41="",B40=""),"",B41-B40)</f>
        <v/>
      </c>
      <c r="D41" s="248">
        <f>IF(OR(B41="",AA41=""),"",B41-AA41)</f>
        <v/>
      </c>
      <c r="E41" s="250">
        <f>IF(OR(B41="",AD41=0),"",MIN(0,B41/AD41-1))</f>
        <v/>
      </c>
      <c r="F41" s="250">
        <f>IF(OR(U41="",T41=0,T41=""),"",(P41-T41*1.4)/U41)</f>
        <v/>
      </c>
      <c r="G41" s="251">
        <f>IF(OR(AC41="",'09_CF_원금'!$B$108=0),"",AC41/'09_CF_원금'!$B$108)</f>
        <v/>
      </c>
      <c r="H41" s="250">
        <f>IF(OR(U41="",U41=0,AC41=""),"",AC41/U41)</f>
        <v/>
      </c>
      <c r="I41" s="250">
        <f>IF(OR(S41="",U41=""),"",S41/(U41+S41))</f>
        <v/>
      </c>
      <c r="J41" s="248">
        <f>IF(W41&lt;&gt;"",W41-X41,IF(AG41&lt;&gt;"",AG41,""))</f>
        <v/>
      </c>
      <c r="K41" s="248">
        <f>IF(Q41&lt;&gt;"",Q41-Y41,IF(AH41&lt;&gt;"",AH41,""))</f>
        <v/>
      </c>
      <c r="L41" s="248">
        <f>IF(R41&lt;&gt;"",R41-Z41,IF(AI41&lt;&gt;"",AI41,""))</f>
        <v/>
      </c>
      <c r="M41" s="252" t="n"/>
      <c r="N41" s="253" t="n"/>
      <c r="O41" s="254" t="n"/>
      <c r="P41" s="255" t="n"/>
      <c r="Q41" s="258">
        <f>IF($A41="","",IF(Q40="","",Q40))</f>
        <v/>
      </c>
      <c r="R41" s="258">
        <f>IF($A41="","",IF(R40="","",R40))</f>
        <v/>
      </c>
      <c r="S41" s="258">
        <f>IF($A41="","",IF(S40="","",S40))</f>
        <v/>
      </c>
      <c r="T41" s="249">
        <f>IF(OR(P41="",W41=""),"",P41-W41)</f>
        <v/>
      </c>
      <c r="U41" s="258">
        <f>IF($A41="","",IF(U40="","",U40))</f>
        <v/>
      </c>
      <c r="V41" s="249">
        <f>IF(P41="","",P41+IF(Q41="",0,Q41)+IF(R41="",0,R41))</f>
        <v/>
      </c>
      <c r="W41" s="255" t="n"/>
      <c r="X41" s="249">
        <f>SUMIFS('09_CF_원금'!$E$6:$E$92,'09_CF_원금'!$D$6:$D$92,"국장",'09_CF_원금'!$A$6:$A$92,"&lt;="&amp;$A41)-SUMIFS('09_CF_원금'!$E$6:$E$92,'09_CF_원금'!$C$6:$C$92,"국장",'09_CF_원금'!$A$6:$A$92,"&lt;="&amp;$A41)</f>
        <v/>
      </c>
      <c r="Y41" s="249">
        <f>SUMIFS('09_CF_원금'!$E$6:$E$92,'09_CF_원금'!$D$6:$D$92,"미장",'09_CF_원금'!$A$6:$A$92,"&lt;="&amp;$A41)-SUMIFS('09_CF_원금'!$E$6:$E$92,'09_CF_원금'!$C$6:$C$92,"미장",'09_CF_원금'!$A$6:$A$92,"&lt;="&amp;$A41)</f>
        <v/>
      </c>
      <c r="Z41" s="249">
        <f>SUMIFS('09_CF_원금'!$E$6:$E$92,'09_CF_원금'!$D$6:$D$92,"ISA",'09_CF_원금'!$A$6:$A$92,"&lt;="&amp;$A41)-SUMIFS('09_CF_원금'!$E$6:$E$92,'09_CF_원금'!$C$6:$C$92,"ISA",'09_CF_원금'!$A$6:$A$92,"&lt;="&amp;$A41)</f>
        <v/>
      </c>
      <c r="AA41" s="249">
        <f>IF($A41="","",X41+Y41+Z41+SUMIFS('09_CF_원금'!$E$6:$E$92,'09_CF_원금'!$D$6:$D$92,"중국",'09_CF_원금'!$A$6:$A$92,"&lt;="&amp;$A41)-SUMIFS('09_CF_원금'!$E$6:$E$92,'09_CF_원금'!$C$6:$C$92,"중국",'09_CF_원금'!$A$6:$A$92,"&lt;="&amp;$A41)+SUMIFS('09_CF_원금'!$E$6:$E$92,'09_CF_원금'!$D$6:$D$92,"업비트",'09_CF_원금'!$A$6:$A$92,"&lt;="&amp;$A41)-SUMIFS('09_CF_원금'!$E$6:$E$92,'09_CF_원금'!$C$6:$C$92,"업비트",'09_CF_원금'!$A$6:$A$92,"&lt;="&amp;$A41))</f>
        <v/>
      </c>
      <c r="AB41" s="249">
        <f>IF(OR(U41="",V41=""),"",U41-(V41-IF(S41="",0,S41)))</f>
        <v/>
      </c>
      <c r="AC41" s="249">
        <f>IF(AB41="","",T41+AB41)</f>
        <v/>
      </c>
      <c r="AD41" s="249">
        <f>IF(B41="","",MAX($B$5:B41))</f>
        <v/>
      </c>
      <c r="AE41" s="256" t="n"/>
      <c r="AF41" s="255" t="n"/>
      <c r="AG41" s="255" t="n"/>
      <c r="AH41" s="255" t="n"/>
      <c r="AI41" s="255" t="n"/>
      <c r="AJ41" s="257">
        <f>IF($A41="","",YEAR($A41)*100+MONTH($A41))</f>
        <v/>
      </c>
      <c r="AK41" s="257">
        <f>IF($A41="","",IF($N41="",0,1))</f>
        <v/>
      </c>
    </row>
    <row r="42">
      <c r="A42" s="247" t="n">
        <v>46059</v>
      </c>
      <c r="B42" s="248">
        <f>IF(V42&lt;&gt;"",V42-T42,IF(AF42&lt;&gt;"",AA42+AF42,""))</f>
        <v/>
      </c>
      <c r="C42" s="249">
        <f>IF(OR(B42="",B41=""),"",B42-B41)</f>
        <v/>
      </c>
      <c r="D42" s="248">
        <f>IF(OR(B42="",AA42=""),"",B42-AA42)</f>
        <v/>
      </c>
      <c r="E42" s="250">
        <f>IF(OR(B42="",AD42=0),"",MIN(0,B42/AD42-1))</f>
        <v/>
      </c>
      <c r="F42" s="250">
        <f>IF(OR(U42="",T42=0,T42=""),"",(P42-T42*1.4)/U42)</f>
        <v/>
      </c>
      <c r="G42" s="251">
        <f>IF(OR(AC42="",'09_CF_원금'!$B$108=0),"",AC42/'09_CF_원금'!$B$108)</f>
        <v/>
      </c>
      <c r="H42" s="250">
        <f>IF(OR(U42="",U42=0,AC42=""),"",AC42/U42)</f>
        <v/>
      </c>
      <c r="I42" s="250">
        <f>IF(OR(S42="",U42=""),"",S42/(U42+S42))</f>
        <v/>
      </c>
      <c r="J42" s="248">
        <f>IF(W42&lt;&gt;"",W42-X42,IF(AG42&lt;&gt;"",AG42,""))</f>
        <v/>
      </c>
      <c r="K42" s="248">
        <f>IF(Q42&lt;&gt;"",Q42-Y42,IF(AH42&lt;&gt;"",AH42,""))</f>
        <v/>
      </c>
      <c r="L42" s="248">
        <f>IF(R42&lt;&gt;"",R42-Z42,IF(AI42&lt;&gt;"",AI42,""))</f>
        <v/>
      </c>
      <c r="M42" s="252" t="n"/>
      <c r="N42" s="253" t="n"/>
      <c r="O42" s="254" t="inlineStr">
        <is>
          <t>고용데이터 악화, 위험자산 기피</t>
        </is>
      </c>
      <c r="P42" s="255" t="n"/>
      <c r="Q42" s="258">
        <f>IF($A42="","",IF(Q41="","",Q41))</f>
        <v/>
      </c>
      <c r="R42" s="258">
        <f>IF($A42="","",IF(R41="","",R41))</f>
        <v/>
      </c>
      <c r="S42" s="258">
        <f>IF($A42="","",IF(S41="","",S41))</f>
        <v/>
      </c>
      <c r="T42" s="249">
        <f>IF(OR(P42="",W42=""),"",P42-W42)</f>
        <v/>
      </c>
      <c r="U42" s="258">
        <f>IF($A42="","",IF(U41="","",U41))</f>
        <v/>
      </c>
      <c r="V42" s="249">
        <f>IF(P42="","",P42+IF(Q42="",0,Q42)+IF(R42="",0,R42))</f>
        <v/>
      </c>
      <c r="W42" s="255" t="n"/>
      <c r="X42" s="249">
        <f>SUMIFS('09_CF_원금'!$E$6:$E$92,'09_CF_원금'!$D$6:$D$92,"국장",'09_CF_원금'!$A$6:$A$92,"&lt;="&amp;$A42)-SUMIFS('09_CF_원금'!$E$6:$E$92,'09_CF_원금'!$C$6:$C$92,"국장",'09_CF_원금'!$A$6:$A$92,"&lt;="&amp;$A42)</f>
        <v/>
      </c>
      <c r="Y42" s="249">
        <f>SUMIFS('09_CF_원금'!$E$6:$E$92,'09_CF_원금'!$D$6:$D$92,"미장",'09_CF_원금'!$A$6:$A$92,"&lt;="&amp;$A42)-SUMIFS('09_CF_원금'!$E$6:$E$92,'09_CF_원금'!$C$6:$C$92,"미장",'09_CF_원금'!$A$6:$A$92,"&lt;="&amp;$A42)</f>
        <v/>
      </c>
      <c r="Z42" s="249">
        <f>SUMIFS('09_CF_원금'!$E$6:$E$92,'09_CF_원금'!$D$6:$D$92,"ISA",'09_CF_원금'!$A$6:$A$92,"&lt;="&amp;$A42)-SUMIFS('09_CF_원금'!$E$6:$E$92,'09_CF_원금'!$C$6:$C$92,"ISA",'09_CF_원금'!$A$6:$A$92,"&lt;="&amp;$A42)</f>
        <v/>
      </c>
      <c r="AA42" s="249">
        <f>IF($A42="","",X42+Y42+Z42+SUMIFS('09_CF_원금'!$E$6:$E$92,'09_CF_원금'!$D$6:$D$92,"중국",'09_CF_원금'!$A$6:$A$92,"&lt;="&amp;$A42)-SUMIFS('09_CF_원금'!$E$6:$E$92,'09_CF_원금'!$C$6:$C$92,"중국",'09_CF_원금'!$A$6:$A$92,"&lt;="&amp;$A42)+SUMIFS('09_CF_원금'!$E$6:$E$92,'09_CF_원금'!$D$6:$D$92,"업비트",'09_CF_원금'!$A$6:$A$92,"&lt;="&amp;$A42)-SUMIFS('09_CF_원금'!$E$6:$E$92,'09_CF_원금'!$C$6:$C$92,"업비트",'09_CF_원금'!$A$6:$A$92,"&lt;="&amp;$A42))</f>
        <v/>
      </c>
      <c r="AB42" s="249">
        <f>IF(OR(U42="",V42=""),"",U42-(V42-IF(S42="",0,S42)))</f>
        <v/>
      </c>
      <c r="AC42" s="249">
        <f>IF(AB42="","",T42+AB42)</f>
        <v/>
      </c>
      <c r="AD42" s="249">
        <f>IF(B42="","",MAX($B$5:B42))</f>
        <v/>
      </c>
      <c r="AE42" s="256" t="n">
        <v>25163</v>
      </c>
      <c r="AF42" s="255" t="n">
        <v>166028654</v>
      </c>
      <c r="AG42" s="255" t="n">
        <v>124694738</v>
      </c>
      <c r="AH42" s="255" t="n">
        <v>33660643</v>
      </c>
      <c r="AI42" s="255" t="n">
        <v>7673273</v>
      </c>
      <c r="AJ42" s="257">
        <f>IF($A42="","",YEAR($A42)*100+MONTH($A42))</f>
        <v/>
      </c>
      <c r="AK42" s="257">
        <f>IF($A42="","",IF($N42="",0,1))</f>
        <v/>
      </c>
    </row>
    <row r="43">
      <c r="A43" s="247" t="n">
        <v>46062</v>
      </c>
      <c r="B43" s="248">
        <f>IF(V43&lt;&gt;"",V43-T43,IF(AF43&lt;&gt;"",AA43+AF43,""))</f>
        <v/>
      </c>
      <c r="C43" s="249">
        <f>IF(OR(B43="",B42=""),"",B43-B42)</f>
        <v/>
      </c>
      <c r="D43" s="248">
        <f>IF(OR(B43="",AA43=""),"",B43-AA43)</f>
        <v/>
      </c>
      <c r="E43" s="250">
        <f>IF(OR(B43="",AD43=0),"",MIN(0,B43/AD43-1))</f>
        <v/>
      </c>
      <c r="F43" s="250">
        <f>IF(OR(U43="",T43=0,T43=""),"",(P43-T43*1.4)/U43)</f>
        <v/>
      </c>
      <c r="G43" s="251">
        <f>IF(OR(AC43="",'09_CF_원금'!$B$108=0),"",AC43/'09_CF_원금'!$B$108)</f>
        <v/>
      </c>
      <c r="H43" s="250">
        <f>IF(OR(U43="",U43=0,AC43=""),"",AC43/U43)</f>
        <v/>
      </c>
      <c r="I43" s="250">
        <f>IF(OR(S43="",U43=""),"",S43/(U43+S43))</f>
        <v/>
      </c>
      <c r="J43" s="248">
        <f>IF(W43&lt;&gt;"",W43-X43,IF(AG43&lt;&gt;"",AG43,""))</f>
        <v/>
      </c>
      <c r="K43" s="248">
        <f>IF(Q43&lt;&gt;"",Q43-Y43,IF(AH43&lt;&gt;"",AH43,""))</f>
        <v/>
      </c>
      <c r="L43" s="248">
        <f>IF(R43&lt;&gt;"",R43-Z43,IF(AI43&lt;&gt;"",AI43,""))</f>
        <v/>
      </c>
      <c r="M43" s="252" t="n"/>
      <c r="N43" s="253" t="n"/>
      <c r="O43" s="254" t="n"/>
      <c r="P43" s="255" t="n"/>
      <c r="Q43" s="258">
        <f>IF($A43="","",IF(Q42="","",Q42))</f>
        <v/>
      </c>
      <c r="R43" s="258">
        <f>IF($A43="","",IF(R42="","",R42))</f>
        <v/>
      </c>
      <c r="S43" s="258">
        <f>IF($A43="","",IF(S42="","",S42))</f>
        <v/>
      </c>
      <c r="T43" s="249">
        <f>IF(OR(P43="",W43=""),"",P43-W43)</f>
        <v/>
      </c>
      <c r="U43" s="258">
        <f>IF($A43="","",IF(U42="","",U42))</f>
        <v/>
      </c>
      <c r="V43" s="249">
        <f>IF(P43="","",P43+IF(Q43="",0,Q43)+IF(R43="",0,R43))</f>
        <v/>
      </c>
      <c r="W43" s="255" t="n"/>
      <c r="X43" s="249">
        <f>SUMIFS('09_CF_원금'!$E$6:$E$92,'09_CF_원금'!$D$6:$D$92,"국장",'09_CF_원금'!$A$6:$A$92,"&lt;="&amp;$A43)-SUMIFS('09_CF_원금'!$E$6:$E$92,'09_CF_원금'!$C$6:$C$92,"국장",'09_CF_원금'!$A$6:$A$92,"&lt;="&amp;$A43)</f>
        <v/>
      </c>
      <c r="Y43" s="249">
        <f>SUMIFS('09_CF_원금'!$E$6:$E$92,'09_CF_원금'!$D$6:$D$92,"미장",'09_CF_원금'!$A$6:$A$92,"&lt;="&amp;$A43)-SUMIFS('09_CF_원금'!$E$6:$E$92,'09_CF_원금'!$C$6:$C$92,"미장",'09_CF_원금'!$A$6:$A$92,"&lt;="&amp;$A43)</f>
        <v/>
      </c>
      <c r="Z43" s="249">
        <f>SUMIFS('09_CF_원금'!$E$6:$E$92,'09_CF_원금'!$D$6:$D$92,"ISA",'09_CF_원금'!$A$6:$A$92,"&lt;="&amp;$A43)-SUMIFS('09_CF_원금'!$E$6:$E$92,'09_CF_원금'!$C$6:$C$92,"ISA",'09_CF_원금'!$A$6:$A$92,"&lt;="&amp;$A43)</f>
        <v/>
      </c>
      <c r="AA43" s="249">
        <f>IF($A43="","",X43+Y43+Z43+SUMIFS('09_CF_원금'!$E$6:$E$92,'09_CF_원금'!$D$6:$D$92,"중국",'09_CF_원금'!$A$6:$A$92,"&lt;="&amp;$A43)-SUMIFS('09_CF_원금'!$E$6:$E$92,'09_CF_원금'!$C$6:$C$92,"중국",'09_CF_원금'!$A$6:$A$92,"&lt;="&amp;$A43)+SUMIFS('09_CF_원금'!$E$6:$E$92,'09_CF_원금'!$D$6:$D$92,"업비트",'09_CF_원금'!$A$6:$A$92,"&lt;="&amp;$A43)-SUMIFS('09_CF_원금'!$E$6:$E$92,'09_CF_원금'!$C$6:$C$92,"업비트",'09_CF_원금'!$A$6:$A$92,"&lt;="&amp;$A43))</f>
        <v/>
      </c>
      <c r="AB43" s="249">
        <f>IF(OR(U43="",V43=""),"",U43-(V43-IF(S43="",0,S43)))</f>
        <v/>
      </c>
      <c r="AC43" s="249">
        <f>IF(AB43="","",T43+AB43)</f>
        <v/>
      </c>
      <c r="AD43" s="249">
        <f>IF(B43="","",MAX($B$5:B43))</f>
        <v/>
      </c>
      <c r="AE43" s="256" t="n"/>
      <c r="AF43" s="255" t="n"/>
      <c r="AG43" s="255" t="n"/>
      <c r="AH43" s="255" t="n"/>
      <c r="AI43" s="255" t="n"/>
      <c r="AJ43" s="257">
        <f>IF($A43="","",YEAR($A43)*100+MONTH($A43))</f>
        <v/>
      </c>
      <c r="AK43" s="257">
        <f>IF($A43="","",IF($N43="",0,1))</f>
        <v/>
      </c>
    </row>
    <row r="44">
      <c r="A44" s="247" t="n">
        <v>46063</v>
      </c>
      <c r="B44" s="248">
        <f>IF(V44&lt;&gt;"",V44-T44,IF(AF44&lt;&gt;"",AA44+AF44,""))</f>
        <v/>
      </c>
      <c r="C44" s="249">
        <f>IF(OR(B44="",B43=""),"",B44-B43)</f>
        <v/>
      </c>
      <c r="D44" s="248">
        <f>IF(OR(B44="",AA44=""),"",B44-AA44)</f>
        <v/>
      </c>
      <c r="E44" s="250">
        <f>IF(OR(B44="",AD44=0),"",MIN(0,B44/AD44-1))</f>
        <v/>
      </c>
      <c r="F44" s="250">
        <f>IF(OR(U44="",T44=0,T44=""),"",(P44-T44*1.4)/U44)</f>
        <v/>
      </c>
      <c r="G44" s="251">
        <f>IF(OR(AC44="",'09_CF_원금'!$B$108=0),"",AC44/'09_CF_원금'!$B$108)</f>
        <v/>
      </c>
      <c r="H44" s="250">
        <f>IF(OR(U44="",U44=0,AC44=""),"",AC44/U44)</f>
        <v/>
      </c>
      <c r="I44" s="250">
        <f>IF(OR(S44="",U44=""),"",S44/(U44+S44))</f>
        <v/>
      </c>
      <c r="J44" s="248">
        <f>IF(W44&lt;&gt;"",W44-X44,IF(AG44&lt;&gt;"",AG44,""))</f>
        <v/>
      </c>
      <c r="K44" s="248">
        <f>IF(Q44&lt;&gt;"",Q44-Y44,IF(AH44&lt;&gt;"",AH44,""))</f>
        <v/>
      </c>
      <c r="L44" s="248">
        <f>IF(R44&lt;&gt;"",R44-Z44,IF(AI44&lt;&gt;"",AI44,""))</f>
        <v/>
      </c>
      <c r="M44" s="252" t="n"/>
      <c r="N44" s="253" t="n"/>
      <c r="O44" s="254" t="n"/>
      <c r="P44" s="255" t="n"/>
      <c r="Q44" s="258">
        <f>IF($A44="","",IF(Q43="","",Q43))</f>
        <v/>
      </c>
      <c r="R44" s="258">
        <f>IF($A44="","",IF(R43="","",R43))</f>
        <v/>
      </c>
      <c r="S44" s="258">
        <f>IF($A44="","",IF(S43="","",S43))</f>
        <v/>
      </c>
      <c r="T44" s="249">
        <f>IF(OR(P44="",W44=""),"",P44-W44)</f>
        <v/>
      </c>
      <c r="U44" s="258">
        <f>IF($A44="","",IF(U43="","",U43))</f>
        <v/>
      </c>
      <c r="V44" s="249">
        <f>IF(P44="","",P44+IF(Q44="",0,Q44)+IF(R44="",0,R44))</f>
        <v/>
      </c>
      <c r="W44" s="255" t="n"/>
      <c r="X44" s="249">
        <f>SUMIFS('09_CF_원금'!$E$6:$E$92,'09_CF_원금'!$D$6:$D$92,"국장",'09_CF_원금'!$A$6:$A$92,"&lt;="&amp;$A44)-SUMIFS('09_CF_원금'!$E$6:$E$92,'09_CF_원금'!$C$6:$C$92,"국장",'09_CF_원금'!$A$6:$A$92,"&lt;="&amp;$A44)</f>
        <v/>
      </c>
      <c r="Y44" s="249">
        <f>SUMIFS('09_CF_원금'!$E$6:$E$92,'09_CF_원금'!$D$6:$D$92,"미장",'09_CF_원금'!$A$6:$A$92,"&lt;="&amp;$A44)-SUMIFS('09_CF_원금'!$E$6:$E$92,'09_CF_원금'!$C$6:$C$92,"미장",'09_CF_원금'!$A$6:$A$92,"&lt;="&amp;$A44)</f>
        <v/>
      </c>
      <c r="Z44" s="249">
        <f>SUMIFS('09_CF_원금'!$E$6:$E$92,'09_CF_원금'!$D$6:$D$92,"ISA",'09_CF_원금'!$A$6:$A$92,"&lt;="&amp;$A44)-SUMIFS('09_CF_원금'!$E$6:$E$92,'09_CF_원금'!$C$6:$C$92,"ISA",'09_CF_원금'!$A$6:$A$92,"&lt;="&amp;$A44)</f>
        <v/>
      </c>
      <c r="AA44" s="249">
        <f>IF($A44="","",X44+Y44+Z44+SUMIFS('09_CF_원금'!$E$6:$E$92,'09_CF_원금'!$D$6:$D$92,"중국",'09_CF_원금'!$A$6:$A$92,"&lt;="&amp;$A44)-SUMIFS('09_CF_원금'!$E$6:$E$92,'09_CF_원금'!$C$6:$C$92,"중국",'09_CF_원금'!$A$6:$A$92,"&lt;="&amp;$A44)+SUMIFS('09_CF_원금'!$E$6:$E$92,'09_CF_원금'!$D$6:$D$92,"업비트",'09_CF_원금'!$A$6:$A$92,"&lt;="&amp;$A44)-SUMIFS('09_CF_원금'!$E$6:$E$92,'09_CF_원금'!$C$6:$C$92,"업비트",'09_CF_원금'!$A$6:$A$92,"&lt;="&amp;$A44))</f>
        <v/>
      </c>
      <c r="AB44" s="249">
        <f>IF(OR(U44="",V44=""),"",U44-(V44-IF(S44="",0,S44)))</f>
        <v/>
      </c>
      <c r="AC44" s="249">
        <f>IF(AB44="","",T44+AB44)</f>
        <v/>
      </c>
      <c r="AD44" s="249">
        <f>IF(B44="","",MAX($B$5:B44))</f>
        <v/>
      </c>
      <c r="AE44" s="256" t="n"/>
      <c r="AF44" s="255" t="n"/>
      <c r="AG44" s="255" t="n"/>
      <c r="AH44" s="255" t="n"/>
      <c r="AI44" s="255" t="n"/>
      <c r="AJ44" s="257">
        <f>IF($A44="","",YEAR($A44)*100+MONTH($A44))</f>
        <v/>
      </c>
      <c r="AK44" s="257">
        <f>IF($A44="","",IF($N44="",0,1))</f>
        <v/>
      </c>
    </row>
    <row r="45">
      <c r="A45" s="247" t="n">
        <v>46064</v>
      </c>
      <c r="B45" s="248">
        <f>IF(V45&lt;&gt;"",V45-T45,IF(AF45&lt;&gt;"",AA45+AF45,""))</f>
        <v/>
      </c>
      <c r="C45" s="249">
        <f>IF(OR(B45="",B44=""),"",B45-B44)</f>
        <v/>
      </c>
      <c r="D45" s="248">
        <f>IF(OR(B45="",AA45=""),"",B45-AA45)</f>
        <v/>
      </c>
      <c r="E45" s="250">
        <f>IF(OR(B45="",AD45=0),"",MIN(0,B45/AD45-1))</f>
        <v/>
      </c>
      <c r="F45" s="250">
        <f>IF(OR(U45="",T45=0,T45=""),"",(P45-T45*1.4)/U45)</f>
        <v/>
      </c>
      <c r="G45" s="251">
        <f>IF(OR(AC45="",'09_CF_원금'!$B$108=0),"",AC45/'09_CF_원금'!$B$108)</f>
        <v/>
      </c>
      <c r="H45" s="250">
        <f>IF(OR(U45="",U45=0,AC45=""),"",AC45/U45)</f>
        <v/>
      </c>
      <c r="I45" s="250">
        <f>IF(OR(S45="",U45=""),"",S45/(U45+S45))</f>
        <v/>
      </c>
      <c r="J45" s="248">
        <f>IF(W45&lt;&gt;"",W45-X45,IF(AG45&lt;&gt;"",AG45,""))</f>
        <v/>
      </c>
      <c r="K45" s="248">
        <f>IF(Q45&lt;&gt;"",Q45-Y45,IF(AH45&lt;&gt;"",AH45,""))</f>
        <v/>
      </c>
      <c r="L45" s="248">
        <f>IF(R45&lt;&gt;"",R45-Z45,IF(AI45&lt;&gt;"",AI45,""))</f>
        <v/>
      </c>
      <c r="M45" s="252" t="n"/>
      <c r="N45" s="253" t="n"/>
      <c r="O45" s="254" t="n"/>
      <c r="P45" s="255" t="n"/>
      <c r="Q45" s="258">
        <f>IF($A45="","",IF(Q44="","",Q44))</f>
        <v/>
      </c>
      <c r="R45" s="258">
        <f>IF($A45="","",IF(R44="","",R44))</f>
        <v/>
      </c>
      <c r="S45" s="258">
        <f>IF($A45="","",IF(S44="","",S44))</f>
        <v/>
      </c>
      <c r="T45" s="249">
        <f>IF(OR(P45="",W45=""),"",P45-W45)</f>
        <v/>
      </c>
      <c r="U45" s="258">
        <f>IF($A45="","",IF(U44="","",U44))</f>
        <v/>
      </c>
      <c r="V45" s="249">
        <f>IF(P45="","",P45+IF(Q45="",0,Q45)+IF(R45="",0,R45))</f>
        <v/>
      </c>
      <c r="W45" s="255" t="n"/>
      <c r="X45" s="249">
        <f>SUMIFS('09_CF_원금'!$E$6:$E$92,'09_CF_원금'!$D$6:$D$92,"국장",'09_CF_원금'!$A$6:$A$92,"&lt;="&amp;$A45)-SUMIFS('09_CF_원금'!$E$6:$E$92,'09_CF_원금'!$C$6:$C$92,"국장",'09_CF_원금'!$A$6:$A$92,"&lt;="&amp;$A45)</f>
        <v/>
      </c>
      <c r="Y45" s="249">
        <f>SUMIFS('09_CF_원금'!$E$6:$E$92,'09_CF_원금'!$D$6:$D$92,"미장",'09_CF_원금'!$A$6:$A$92,"&lt;="&amp;$A45)-SUMIFS('09_CF_원금'!$E$6:$E$92,'09_CF_원금'!$C$6:$C$92,"미장",'09_CF_원금'!$A$6:$A$92,"&lt;="&amp;$A45)</f>
        <v/>
      </c>
      <c r="Z45" s="249">
        <f>SUMIFS('09_CF_원금'!$E$6:$E$92,'09_CF_원금'!$D$6:$D$92,"ISA",'09_CF_원금'!$A$6:$A$92,"&lt;="&amp;$A45)-SUMIFS('09_CF_원금'!$E$6:$E$92,'09_CF_원금'!$C$6:$C$92,"ISA",'09_CF_원금'!$A$6:$A$92,"&lt;="&amp;$A45)</f>
        <v/>
      </c>
      <c r="AA45" s="249">
        <f>IF($A45="","",X45+Y45+Z45+SUMIFS('09_CF_원금'!$E$6:$E$92,'09_CF_원금'!$D$6:$D$92,"중국",'09_CF_원금'!$A$6:$A$92,"&lt;="&amp;$A45)-SUMIFS('09_CF_원금'!$E$6:$E$92,'09_CF_원금'!$C$6:$C$92,"중국",'09_CF_원금'!$A$6:$A$92,"&lt;="&amp;$A45)+SUMIFS('09_CF_원금'!$E$6:$E$92,'09_CF_원금'!$D$6:$D$92,"업비트",'09_CF_원금'!$A$6:$A$92,"&lt;="&amp;$A45)-SUMIFS('09_CF_원금'!$E$6:$E$92,'09_CF_원금'!$C$6:$C$92,"업비트",'09_CF_원금'!$A$6:$A$92,"&lt;="&amp;$A45))</f>
        <v/>
      </c>
      <c r="AB45" s="249">
        <f>IF(OR(U45="",V45=""),"",U45-(V45-IF(S45="",0,S45)))</f>
        <v/>
      </c>
      <c r="AC45" s="249">
        <f>IF(AB45="","",T45+AB45)</f>
        <v/>
      </c>
      <c r="AD45" s="249">
        <f>IF(B45="","",MAX($B$5:B45))</f>
        <v/>
      </c>
      <c r="AE45" s="256" t="n"/>
      <c r="AF45" s="255" t="n"/>
      <c r="AG45" s="255" t="n"/>
      <c r="AH45" s="255" t="n"/>
      <c r="AI45" s="255" t="n"/>
      <c r="AJ45" s="257">
        <f>IF($A45="","",YEAR($A45)*100+MONTH($A45))</f>
        <v/>
      </c>
      <c r="AK45" s="257">
        <f>IF($A45="","",IF($N45="",0,1))</f>
        <v/>
      </c>
    </row>
    <row r="46">
      <c r="A46" s="247" t="n">
        <v>46065</v>
      </c>
      <c r="B46" s="248">
        <f>IF(V46&lt;&gt;"",V46-T46,IF(AF46&lt;&gt;"",AA46+AF46,""))</f>
        <v/>
      </c>
      <c r="C46" s="249">
        <f>IF(OR(B46="",B45=""),"",B46-B45)</f>
        <v/>
      </c>
      <c r="D46" s="248">
        <f>IF(OR(B46="",AA46=""),"",B46-AA46)</f>
        <v/>
      </c>
      <c r="E46" s="250">
        <f>IF(OR(B46="",AD46=0),"",MIN(0,B46/AD46-1))</f>
        <v/>
      </c>
      <c r="F46" s="250">
        <f>IF(OR(U46="",T46=0,T46=""),"",(P46-T46*1.4)/U46)</f>
        <v/>
      </c>
      <c r="G46" s="251">
        <f>IF(OR(AC46="",'09_CF_원금'!$B$108=0),"",AC46/'09_CF_원금'!$B$108)</f>
        <v/>
      </c>
      <c r="H46" s="250">
        <f>IF(OR(U46="",U46=0,AC46=""),"",AC46/U46)</f>
        <v/>
      </c>
      <c r="I46" s="250">
        <f>IF(OR(S46="",U46=""),"",S46/(U46+S46))</f>
        <v/>
      </c>
      <c r="J46" s="248">
        <f>IF(W46&lt;&gt;"",W46-X46,IF(AG46&lt;&gt;"",AG46,""))</f>
        <v/>
      </c>
      <c r="K46" s="248">
        <f>IF(Q46&lt;&gt;"",Q46-Y46,IF(AH46&lt;&gt;"",AH46,""))</f>
        <v/>
      </c>
      <c r="L46" s="248">
        <f>IF(R46&lt;&gt;"",R46-Z46,IF(AI46&lt;&gt;"",AI46,""))</f>
        <v/>
      </c>
      <c r="M46" s="252" t="n"/>
      <c r="N46" s="253" t="n"/>
      <c r="O46" s="254" t="n"/>
      <c r="P46" s="255" t="n"/>
      <c r="Q46" s="258">
        <f>IF($A46="","",IF(Q45="","",Q45))</f>
        <v/>
      </c>
      <c r="R46" s="258">
        <f>IF($A46="","",IF(R45="","",R45))</f>
        <v/>
      </c>
      <c r="S46" s="258">
        <f>IF($A46="","",IF(S45="","",S45))</f>
        <v/>
      </c>
      <c r="T46" s="249">
        <f>IF(OR(P46="",W46=""),"",P46-W46)</f>
        <v/>
      </c>
      <c r="U46" s="258">
        <f>IF($A46="","",IF(U45="","",U45))</f>
        <v/>
      </c>
      <c r="V46" s="249">
        <f>IF(P46="","",P46+IF(Q46="",0,Q46)+IF(R46="",0,R46))</f>
        <v/>
      </c>
      <c r="W46" s="255" t="n"/>
      <c r="X46" s="249">
        <f>SUMIFS('09_CF_원금'!$E$6:$E$92,'09_CF_원금'!$D$6:$D$92,"국장",'09_CF_원금'!$A$6:$A$92,"&lt;="&amp;$A46)-SUMIFS('09_CF_원금'!$E$6:$E$92,'09_CF_원금'!$C$6:$C$92,"국장",'09_CF_원금'!$A$6:$A$92,"&lt;="&amp;$A46)</f>
        <v/>
      </c>
      <c r="Y46" s="249">
        <f>SUMIFS('09_CF_원금'!$E$6:$E$92,'09_CF_원금'!$D$6:$D$92,"미장",'09_CF_원금'!$A$6:$A$92,"&lt;="&amp;$A46)-SUMIFS('09_CF_원금'!$E$6:$E$92,'09_CF_원금'!$C$6:$C$92,"미장",'09_CF_원금'!$A$6:$A$92,"&lt;="&amp;$A46)</f>
        <v/>
      </c>
      <c r="Z46" s="249">
        <f>SUMIFS('09_CF_원금'!$E$6:$E$92,'09_CF_원금'!$D$6:$D$92,"ISA",'09_CF_원금'!$A$6:$A$92,"&lt;="&amp;$A46)-SUMIFS('09_CF_원금'!$E$6:$E$92,'09_CF_원금'!$C$6:$C$92,"ISA",'09_CF_원금'!$A$6:$A$92,"&lt;="&amp;$A46)</f>
        <v/>
      </c>
      <c r="AA46" s="249">
        <f>IF($A46="","",X46+Y46+Z46+SUMIFS('09_CF_원금'!$E$6:$E$92,'09_CF_원금'!$D$6:$D$92,"중국",'09_CF_원금'!$A$6:$A$92,"&lt;="&amp;$A46)-SUMIFS('09_CF_원금'!$E$6:$E$92,'09_CF_원금'!$C$6:$C$92,"중국",'09_CF_원금'!$A$6:$A$92,"&lt;="&amp;$A46)+SUMIFS('09_CF_원금'!$E$6:$E$92,'09_CF_원금'!$D$6:$D$92,"업비트",'09_CF_원금'!$A$6:$A$92,"&lt;="&amp;$A46)-SUMIFS('09_CF_원금'!$E$6:$E$92,'09_CF_원금'!$C$6:$C$92,"업비트",'09_CF_원금'!$A$6:$A$92,"&lt;="&amp;$A46))</f>
        <v/>
      </c>
      <c r="AB46" s="249">
        <f>IF(OR(U46="",V46=""),"",U46-(V46-IF(S46="",0,S46)))</f>
        <v/>
      </c>
      <c r="AC46" s="249">
        <f>IF(AB46="","",T46+AB46)</f>
        <v/>
      </c>
      <c r="AD46" s="249">
        <f>IF(B46="","",MAX($B$5:B46))</f>
        <v/>
      </c>
      <c r="AE46" s="256" t="n"/>
      <c r="AF46" s="255" t="n"/>
      <c r="AG46" s="255" t="n"/>
      <c r="AH46" s="255" t="n"/>
      <c r="AI46" s="255" t="n"/>
      <c r="AJ46" s="257">
        <f>IF($A46="","",YEAR($A46)*100+MONTH($A46))</f>
        <v/>
      </c>
      <c r="AK46" s="257">
        <f>IF($A46="","",IF($N46="",0,1))</f>
        <v/>
      </c>
    </row>
    <row r="47">
      <c r="A47" s="247" t="n">
        <v>46066</v>
      </c>
      <c r="B47" s="248">
        <f>IF(V47&lt;&gt;"",V47-T47,IF(AF47&lt;&gt;"",AA47+AF47,""))</f>
        <v/>
      </c>
      <c r="C47" s="249">
        <f>IF(OR(B47="",B46=""),"",B47-B46)</f>
        <v/>
      </c>
      <c r="D47" s="248">
        <f>IF(OR(B47="",AA47=""),"",B47-AA47)</f>
        <v/>
      </c>
      <c r="E47" s="250">
        <f>IF(OR(B47="",AD47=0),"",MIN(0,B47/AD47-1))</f>
        <v/>
      </c>
      <c r="F47" s="250">
        <f>IF(OR(U47="",T47=0,T47=""),"",(P47-T47*1.4)/U47)</f>
        <v/>
      </c>
      <c r="G47" s="251">
        <f>IF(OR(AC47="",'09_CF_원금'!$B$108=0),"",AC47/'09_CF_원금'!$B$108)</f>
        <v/>
      </c>
      <c r="H47" s="250">
        <f>IF(OR(U47="",U47=0,AC47=""),"",AC47/U47)</f>
        <v/>
      </c>
      <c r="I47" s="250">
        <f>IF(OR(S47="",U47=""),"",S47/(U47+S47))</f>
        <v/>
      </c>
      <c r="J47" s="248">
        <f>IF(W47&lt;&gt;"",W47-X47,IF(AG47&lt;&gt;"",AG47,""))</f>
        <v/>
      </c>
      <c r="K47" s="248">
        <f>IF(Q47&lt;&gt;"",Q47-Y47,IF(AH47&lt;&gt;"",AH47,""))</f>
        <v/>
      </c>
      <c r="L47" s="248">
        <f>IF(R47&lt;&gt;"",R47-Z47,IF(AI47&lt;&gt;"",AI47,""))</f>
        <v/>
      </c>
      <c r="M47" s="252" t="n"/>
      <c r="N47" s="253" t="n"/>
      <c r="O47" s="254" t="n"/>
      <c r="P47" s="255" t="n"/>
      <c r="Q47" s="258">
        <f>IF($A47="","",IF(Q46="","",Q46))</f>
        <v/>
      </c>
      <c r="R47" s="258">
        <f>IF($A47="","",IF(R46="","",R46))</f>
        <v/>
      </c>
      <c r="S47" s="258">
        <f>IF($A47="","",IF(S46="","",S46))</f>
        <v/>
      </c>
      <c r="T47" s="249">
        <f>IF(OR(P47="",W47=""),"",P47-W47)</f>
        <v/>
      </c>
      <c r="U47" s="258">
        <f>IF($A47="","",IF(U46="","",U46))</f>
        <v/>
      </c>
      <c r="V47" s="249">
        <f>IF(P47="","",P47+IF(Q47="",0,Q47)+IF(R47="",0,R47))</f>
        <v/>
      </c>
      <c r="W47" s="255" t="n"/>
      <c r="X47" s="249">
        <f>SUMIFS('09_CF_원금'!$E$6:$E$92,'09_CF_원금'!$D$6:$D$92,"국장",'09_CF_원금'!$A$6:$A$92,"&lt;="&amp;$A47)-SUMIFS('09_CF_원금'!$E$6:$E$92,'09_CF_원금'!$C$6:$C$92,"국장",'09_CF_원금'!$A$6:$A$92,"&lt;="&amp;$A47)</f>
        <v/>
      </c>
      <c r="Y47" s="249">
        <f>SUMIFS('09_CF_원금'!$E$6:$E$92,'09_CF_원금'!$D$6:$D$92,"미장",'09_CF_원금'!$A$6:$A$92,"&lt;="&amp;$A47)-SUMIFS('09_CF_원금'!$E$6:$E$92,'09_CF_원금'!$C$6:$C$92,"미장",'09_CF_원금'!$A$6:$A$92,"&lt;="&amp;$A47)</f>
        <v/>
      </c>
      <c r="Z47" s="249">
        <f>SUMIFS('09_CF_원금'!$E$6:$E$92,'09_CF_원금'!$D$6:$D$92,"ISA",'09_CF_원금'!$A$6:$A$92,"&lt;="&amp;$A47)-SUMIFS('09_CF_원금'!$E$6:$E$92,'09_CF_원금'!$C$6:$C$92,"ISA",'09_CF_원금'!$A$6:$A$92,"&lt;="&amp;$A47)</f>
        <v/>
      </c>
      <c r="AA47" s="249">
        <f>IF($A47="","",X47+Y47+Z47+SUMIFS('09_CF_원금'!$E$6:$E$92,'09_CF_원금'!$D$6:$D$92,"중국",'09_CF_원금'!$A$6:$A$92,"&lt;="&amp;$A47)-SUMIFS('09_CF_원금'!$E$6:$E$92,'09_CF_원금'!$C$6:$C$92,"중국",'09_CF_원금'!$A$6:$A$92,"&lt;="&amp;$A47)+SUMIFS('09_CF_원금'!$E$6:$E$92,'09_CF_원금'!$D$6:$D$92,"업비트",'09_CF_원금'!$A$6:$A$92,"&lt;="&amp;$A47)-SUMIFS('09_CF_원금'!$E$6:$E$92,'09_CF_원금'!$C$6:$C$92,"업비트",'09_CF_원금'!$A$6:$A$92,"&lt;="&amp;$A47))</f>
        <v/>
      </c>
      <c r="AB47" s="249">
        <f>IF(OR(U47="",V47=""),"",U47-(V47-IF(S47="",0,S47)))</f>
        <v/>
      </c>
      <c r="AC47" s="249">
        <f>IF(AB47="","",T47+AB47)</f>
        <v/>
      </c>
      <c r="AD47" s="249">
        <f>IF(B47="","",MAX($B$5:B47))</f>
        <v/>
      </c>
      <c r="AE47" s="256" t="n">
        <v>24803</v>
      </c>
      <c r="AF47" s="255" t="n">
        <v>195378168</v>
      </c>
      <c r="AG47" s="255" t="n">
        <v>159945767</v>
      </c>
      <c r="AH47" s="255" t="n">
        <v>27170421</v>
      </c>
      <c r="AI47" s="255" t="n">
        <v>8261980</v>
      </c>
      <c r="AJ47" s="257">
        <f>IF($A47="","",YEAR($A47)*100+MONTH($A47))</f>
        <v/>
      </c>
      <c r="AK47" s="257">
        <f>IF($A47="","",IF($N47="",0,1))</f>
        <v/>
      </c>
    </row>
    <row r="48">
      <c r="A48" s="247" t="n">
        <v>46069</v>
      </c>
      <c r="B48" s="248">
        <f>IF(V48&lt;&gt;"",V48-T48,IF(AF48&lt;&gt;"",AA48+AF48,""))</f>
        <v/>
      </c>
      <c r="C48" s="249">
        <f>IF(OR(B48="",B47=""),"",B48-B47)</f>
        <v/>
      </c>
      <c r="D48" s="248">
        <f>IF(OR(B48="",AA48=""),"",B48-AA48)</f>
        <v/>
      </c>
      <c r="E48" s="250">
        <f>IF(OR(B48="",AD48=0),"",MIN(0,B48/AD48-1))</f>
        <v/>
      </c>
      <c r="F48" s="250">
        <f>IF(OR(U48="",T48=0,T48=""),"",(P48-T48*1.4)/U48)</f>
        <v/>
      </c>
      <c r="G48" s="251">
        <f>IF(OR(AC48="",'09_CF_원금'!$B$108=0),"",AC48/'09_CF_원금'!$B$108)</f>
        <v/>
      </c>
      <c r="H48" s="250">
        <f>IF(OR(U48="",U48=0,AC48=""),"",AC48/U48)</f>
        <v/>
      </c>
      <c r="I48" s="250">
        <f>IF(OR(S48="",U48=""),"",S48/(U48+S48))</f>
        <v/>
      </c>
      <c r="J48" s="248">
        <f>IF(W48&lt;&gt;"",W48-X48,IF(AG48&lt;&gt;"",AG48,""))</f>
        <v/>
      </c>
      <c r="K48" s="248">
        <f>IF(Q48&lt;&gt;"",Q48-Y48,IF(AH48&lt;&gt;"",AH48,""))</f>
        <v/>
      </c>
      <c r="L48" s="248">
        <f>IF(R48&lt;&gt;"",R48-Z48,IF(AI48&lt;&gt;"",AI48,""))</f>
        <v/>
      </c>
      <c r="M48" s="252" t="n"/>
      <c r="N48" s="253" t="n"/>
      <c r="O48" s="254" t="n"/>
      <c r="P48" s="255" t="n"/>
      <c r="Q48" s="258">
        <f>IF($A48="","",IF(Q47="","",Q47))</f>
        <v/>
      </c>
      <c r="R48" s="258">
        <f>IF($A48="","",IF(R47="","",R47))</f>
        <v/>
      </c>
      <c r="S48" s="258">
        <f>IF($A48="","",IF(S47="","",S47))</f>
        <v/>
      </c>
      <c r="T48" s="249">
        <f>IF(OR(P48="",W48=""),"",P48-W48)</f>
        <v/>
      </c>
      <c r="U48" s="258">
        <f>IF($A48="","",IF(U47="","",U47))</f>
        <v/>
      </c>
      <c r="V48" s="249">
        <f>IF(P48="","",P48+IF(Q48="",0,Q48)+IF(R48="",0,R48))</f>
        <v/>
      </c>
      <c r="W48" s="255" t="n"/>
      <c r="X48" s="249">
        <f>SUMIFS('09_CF_원금'!$E$6:$E$92,'09_CF_원금'!$D$6:$D$92,"국장",'09_CF_원금'!$A$6:$A$92,"&lt;="&amp;$A48)-SUMIFS('09_CF_원금'!$E$6:$E$92,'09_CF_원금'!$C$6:$C$92,"국장",'09_CF_원금'!$A$6:$A$92,"&lt;="&amp;$A48)</f>
        <v/>
      </c>
      <c r="Y48" s="249">
        <f>SUMIFS('09_CF_원금'!$E$6:$E$92,'09_CF_원금'!$D$6:$D$92,"미장",'09_CF_원금'!$A$6:$A$92,"&lt;="&amp;$A48)-SUMIFS('09_CF_원금'!$E$6:$E$92,'09_CF_원금'!$C$6:$C$92,"미장",'09_CF_원금'!$A$6:$A$92,"&lt;="&amp;$A48)</f>
        <v/>
      </c>
      <c r="Z48" s="249">
        <f>SUMIFS('09_CF_원금'!$E$6:$E$92,'09_CF_원금'!$D$6:$D$92,"ISA",'09_CF_원금'!$A$6:$A$92,"&lt;="&amp;$A48)-SUMIFS('09_CF_원금'!$E$6:$E$92,'09_CF_원금'!$C$6:$C$92,"ISA",'09_CF_원금'!$A$6:$A$92,"&lt;="&amp;$A48)</f>
        <v/>
      </c>
      <c r="AA48" s="249">
        <f>IF($A48="","",X48+Y48+Z48+SUMIFS('09_CF_원금'!$E$6:$E$92,'09_CF_원금'!$D$6:$D$92,"중국",'09_CF_원금'!$A$6:$A$92,"&lt;="&amp;$A48)-SUMIFS('09_CF_원금'!$E$6:$E$92,'09_CF_원금'!$C$6:$C$92,"중국",'09_CF_원금'!$A$6:$A$92,"&lt;="&amp;$A48)+SUMIFS('09_CF_원금'!$E$6:$E$92,'09_CF_원금'!$D$6:$D$92,"업비트",'09_CF_원금'!$A$6:$A$92,"&lt;="&amp;$A48)-SUMIFS('09_CF_원금'!$E$6:$E$92,'09_CF_원금'!$C$6:$C$92,"업비트",'09_CF_원금'!$A$6:$A$92,"&lt;="&amp;$A48))</f>
        <v/>
      </c>
      <c r="AB48" s="249">
        <f>IF(OR(U48="",V48=""),"",U48-(V48-IF(S48="",0,S48)))</f>
        <v/>
      </c>
      <c r="AC48" s="249">
        <f>IF(AB48="","",T48+AB48)</f>
        <v/>
      </c>
      <c r="AD48" s="249">
        <f>IF(B48="","",MAX($B$5:B48))</f>
        <v/>
      </c>
      <c r="AE48" s="256" t="n"/>
      <c r="AF48" s="255" t="n"/>
      <c r="AG48" s="255" t="n"/>
      <c r="AH48" s="255" t="n"/>
      <c r="AI48" s="255" t="n"/>
      <c r="AJ48" s="257">
        <f>IF($A48="","",YEAR($A48)*100+MONTH($A48))</f>
        <v/>
      </c>
      <c r="AK48" s="257">
        <f>IF($A48="","",IF($N48="",0,1))</f>
        <v/>
      </c>
    </row>
    <row r="49">
      <c r="A49" s="247" t="n">
        <v>46070</v>
      </c>
      <c r="B49" s="248">
        <f>IF(V49&lt;&gt;"",V49-T49,IF(AF49&lt;&gt;"",AA49+AF49,""))</f>
        <v/>
      </c>
      <c r="C49" s="249">
        <f>IF(OR(B49="",B48=""),"",B49-B48)</f>
        <v/>
      </c>
      <c r="D49" s="248">
        <f>IF(OR(B49="",AA49=""),"",B49-AA49)</f>
        <v/>
      </c>
      <c r="E49" s="250">
        <f>IF(OR(B49="",AD49=0),"",MIN(0,B49/AD49-1))</f>
        <v/>
      </c>
      <c r="F49" s="250">
        <f>IF(OR(U49="",T49=0,T49=""),"",(P49-T49*1.4)/U49)</f>
        <v/>
      </c>
      <c r="G49" s="251">
        <f>IF(OR(AC49="",'09_CF_원금'!$B$108=0),"",AC49/'09_CF_원금'!$B$108)</f>
        <v/>
      </c>
      <c r="H49" s="250">
        <f>IF(OR(U49="",U49=0,AC49=""),"",AC49/U49)</f>
        <v/>
      </c>
      <c r="I49" s="250">
        <f>IF(OR(S49="",U49=""),"",S49/(U49+S49))</f>
        <v/>
      </c>
      <c r="J49" s="248">
        <f>IF(W49&lt;&gt;"",W49-X49,IF(AG49&lt;&gt;"",AG49,""))</f>
        <v/>
      </c>
      <c r="K49" s="248">
        <f>IF(Q49&lt;&gt;"",Q49-Y49,IF(AH49&lt;&gt;"",AH49,""))</f>
        <v/>
      </c>
      <c r="L49" s="248">
        <f>IF(R49&lt;&gt;"",R49-Z49,IF(AI49&lt;&gt;"",AI49,""))</f>
        <v/>
      </c>
      <c r="M49" s="252" t="n"/>
      <c r="N49" s="253" t="n"/>
      <c r="O49" s="254" t="n"/>
      <c r="P49" s="255" t="n"/>
      <c r="Q49" s="258">
        <f>IF($A49="","",IF(Q48="","",Q48))</f>
        <v/>
      </c>
      <c r="R49" s="258">
        <f>IF($A49="","",IF(R48="","",R48))</f>
        <v/>
      </c>
      <c r="S49" s="258">
        <f>IF($A49="","",IF(S48="","",S48))</f>
        <v/>
      </c>
      <c r="T49" s="249">
        <f>IF(OR(P49="",W49=""),"",P49-W49)</f>
        <v/>
      </c>
      <c r="U49" s="258">
        <f>IF($A49="","",IF(U48="","",U48))</f>
        <v/>
      </c>
      <c r="V49" s="249">
        <f>IF(P49="","",P49+IF(Q49="",0,Q49)+IF(R49="",0,R49))</f>
        <v/>
      </c>
      <c r="W49" s="255" t="n"/>
      <c r="X49" s="249">
        <f>SUMIFS('09_CF_원금'!$E$6:$E$92,'09_CF_원금'!$D$6:$D$92,"국장",'09_CF_원금'!$A$6:$A$92,"&lt;="&amp;$A49)-SUMIFS('09_CF_원금'!$E$6:$E$92,'09_CF_원금'!$C$6:$C$92,"국장",'09_CF_원금'!$A$6:$A$92,"&lt;="&amp;$A49)</f>
        <v/>
      </c>
      <c r="Y49" s="249">
        <f>SUMIFS('09_CF_원금'!$E$6:$E$92,'09_CF_원금'!$D$6:$D$92,"미장",'09_CF_원금'!$A$6:$A$92,"&lt;="&amp;$A49)-SUMIFS('09_CF_원금'!$E$6:$E$92,'09_CF_원금'!$C$6:$C$92,"미장",'09_CF_원금'!$A$6:$A$92,"&lt;="&amp;$A49)</f>
        <v/>
      </c>
      <c r="Z49" s="249">
        <f>SUMIFS('09_CF_원금'!$E$6:$E$92,'09_CF_원금'!$D$6:$D$92,"ISA",'09_CF_원금'!$A$6:$A$92,"&lt;="&amp;$A49)-SUMIFS('09_CF_원금'!$E$6:$E$92,'09_CF_원금'!$C$6:$C$92,"ISA",'09_CF_원금'!$A$6:$A$92,"&lt;="&amp;$A49)</f>
        <v/>
      </c>
      <c r="AA49" s="249">
        <f>IF($A49="","",X49+Y49+Z49+SUMIFS('09_CF_원금'!$E$6:$E$92,'09_CF_원금'!$D$6:$D$92,"중국",'09_CF_원금'!$A$6:$A$92,"&lt;="&amp;$A49)-SUMIFS('09_CF_원금'!$E$6:$E$92,'09_CF_원금'!$C$6:$C$92,"중국",'09_CF_원금'!$A$6:$A$92,"&lt;="&amp;$A49)+SUMIFS('09_CF_원금'!$E$6:$E$92,'09_CF_원금'!$D$6:$D$92,"업비트",'09_CF_원금'!$A$6:$A$92,"&lt;="&amp;$A49)-SUMIFS('09_CF_원금'!$E$6:$E$92,'09_CF_원금'!$C$6:$C$92,"업비트",'09_CF_원금'!$A$6:$A$92,"&lt;="&amp;$A49))</f>
        <v/>
      </c>
      <c r="AB49" s="249">
        <f>IF(OR(U49="",V49=""),"",U49-(V49-IF(S49="",0,S49)))</f>
        <v/>
      </c>
      <c r="AC49" s="249">
        <f>IF(AB49="","",T49+AB49)</f>
        <v/>
      </c>
      <c r="AD49" s="249">
        <f>IF(B49="","",MAX($B$5:B49))</f>
        <v/>
      </c>
      <c r="AE49" s="256" t="n"/>
      <c r="AF49" s="255" t="n"/>
      <c r="AG49" s="255" t="n"/>
      <c r="AH49" s="255" t="n"/>
      <c r="AI49" s="255" t="n"/>
      <c r="AJ49" s="257">
        <f>IF($A49="","",YEAR($A49)*100+MONTH($A49))</f>
        <v/>
      </c>
      <c r="AK49" s="257">
        <f>IF($A49="","",IF($N49="",0,1))</f>
        <v/>
      </c>
    </row>
    <row r="50">
      <c r="A50" s="247" t="n">
        <v>46071</v>
      </c>
      <c r="B50" s="248">
        <f>IF(V50&lt;&gt;"",V50-T50,IF(AF50&lt;&gt;"",AA50+AF50,""))</f>
        <v/>
      </c>
      <c r="C50" s="249">
        <f>IF(OR(B50="",B49=""),"",B50-B49)</f>
        <v/>
      </c>
      <c r="D50" s="248">
        <f>IF(OR(B50="",AA50=""),"",B50-AA50)</f>
        <v/>
      </c>
      <c r="E50" s="250">
        <f>IF(OR(B50="",AD50=0),"",MIN(0,B50/AD50-1))</f>
        <v/>
      </c>
      <c r="F50" s="250">
        <f>IF(OR(U50="",T50=0,T50=""),"",(P50-T50*1.4)/U50)</f>
        <v/>
      </c>
      <c r="G50" s="251">
        <f>IF(OR(AC50="",'09_CF_원금'!$B$108=0),"",AC50/'09_CF_원금'!$B$108)</f>
        <v/>
      </c>
      <c r="H50" s="250">
        <f>IF(OR(U50="",U50=0,AC50=""),"",AC50/U50)</f>
        <v/>
      </c>
      <c r="I50" s="250">
        <f>IF(OR(S50="",U50=""),"",S50/(U50+S50))</f>
        <v/>
      </c>
      <c r="J50" s="248">
        <f>IF(W50&lt;&gt;"",W50-X50,IF(AG50&lt;&gt;"",AG50,""))</f>
        <v/>
      </c>
      <c r="K50" s="248">
        <f>IF(Q50&lt;&gt;"",Q50-Y50,IF(AH50&lt;&gt;"",AH50,""))</f>
        <v/>
      </c>
      <c r="L50" s="248">
        <f>IF(R50&lt;&gt;"",R50-Z50,IF(AI50&lt;&gt;"",AI50,""))</f>
        <v/>
      </c>
      <c r="M50" s="252" t="n"/>
      <c r="N50" s="253" t="n"/>
      <c r="O50" s="254" t="n"/>
      <c r="P50" s="255" t="n"/>
      <c r="Q50" s="258">
        <f>IF($A50="","",IF(Q49="","",Q49))</f>
        <v/>
      </c>
      <c r="R50" s="258">
        <f>IF($A50="","",IF(R49="","",R49))</f>
        <v/>
      </c>
      <c r="S50" s="258">
        <f>IF($A50="","",IF(S49="","",S49))</f>
        <v/>
      </c>
      <c r="T50" s="249">
        <f>IF(OR(P50="",W50=""),"",P50-W50)</f>
        <v/>
      </c>
      <c r="U50" s="258">
        <f>IF($A50="","",IF(U49="","",U49))</f>
        <v/>
      </c>
      <c r="V50" s="249">
        <f>IF(P50="","",P50+IF(Q50="",0,Q50)+IF(R50="",0,R50))</f>
        <v/>
      </c>
      <c r="W50" s="255" t="n"/>
      <c r="X50" s="249">
        <f>SUMIFS('09_CF_원금'!$E$6:$E$92,'09_CF_원금'!$D$6:$D$92,"국장",'09_CF_원금'!$A$6:$A$92,"&lt;="&amp;$A50)-SUMIFS('09_CF_원금'!$E$6:$E$92,'09_CF_원금'!$C$6:$C$92,"국장",'09_CF_원금'!$A$6:$A$92,"&lt;="&amp;$A50)</f>
        <v/>
      </c>
      <c r="Y50" s="249">
        <f>SUMIFS('09_CF_원금'!$E$6:$E$92,'09_CF_원금'!$D$6:$D$92,"미장",'09_CF_원금'!$A$6:$A$92,"&lt;="&amp;$A50)-SUMIFS('09_CF_원금'!$E$6:$E$92,'09_CF_원금'!$C$6:$C$92,"미장",'09_CF_원금'!$A$6:$A$92,"&lt;="&amp;$A50)</f>
        <v/>
      </c>
      <c r="Z50" s="249">
        <f>SUMIFS('09_CF_원금'!$E$6:$E$92,'09_CF_원금'!$D$6:$D$92,"ISA",'09_CF_원금'!$A$6:$A$92,"&lt;="&amp;$A50)-SUMIFS('09_CF_원금'!$E$6:$E$92,'09_CF_원금'!$C$6:$C$92,"ISA",'09_CF_원금'!$A$6:$A$92,"&lt;="&amp;$A50)</f>
        <v/>
      </c>
      <c r="AA50" s="249">
        <f>IF($A50="","",X50+Y50+Z50+SUMIFS('09_CF_원금'!$E$6:$E$92,'09_CF_원금'!$D$6:$D$92,"중국",'09_CF_원금'!$A$6:$A$92,"&lt;="&amp;$A50)-SUMIFS('09_CF_원금'!$E$6:$E$92,'09_CF_원금'!$C$6:$C$92,"중국",'09_CF_원금'!$A$6:$A$92,"&lt;="&amp;$A50)+SUMIFS('09_CF_원금'!$E$6:$E$92,'09_CF_원금'!$D$6:$D$92,"업비트",'09_CF_원금'!$A$6:$A$92,"&lt;="&amp;$A50)-SUMIFS('09_CF_원금'!$E$6:$E$92,'09_CF_원금'!$C$6:$C$92,"업비트",'09_CF_원금'!$A$6:$A$92,"&lt;="&amp;$A50))</f>
        <v/>
      </c>
      <c r="AB50" s="249">
        <f>IF(OR(U50="",V50=""),"",U50-(V50-IF(S50="",0,S50)))</f>
        <v/>
      </c>
      <c r="AC50" s="249">
        <f>IF(AB50="","",T50+AB50)</f>
        <v/>
      </c>
      <c r="AD50" s="249">
        <f>IF(B50="","",MAX($B$5:B50))</f>
        <v/>
      </c>
      <c r="AE50" s="256" t="n"/>
      <c r="AF50" s="255" t="n"/>
      <c r="AG50" s="255" t="n"/>
      <c r="AH50" s="255" t="n"/>
      <c r="AI50" s="255" t="n"/>
      <c r="AJ50" s="257">
        <f>IF($A50="","",YEAR($A50)*100+MONTH($A50))</f>
        <v/>
      </c>
      <c r="AK50" s="257">
        <f>IF($A50="","",IF($N50="",0,1))</f>
        <v/>
      </c>
    </row>
    <row r="51">
      <c r="A51" s="247" t="n">
        <v>46072</v>
      </c>
      <c r="B51" s="248">
        <f>IF(V51&lt;&gt;"",V51-T51,IF(AF51&lt;&gt;"",AA51+AF51,""))</f>
        <v/>
      </c>
      <c r="C51" s="249">
        <f>IF(OR(B51="",B50=""),"",B51-B50)</f>
        <v/>
      </c>
      <c r="D51" s="248">
        <f>IF(OR(B51="",AA51=""),"",B51-AA51)</f>
        <v/>
      </c>
      <c r="E51" s="250">
        <f>IF(OR(B51="",AD51=0),"",MIN(0,B51/AD51-1))</f>
        <v/>
      </c>
      <c r="F51" s="250">
        <f>IF(OR(U51="",T51=0,T51=""),"",(P51-T51*1.4)/U51)</f>
        <v/>
      </c>
      <c r="G51" s="251">
        <f>IF(OR(AC51="",'09_CF_원금'!$B$108=0),"",AC51/'09_CF_원금'!$B$108)</f>
        <v/>
      </c>
      <c r="H51" s="250">
        <f>IF(OR(U51="",U51=0,AC51=""),"",AC51/U51)</f>
        <v/>
      </c>
      <c r="I51" s="250">
        <f>IF(OR(S51="",U51=""),"",S51/(U51+S51))</f>
        <v/>
      </c>
      <c r="J51" s="248">
        <f>IF(W51&lt;&gt;"",W51-X51,IF(AG51&lt;&gt;"",AG51,""))</f>
        <v/>
      </c>
      <c r="K51" s="248">
        <f>IF(Q51&lt;&gt;"",Q51-Y51,IF(AH51&lt;&gt;"",AH51,""))</f>
        <v/>
      </c>
      <c r="L51" s="248">
        <f>IF(R51&lt;&gt;"",R51-Z51,IF(AI51&lt;&gt;"",AI51,""))</f>
        <v/>
      </c>
      <c r="M51" s="252" t="n"/>
      <c r="N51" s="253" t="n"/>
      <c r="O51" s="254" t="n"/>
      <c r="P51" s="255" t="n"/>
      <c r="Q51" s="258">
        <f>IF($A51="","",IF(Q50="","",Q50))</f>
        <v/>
      </c>
      <c r="R51" s="258">
        <f>IF($A51="","",IF(R50="","",R50))</f>
        <v/>
      </c>
      <c r="S51" s="258">
        <f>IF($A51="","",IF(S50="","",S50))</f>
        <v/>
      </c>
      <c r="T51" s="249">
        <f>IF(OR(P51="",W51=""),"",P51-W51)</f>
        <v/>
      </c>
      <c r="U51" s="258">
        <f>IF($A51="","",IF(U50="","",U50))</f>
        <v/>
      </c>
      <c r="V51" s="249">
        <f>IF(P51="","",P51+IF(Q51="",0,Q51)+IF(R51="",0,R51))</f>
        <v/>
      </c>
      <c r="W51" s="255" t="n"/>
      <c r="X51" s="249">
        <f>SUMIFS('09_CF_원금'!$E$6:$E$92,'09_CF_원금'!$D$6:$D$92,"국장",'09_CF_원금'!$A$6:$A$92,"&lt;="&amp;$A51)-SUMIFS('09_CF_원금'!$E$6:$E$92,'09_CF_원금'!$C$6:$C$92,"국장",'09_CF_원금'!$A$6:$A$92,"&lt;="&amp;$A51)</f>
        <v/>
      </c>
      <c r="Y51" s="249">
        <f>SUMIFS('09_CF_원금'!$E$6:$E$92,'09_CF_원금'!$D$6:$D$92,"미장",'09_CF_원금'!$A$6:$A$92,"&lt;="&amp;$A51)-SUMIFS('09_CF_원금'!$E$6:$E$92,'09_CF_원금'!$C$6:$C$92,"미장",'09_CF_원금'!$A$6:$A$92,"&lt;="&amp;$A51)</f>
        <v/>
      </c>
      <c r="Z51" s="249">
        <f>SUMIFS('09_CF_원금'!$E$6:$E$92,'09_CF_원금'!$D$6:$D$92,"ISA",'09_CF_원금'!$A$6:$A$92,"&lt;="&amp;$A51)-SUMIFS('09_CF_원금'!$E$6:$E$92,'09_CF_원금'!$C$6:$C$92,"ISA",'09_CF_원금'!$A$6:$A$92,"&lt;="&amp;$A51)</f>
        <v/>
      </c>
      <c r="AA51" s="249">
        <f>IF($A51="","",X51+Y51+Z51+SUMIFS('09_CF_원금'!$E$6:$E$92,'09_CF_원금'!$D$6:$D$92,"중국",'09_CF_원금'!$A$6:$A$92,"&lt;="&amp;$A51)-SUMIFS('09_CF_원금'!$E$6:$E$92,'09_CF_원금'!$C$6:$C$92,"중국",'09_CF_원금'!$A$6:$A$92,"&lt;="&amp;$A51)+SUMIFS('09_CF_원금'!$E$6:$E$92,'09_CF_원금'!$D$6:$D$92,"업비트",'09_CF_원금'!$A$6:$A$92,"&lt;="&amp;$A51)-SUMIFS('09_CF_원금'!$E$6:$E$92,'09_CF_원금'!$C$6:$C$92,"업비트",'09_CF_원금'!$A$6:$A$92,"&lt;="&amp;$A51))</f>
        <v/>
      </c>
      <c r="AB51" s="249">
        <f>IF(OR(U51="",V51=""),"",U51-(V51-IF(S51="",0,S51)))</f>
        <v/>
      </c>
      <c r="AC51" s="249">
        <f>IF(AB51="","",T51+AB51)</f>
        <v/>
      </c>
      <c r="AD51" s="249">
        <f>IF(B51="","",MAX($B$5:B51))</f>
        <v/>
      </c>
      <c r="AE51" s="256" t="n"/>
      <c r="AF51" s="255" t="n"/>
      <c r="AG51" s="255" t="n"/>
      <c r="AH51" s="255" t="n"/>
      <c r="AI51" s="255" t="n"/>
      <c r="AJ51" s="257">
        <f>IF($A51="","",YEAR($A51)*100+MONTH($A51))</f>
        <v/>
      </c>
      <c r="AK51" s="257">
        <f>IF($A51="","",IF($N51="",0,1))</f>
        <v/>
      </c>
    </row>
    <row r="52">
      <c r="A52" s="247" t="n">
        <v>46073</v>
      </c>
      <c r="B52" s="248">
        <f>IF(V52&lt;&gt;"",V52-T52,IF(AF52&lt;&gt;"",AA52+AF52,""))</f>
        <v/>
      </c>
      <c r="C52" s="249">
        <f>IF(OR(B52="",B51=""),"",B52-B51)</f>
        <v/>
      </c>
      <c r="D52" s="248">
        <f>IF(OR(B52="",AA52=""),"",B52-AA52)</f>
        <v/>
      </c>
      <c r="E52" s="250">
        <f>IF(OR(B52="",AD52=0),"",MIN(0,B52/AD52-1))</f>
        <v/>
      </c>
      <c r="F52" s="250">
        <f>IF(OR(U52="",T52=0,T52=""),"",(P52-T52*1.4)/U52)</f>
        <v/>
      </c>
      <c r="G52" s="251">
        <f>IF(OR(AC52="",'09_CF_원금'!$B$108=0),"",AC52/'09_CF_원금'!$B$108)</f>
        <v/>
      </c>
      <c r="H52" s="250">
        <f>IF(OR(U52="",U52=0,AC52=""),"",AC52/U52)</f>
        <v/>
      </c>
      <c r="I52" s="250">
        <f>IF(OR(S52="",U52=""),"",S52/(U52+S52))</f>
        <v/>
      </c>
      <c r="J52" s="248">
        <f>IF(W52&lt;&gt;"",W52-X52,IF(AG52&lt;&gt;"",AG52,""))</f>
        <v/>
      </c>
      <c r="K52" s="248">
        <f>IF(Q52&lt;&gt;"",Q52-Y52,IF(AH52&lt;&gt;"",AH52,""))</f>
        <v/>
      </c>
      <c r="L52" s="248">
        <f>IF(R52&lt;&gt;"",R52-Z52,IF(AI52&lt;&gt;"",AI52,""))</f>
        <v/>
      </c>
      <c r="M52" s="252" t="n"/>
      <c r="N52" s="253" t="n"/>
      <c r="O52" s="254" t="n"/>
      <c r="P52" s="255" t="n"/>
      <c r="Q52" s="258">
        <f>IF($A52="","",IF(Q51="","",Q51))</f>
        <v/>
      </c>
      <c r="R52" s="258">
        <f>IF($A52="","",IF(R51="","",R51))</f>
        <v/>
      </c>
      <c r="S52" s="258">
        <f>IF($A52="","",IF(S51="","",S51))</f>
        <v/>
      </c>
      <c r="T52" s="249">
        <f>IF(OR(P52="",W52=""),"",P52-W52)</f>
        <v/>
      </c>
      <c r="U52" s="258">
        <f>IF($A52="","",IF(U51="","",U51))</f>
        <v/>
      </c>
      <c r="V52" s="249">
        <f>IF(P52="","",P52+IF(Q52="",0,Q52)+IF(R52="",0,R52))</f>
        <v/>
      </c>
      <c r="W52" s="255" t="n"/>
      <c r="X52" s="249">
        <f>SUMIFS('09_CF_원금'!$E$6:$E$92,'09_CF_원금'!$D$6:$D$92,"국장",'09_CF_원금'!$A$6:$A$92,"&lt;="&amp;$A52)-SUMIFS('09_CF_원금'!$E$6:$E$92,'09_CF_원금'!$C$6:$C$92,"국장",'09_CF_원금'!$A$6:$A$92,"&lt;="&amp;$A52)</f>
        <v/>
      </c>
      <c r="Y52" s="249">
        <f>SUMIFS('09_CF_원금'!$E$6:$E$92,'09_CF_원금'!$D$6:$D$92,"미장",'09_CF_원금'!$A$6:$A$92,"&lt;="&amp;$A52)-SUMIFS('09_CF_원금'!$E$6:$E$92,'09_CF_원금'!$C$6:$C$92,"미장",'09_CF_원금'!$A$6:$A$92,"&lt;="&amp;$A52)</f>
        <v/>
      </c>
      <c r="Z52" s="249">
        <f>SUMIFS('09_CF_원금'!$E$6:$E$92,'09_CF_원금'!$D$6:$D$92,"ISA",'09_CF_원금'!$A$6:$A$92,"&lt;="&amp;$A52)-SUMIFS('09_CF_원금'!$E$6:$E$92,'09_CF_원금'!$C$6:$C$92,"ISA",'09_CF_원금'!$A$6:$A$92,"&lt;="&amp;$A52)</f>
        <v/>
      </c>
      <c r="AA52" s="249">
        <f>IF($A52="","",X52+Y52+Z52+SUMIFS('09_CF_원금'!$E$6:$E$92,'09_CF_원금'!$D$6:$D$92,"중국",'09_CF_원금'!$A$6:$A$92,"&lt;="&amp;$A52)-SUMIFS('09_CF_원금'!$E$6:$E$92,'09_CF_원금'!$C$6:$C$92,"중국",'09_CF_원금'!$A$6:$A$92,"&lt;="&amp;$A52)+SUMIFS('09_CF_원금'!$E$6:$E$92,'09_CF_원금'!$D$6:$D$92,"업비트",'09_CF_원금'!$A$6:$A$92,"&lt;="&amp;$A52)-SUMIFS('09_CF_원금'!$E$6:$E$92,'09_CF_원금'!$C$6:$C$92,"업비트",'09_CF_원금'!$A$6:$A$92,"&lt;="&amp;$A52))</f>
        <v/>
      </c>
      <c r="AB52" s="249">
        <f>IF(OR(U52="",V52=""),"",U52-(V52-IF(S52="",0,S52)))</f>
        <v/>
      </c>
      <c r="AC52" s="249">
        <f>IF(AB52="","",T52+AB52)</f>
        <v/>
      </c>
      <c r="AD52" s="249">
        <f>IF(B52="","",MAX($B$5:B52))</f>
        <v/>
      </c>
      <c r="AE52" s="256" t="n">
        <v>25067.5</v>
      </c>
      <c r="AF52" s="255" t="n">
        <v>235766797</v>
      </c>
      <c r="AG52" s="255" t="n">
        <v>192834168</v>
      </c>
      <c r="AH52" s="255" t="n">
        <v>33037662</v>
      </c>
      <c r="AI52" s="255" t="n">
        <v>9894967</v>
      </c>
      <c r="AJ52" s="257">
        <f>IF($A52="","",YEAR($A52)*100+MONTH($A52))</f>
        <v/>
      </c>
      <c r="AK52" s="257">
        <f>IF($A52="","",IF($N52="",0,1))</f>
        <v/>
      </c>
    </row>
    <row r="53">
      <c r="A53" s="247" t="n">
        <v>46076</v>
      </c>
      <c r="B53" s="248">
        <f>IF(V53&lt;&gt;"",V53-T53,IF(AF53&lt;&gt;"",AA53+AF53,""))</f>
        <v/>
      </c>
      <c r="C53" s="249">
        <f>IF(OR(B53="",B52=""),"",B53-B52)</f>
        <v/>
      </c>
      <c r="D53" s="248">
        <f>IF(OR(B53="",AA53=""),"",B53-AA53)</f>
        <v/>
      </c>
      <c r="E53" s="250">
        <f>IF(OR(B53="",AD53=0),"",MIN(0,B53/AD53-1))</f>
        <v/>
      </c>
      <c r="F53" s="250">
        <f>IF(OR(U53="",T53=0,T53=""),"",(P53-T53*1.4)/U53)</f>
        <v/>
      </c>
      <c r="G53" s="251">
        <f>IF(OR(AC53="",'09_CF_원금'!$B$108=0),"",AC53/'09_CF_원금'!$B$108)</f>
        <v/>
      </c>
      <c r="H53" s="250">
        <f>IF(OR(U53="",U53=0,AC53=""),"",AC53/U53)</f>
        <v/>
      </c>
      <c r="I53" s="250">
        <f>IF(OR(S53="",U53=""),"",S53/(U53+S53))</f>
        <v/>
      </c>
      <c r="J53" s="248">
        <f>IF(W53&lt;&gt;"",W53-X53,IF(AG53&lt;&gt;"",AG53,""))</f>
        <v/>
      </c>
      <c r="K53" s="248">
        <f>IF(Q53&lt;&gt;"",Q53-Y53,IF(AH53&lt;&gt;"",AH53,""))</f>
        <v/>
      </c>
      <c r="L53" s="248">
        <f>IF(R53&lt;&gt;"",R53-Z53,IF(AI53&lt;&gt;"",AI53,""))</f>
        <v/>
      </c>
      <c r="M53" s="252" t="n"/>
      <c r="N53" s="253" t="n"/>
      <c r="O53" s="254" t="n"/>
      <c r="P53" s="255" t="n"/>
      <c r="Q53" s="258">
        <f>IF($A53="","",IF(Q52="","",Q52))</f>
        <v/>
      </c>
      <c r="R53" s="258">
        <f>IF($A53="","",IF(R52="","",R52))</f>
        <v/>
      </c>
      <c r="S53" s="258">
        <f>IF($A53="","",IF(S52="","",S52))</f>
        <v/>
      </c>
      <c r="T53" s="249">
        <f>IF(OR(P53="",W53=""),"",P53-W53)</f>
        <v/>
      </c>
      <c r="U53" s="258">
        <f>IF($A53="","",IF(U52="","",U52))</f>
        <v/>
      </c>
      <c r="V53" s="249">
        <f>IF(P53="","",P53+IF(Q53="",0,Q53)+IF(R53="",0,R53))</f>
        <v/>
      </c>
      <c r="W53" s="255" t="n"/>
      <c r="X53" s="249">
        <f>SUMIFS('09_CF_원금'!$E$6:$E$92,'09_CF_원금'!$D$6:$D$92,"국장",'09_CF_원금'!$A$6:$A$92,"&lt;="&amp;$A53)-SUMIFS('09_CF_원금'!$E$6:$E$92,'09_CF_원금'!$C$6:$C$92,"국장",'09_CF_원금'!$A$6:$A$92,"&lt;="&amp;$A53)</f>
        <v/>
      </c>
      <c r="Y53" s="249">
        <f>SUMIFS('09_CF_원금'!$E$6:$E$92,'09_CF_원금'!$D$6:$D$92,"미장",'09_CF_원금'!$A$6:$A$92,"&lt;="&amp;$A53)-SUMIFS('09_CF_원금'!$E$6:$E$92,'09_CF_원금'!$C$6:$C$92,"미장",'09_CF_원금'!$A$6:$A$92,"&lt;="&amp;$A53)</f>
        <v/>
      </c>
      <c r="Z53" s="249">
        <f>SUMIFS('09_CF_원금'!$E$6:$E$92,'09_CF_원금'!$D$6:$D$92,"ISA",'09_CF_원금'!$A$6:$A$92,"&lt;="&amp;$A53)-SUMIFS('09_CF_원금'!$E$6:$E$92,'09_CF_원금'!$C$6:$C$92,"ISA",'09_CF_원금'!$A$6:$A$92,"&lt;="&amp;$A53)</f>
        <v/>
      </c>
      <c r="AA53" s="249">
        <f>IF($A53="","",X53+Y53+Z53+SUMIFS('09_CF_원금'!$E$6:$E$92,'09_CF_원금'!$D$6:$D$92,"중국",'09_CF_원금'!$A$6:$A$92,"&lt;="&amp;$A53)-SUMIFS('09_CF_원금'!$E$6:$E$92,'09_CF_원금'!$C$6:$C$92,"중국",'09_CF_원금'!$A$6:$A$92,"&lt;="&amp;$A53)+SUMIFS('09_CF_원금'!$E$6:$E$92,'09_CF_원금'!$D$6:$D$92,"업비트",'09_CF_원금'!$A$6:$A$92,"&lt;="&amp;$A53)-SUMIFS('09_CF_원금'!$E$6:$E$92,'09_CF_원금'!$C$6:$C$92,"업비트",'09_CF_원금'!$A$6:$A$92,"&lt;="&amp;$A53))</f>
        <v/>
      </c>
      <c r="AB53" s="249">
        <f>IF(OR(U53="",V53=""),"",U53-(V53-IF(S53="",0,S53)))</f>
        <v/>
      </c>
      <c r="AC53" s="249">
        <f>IF(AB53="","",T53+AB53)</f>
        <v/>
      </c>
      <c r="AD53" s="249">
        <f>IF(B53="","",MAX($B$5:B53))</f>
        <v/>
      </c>
      <c r="AE53" s="256" t="n"/>
      <c r="AF53" s="255" t="n"/>
      <c r="AG53" s="255" t="n"/>
      <c r="AH53" s="255" t="n"/>
      <c r="AI53" s="255" t="n"/>
      <c r="AJ53" s="257">
        <f>IF($A53="","",YEAR($A53)*100+MONTH($A53))</f>
        <v/>
      </c>
      <c r="AK53" s="257">
        <f>IF($A53="","",IF($N53="",0,1))</f>
        <v/>
      </c>
    </row>
    <row r="54">
      <c r="A54" s="247" t="n">
        <v>46077</v>
      </c>
      <c r="B54" s="248">
        <f>IF(V54&lt;&gt;"",V54-T54,IF(AF54&lt;&gt;"",AA54+AF54,""))</f>
        <v/>
      </c>
      <c r="C54" s="249">
        <f>IF(OR(B54="",B53=""),"",B54-B53)</f>
        <v/>
      </c>
      <c r="D54" s="248">
        <f>IF(OR(B54="",AA54=""),"",B54-AA54)</f>
        <v/>
      </c>
      <c r="E54" s="250">
        <f>IF(OR(B54="",AD54=0),"",MIN(0,B54/AD54-1))</f>
        <v/>
      </c>
      <c r="F54" s="250">
        <f>IF(OR(U54="",T54=0,T54=""),"",(P54-T54*1.4)/U54)</f>
        <v/>
      </c>
      <c r="G54" s="251">
        <f>IF(OR(AC54="",'09_CF_원금'!$B$108=0),"",AC54/'09_CF_원금'!$B$108)</f>
        <v/>
      </c>
      <c r="H54" s="250">
        <f>IF(OR(U54="",U54=0,AC54=""),"",AC54/U54)</f>
        <v/>
      </c>
      <c r="I54" s="250">
        <f>IF(OR(S54="",U54=""),"",S54/(U54+S54))</f>
        <v/>
      </c>
      <c r="J54" s="248">
        <f>IF(W54&lt;&gt;"",W54-X54,IF(AG54&lt;&gt;"",AG54,""))</f>
        <v/>
      </c>
      <c r="K54" s="248">
        <f>IF(Q54&lt;&gt;"",Q54-Y54,IF(AH54&lt;&gt;"",AH54,""))</f>
        <v/>
      </c>
      <c r="L54" s="248">
        <f>IF(R54&lt;&gt;"",R54-Z54,IF(AI54&lt;&gt;"",AI54,""))</f>
        <v/>
      </c>
      <c r="M54" s="252" t="n"/>
      <c r="N54" s="253" t="n"/>
      <c r="O54" s="254" t="n"/>
      <c r="P54" s="255" t="n"/>
      <c r="Q54" s="258">
        <f>IF($A54="","",IF(Q53="","",Q53))</f>
        <v/>
      </c>
      <c r="R54" s="258">
        <f>IF($A54="","",IF(R53="","",R53))</f>
        <v/>
      </c>
      <c r="S54" s="258">
        <f>IF($A54="","",IF(S53="","",S53))</f>
        <v/>
      </c>
      <c r="T54" s="249">
        <f>IF(OR(P54="",W54=""),"",P54-W54)</f>
        <v/>
      </c>
      <c r="U54" s="258">
        <f>IF($A54="","",IF(U53="","",U53))</f>
        <v/>
      </c>
      <c r="V54" s="249">
        <f>IF(P54="","",P54+IF(Q54="",0,Q54)+IF(R54="",0,R54))</f>
        <v/>
      </c>
      <c r="W54" s="255" t="n"/>
      <c r="X54" s="249">
        <f>SUMIFS('09_CF_원금'!$E$6:$E$92,'09_CF_원금'!$D$6:$D$92,"국장",'09_CF_원금'!$A$6:$A$92,"&lt;="&amp;$A54)-SUMIFS('09_CF_원금'!$E$6:$E$92,'09_CF_원금'!$C$6:$C$92,"국장",'09_CF_원금'!$A$6:$A$92,"&lt;="&amp;$A54)</f>
        <v/>
      </c>
      <c r="Y54" s="249">
        <f>SUMIFS('09_CF_원금'!$E$6:$E$92,'09_CF_원금'!$D$6:$D$92,"미장",'09_CF_원금'!$A$6:$A$92,"&lt;="&amp;$A54)-SUMIFS('09_CF_원금'!$E$6:$E$92,'09_CF_원금'!$C$6:$C$92,"미장",'09_CF_원금'!$A$6:$A$92,"&lt;="&amp;$A54)</f>
        <v/>
      </c>
      <c r="Z54" s="249">
        <f>SUMIFS('09_CF_원금'!$E$6:$E$92,'09_CF_원금'!$D$6:$D$92,"ISA",'09_CF_원금'!$A$6:$A$92,"&lt;="&amp;$A54)-SUMIFS('09_CF_원금'!$E$6:$E$92,'09_CF_원금'!$C$6:$C$92,"ISA",'09_CF_원금'!$A$6:$A$92,"&lt;="&amp;$A54)</f>
        <v/>
      </c>
      <c r="AA54" s="249">
        <f>IF($A54="","",X54+Y54+Z54+SUMIFS('09_CF_원금'!$E$6:$E$92,'09_CF_원금'!$D$6:$D$92,"중국",'09_CF_원금'!$A$6:$A$92,"&lt;="&amp;$A54)-SUMIFS('09_CF_원금'!$E$6:$E$92,'09_CF_원금'!$C$6:$C$92,"중국",'09_CF_원금'!$A$6:$A$92,"&lt;="&amp;$A54)+SUMIFS('09_CF_원금'!$E$6:$E$92,'09_CF_원금'!$D$6:$D$92,"업비트",'09_CF_원금'!$A$6:$A$92,"&lt;="&amp;$A54)-SUMIFS('09_CF_원금'!$E$6:$E$92,'09_CF_원금'!$C$6:$C$92,"업비트",'09_CF_원금'!$A$6:$A$92,"&lt;="&amp;$A54))</f>
        <v/>
      </c>
      <c r="AB54" s="249">
        <f>IF(OR(U54="",V54=""),"",U54-(V54-IF(S54="",0,S54)))</f>
        <v/>
      </c>
      <c r="AC54" s="249">
        <f>IF(AB54="","",T54+AB54)</f>
        <v/>
      </c>
      <c r="AD54" s="249">
        <f>IF(B54="","",MAX($B$5:B54))</f>
        <v/>
      </c>
      <c r="AE54" s="256" t="n"/>
      <c r="AF54" s="255" t="n"/>
      <c r="AG54" s="255" t="n"/>
      <c r="AH54" s="255" t="n"/>
      <c r="AI54" s="255" t="n"/>
      <c r="AJ54" s="257">
        <f>IF($A54="","",YEAR($A54)*100+MONTH($A54))</f>
        <v/>
      </c>
      <c r="AK54" s="257">
        <f>IF($A54="","",IF($N54="",0,1))</f>
        <v/>
      </c>
    </row>
    <row r="55">
      <c r="A55" s="247" t="n">
        <v>46078</v>
      </c>
      <c r="B55" s="248">
        <f>IF(V55&lt;&gt;"",V55-T55,IF(AF55&lt;&gt;"",AA55+AF55,""))</f>
        <v/>
      </c>
      <c r="C55" s="249">
        <f>IF(OR(B55="",B54=""),"",B55-B54)</f>
        <v/>
      </c>
      <c r="D55" s="248">
        <f>IF(OR(B55="",AA55=""),"",B55-AA55)</f>
        <v/>
      </c>
      <c r="E55" s="250">
        <f>IF(OR(B55="",AD55=0),"",MIN(0,B55/AD55-1))</f>
        <v/>
      </c>
      <c r="F55" s="250">
        <f>IF(OR(U55="",T55=0,T55=""),"",(P55-T55*1.4)/U55)</f>
        <v/>
      </c>
      <c r="G55" s="251">
        <f>IF(OR(AC55="",'09_CF_원금'!$B$108=0),"",AC55/'09_CF_원금'!$B$108)</f>
        <v/>
      </c>
      <c r="H55" s="250">
        <f>IF(OR(U55="",U55=0,AC55=""),"",AC55/U55)</f>
        <v/>
      </c>
      <c r="I55" s="250">
        <f>IF(OR(S55="",U55=""),"",S55/(U55+S55))</f>
        <v/>
      </c>
      <c r="J55" s="248">
        <f>IF(W55&lt;&gt;"",W55-X55,IF(AG55&lt;&gt;"",AG55,""))</f>
        <v/>
      </c>
      <c r="K55" s="248">
        <f>IF(Q55&lt;&gt;"",Q55-Y55,IF(AH55&lt;&gt;"",AH55,""))</f>
        <v/>
      </c>
      <c r="L55" s="248">
        <f>IF(R55&lt;&gt;"",R55-Z55,IF(AI55&lt;&gt;"",AI55,""))</f>
        <v/>
      </c>
      <c r="M55" s="252" t="n"/>
      <c r="N55" s="253" t="n"/>
      <c r="O55" s="254" t="n"/>
      <c r="P55" s="255" t="n"/>
      <c r="Q55" s="258">
        <f>IF($A55="","",IF(Q54="","",Q54))</f>
        <v/>
      </c>
      <c r="R55" s="258">
        <f>IF($A55="","",IF(R54="","",R54))</f>
        <v/>
      </c>
      <c r="S55" s="258">
        <f>IF($A55="","",IF(S54="","",S54))</f>
        <v/>
      </c>
      <c r="T55" s="249">
        <f>IF(OR(P55="",W55=""),"",P55-W55)</f>
        <v/>
      </c>
      <c r="U55" s="258">
        <f>IF($A55="","",IF(U54="","",U54))</f>
        <v/>
      </c>
      <c r="V55" s="249">
        <f>IF(P55="","",P55+IF(Q55="",0,Q55)+IF(R55="",0,R55))</f>
        <v/>
      </c>
      <c r="W55" s="255" t="n"/>
      <c r="X55" s="249">
        <f>SUMIFS('09_CF_원금'!$E$6:$E$92,'09_CF_원금'!$D$6:$D$92,"국장",'09_CF_원금'!$A$6:$A$92,"&lt;="&amp;$A55)-SUMIFS('09_CF_원금'!$E$6:$E$92,'09_CF_원금'!$C$6:$C$92,"국장",'09_CF_원금'!$A$6:$A$92,"&lt;="&amp;$A55)</f>
        <v/>
      </c>
      <c r="Y55" s="249">
        <f>SUMIFS('09_CF_원금'!$E$6:$E$92,'09_CF_원금'!$D$6:$D$92,"미장",'09_CF_원금'!$A$6:$A$92,"&lt;="&amp;$A55)-SUMIFS('09_CF_원금'!$E$6:$E$92,'09_CF_원금'!$C$6:$C$92,"미장",'09_CF_원금'!$A$6:$A$92,"&lt;="&amp;$A55)</f>
        <v/>
      </c>
      <c r="Z55" s="249">
        <f>SUMIFS('09_CF_원금'!$E$6:$E$92,'09_CF_원금'!$D$6:$D$92,"ISA",'09_CF_원금'!$A$6:$A$92,"&lt;="&amp;$A55)-SUMIFS('09_CF_원금'!$E$6:$E$92,'09_CF_원금'!$C$6:$C$92,"ISA",'09_CF_원금'!$A$6:$A$92,"&lt;="&amp;$A55)</f>
        <v/>
      </c>
      <c r="AA55" s="249">
        <f>IF($A55="","",X55+Y55+Z55+SUMIFS('09_CF_원금'!$E$6:$E$92,'09_CF_원금'!$D$6:$D$92,"중국",'09_CF_원금'!$A$6:$A$92,"&lt;="&amp;$A55)-SUMIFS('09_CF_원금'!$E$6:$E$92,'09_CF_원금'!$C$6:$C$92,"중국",'09_CF_원금'!$A$6:$A$92,"&lt;="&amp;$A55)+SUMIFS('09_CF_원금'!$E$6:$E$92,'09_CF_원금'!$D$6:$D$92,"업비트",'09_CF_원금'!$A$6:$A$92,"&lt;="&amp;$A55)-SUMIFS('09_CF_원금'!$E$6:$E$92,'09_CF_원금'!$C$6:$C$92,"업비트",'09_CF_원금'!$A$6:$A$92,"&lt;="&amp;$A55))</f>
        <v/>
      </c>
      <c r="AB55" s="249">
        <f>IF(OR(U55="",V55=""),"",U55-(V55-IF(S55="",0,S55)))</f>
        <v/>
      </c>
      <c r="AC55" s="249">
        <f>IF(AB55="","",T55+AB55)</f>
        <v/>
      </c>
      <c r="AD55" s="249">
        <f>IF(B55="","",MAX($B$5:B55))</f>
        <v/>
      </c>
      <c r="AE55" s="256" t="n"/>
      <c r="AF55" s="255" t="n"/>
      <c r="AG55" s="255" t="n"/>
      <c r="AH55" s="255" t="n"/>
      <c r="AI55" s="255" t="n"/>
      <c r="AJ55" s="257">
        <f>IF($A55="","",YEAR($A55)*100+MONTH($A55))</f>
        <v/>
      </c>
      <c r="AK55" s="257">
        <f>IF($A55="","",IF($N55="",0,1))</f>
        <v/>
      </c>
    </row>
    <row r="56">
      <c r="A56" s="247" t="n">
        <v>46079</v>
      </c>
      <c r="B56" s="248">
        <f>IF(V56&lt;&gt;"",V56-T56,IF(AF56&lt;&gt;"",AA56+AF56,""))</f>
        <v/>
      </c>
      <c r="C56" s="249">
        <f>IF(OR(B56="",B55=""),"",B56-B55)</f>
        <v/>
      </c>
      <c r="D56" s="248">
        <f>IF(OR(B56="",AA56=""),"",B56-AA56)</f>
        <v/>
      </c>
      <c r="E56" s="250">
        <f>IF(OR(B56="",AD56=0),"",MIN(0,B56/AD56-1))</f>
        <v/>
      </c>
      <c r="F56" s="250">
        <f>IF(OR(U56="",T56=0,T56=""),"",(P56-T56*1.4)/U56)</f>
        <v/>
      </c>
      <c r="G56" s="251">
        <f>IF(OR(AC56="",'09_CF_원금'!$B$108=0),"",AC56/'09_CF_원금'!$B$108)</f>
        <v/>
      </c>
      <c r="H56" s="250">
        <f>IF(OR(U56="",U56=0,AC56=""),"",AC56/U56)</f>
        <v/>
      </c>
      <c r="I56" s="250">
        <f>IF(OR(S56="",U56=""),"",S56/(U56+S56))</f>
        <v/>
      </c>
      <c r="J56" s="248">
        <f>IF(W56&lt;&gt;"",W56-X56,IF(AG56&lt;&gt;"",AG56,""))</f>
        <v/>
      </c>
      <c r="K56" s="248">
        <f>IF(Q56&lt;&gt;"",Q56-Y56,IF(AH56&lt;&gt;"",AH56,""))</f>
        <v/>
      </c>
      <c r="L56" s="248">
        <f>IF(R56&lt;&gt;"",R56-Z56,IF(AI56&lt;&gt;"",AI56,""))</f>
        <v/>
      </c>
      <c r="M56" s="252" t="n"/>
      <c r="N56" s="253" t="n"/>
      <c r="O56" s="254" t="n"/>
      <c r="P56" s="255" t="n"/>
      <c r="Q56" s="258">
        <f>IF($A56="","",IF(Q55="","",Q55))</f>
        <v/>
      </c>
      <c r="R56" s="258">
        <f>IF($A56="","",IF(R55="","",R55))</f>
        <v/>
      </c>
      <c r="S56" s="258">
        <f>IF($A56="","",IF(S55="","",S55))</f>
        <v/>
      </c>
      <c r="T56" s="249">
        <f>IF(OR(P56="",W56=""),"",P56-W56)</f>
        <v/>
      </c>
      <c r="U56" s="258">
        <f>IF($A56="","",IF(U55="","",U55))</f>
        <v/>
      </c>
      <c r="V56" s="249">
        <f>IF(P56="","",P56+IF(Q56="",0,Q56)+IF(R56="",0,R56))</f>
        <v/>
      </c>
      <c r="W56" s="255" t="n"/>
      <c r="X56" s="249">
        <f>SUMIFS('09_CF_원금'!$E$6:$E$92,'09_CF_원금'!$D$6:$D$92,"국장",'09_CF_원금'!$A$6:$A$92,"&lt;="&amp;$A56)-SUMIFS('09_CF_원금'!$E$6:$E$92,'09_CF_원금'!$C$6:$C$92,"국장",'09_CF_원금'!$A$6:$A$92,"&lt;="&amp;$A56)</f>
        <v/>
      </c>
      <c r="Y56" s="249">
        <f>SUMIFS('09_CF_원금'!$E$6:$E$92,'09_CF_원금'!$D$6:$D$92,"미장",'09_CF_원금'!$A$6:$A$92,"&lt;="&amp;$A56)-SUMIFS('09_CF_원금'!$E$6:$E$92,'09_CF_원금'!$C$6:$C$92,"미장",'09_CF_원금'!$A$6:$A$92,"&lt;="&amp;$A56)</f>
        <v/>
      </c>
      <c r="Z56" s="249">
        <f>SUMIFS('09_CF_원금'!$E$6:$E$92,'09_CF_원금'!$D$6:$D$92,"ISA",'09_CF_원금'!$A$6:$A$92,"&lt;="&amp;$A56)-SUMIFS('09_CF_원금'!$E$6:$E$92,'09_CF_원금'!$C$6:$C$92,"ISA",'09_CF_원금'!$A$6:$A$92,"&lt;="&amp;$A56)</f>
        <v/>
      </c>
      <c r="AA56" s="249">
        <f>IF($A56="","",X56+Y56+Z56+SUMIFS('09_CF_원금'!$E$6:$E$92,'09_CF_원금'!$D$6:$D$92,"중국",'09_CF_원금'!$A$6:$A$92,"&lt;="&amp;$A56)-SUMIFS('09_CF_원금'!$E$6:$E$92,'09_CF_원금'!$C$6:$C$92,"중국",'09_CF_원금'!$A$6:$A$92,"&lt;="&amp;$A56)+SUMIFS('09_CF_원금'!$E$6:$E$92,'09_CF_원금'!$D$6:$D$92,"업비트",'09_CF_원금'!$A$6:$A$92,"&lt;="&amp;$A56)-SUMIFS('09_CF_원금'!$E$6:$E$92,'09_CF_원금'!$C$6:$C$92,"업비트",'09_CF_원금'!$A$6:$A$92,"&lt;="&amp;$A56))</f>
        <v/>
      </c>
      <c r="AB56" s="249">
        <f>IF(OR(U56="",V56=""),"",U56-(V56-IF(S56="",0,S56)))</f>
        <v/>
      </c>
      <c r="AC56" s="249">
        <f>IF(AB56="","",T56+AB56)</f>
        <v/>
      </c>
      <c r="AD56" s="249">
        <f>IF(B56="","",MAX($B$5:B56))</f>
        <v/>
      </c>
      <c r="AE56" s="256" t="n"/>
      <c r="AF56" s="255" t="n"/>
      <c r="AG56" s="255" t="n"/>
      <c r="AH56" s="255" t="n"/>
      <c r="AI56" s="255" t="n"/>
      <c r="AJ56" s="257">
        <f>IF($A56="","",YEAR($A56)*100+MONTH($A56))</f>
        <v/>
      </c>
      <c r="AK56" s="257">
        <f>IF($A56="","",IF($N56="",0,1))</f>
        <v/>
      </c>
    </row>
    <row r="57">
      <c r="A57" s="247" t="n">
        <v>46080</v>
      </c>
      <c r="B57" s="248">
        <f>IF(V57&lt;&gt;"",V57-T57,IF(AF57&lt;&gt;"",AA57+AF57,""))</f>
        <v/>
      </c>
      <c r="C57" s="249">
        <f>IF(OR(B57="",B56=""),"",B57-B56)</f>
        <v/>
      </c>
      <c r="D57" s="248">
        <f>IF(OR(B57="",AA57=""),"",B57-AA57)</f>
        <v/>
      </c>
      <c r="E57" s="250">
        <f>IF(OR(B57="",AD57=0),"",MIN(0,B57/AD57-1))</f>
        <v/>
      </c>
      <c r="F57" s="250">
        <f>IF(OR(U57="",T57=0,T57=""),"",(P57-T57*1.4)/U57)</f>
        <v/>
      </c>
      <c r="G57" s="251">
        <f>IF(OR(AC57="",'09_CF_원금'!$B$108=0),"",AC57/'09_CF_원금'!$B$108)</f>
        <v/>
      </c>
      <c r="H57" s="250">
        <f>IF(OR(U57="",U57=0,AC57=""),"",AC57/U57)</f>
        <v/>
      </c>
      <c r="I57" s="250">
        <f>IF(OR(S57="",U57=""),"",S57/(U57+S57))</f>
        <v/>
      </c>
      <c r="J57" s="248">
        <f>IF(W57&lt;&gt;"",W57-X57,IF(AG57&lt;&gt;"",AG57,""))</f>
        <v/>
      </c>
      <c r="K57" s="248">
        <f>IF(Q57&lt;&gt;"",Q57-Y57,IF(AH57&lt;&gt;"",AH57,""))</f>
        <v/>
      </c>
      <c r="L57" s="248">
        <f>IF(R57&lt;&gt;"",R57-Z57,IF(AI57&lt;&gt;"",AI57,""))</f>
        <v/>
      </c>
      <c r="M57" s="252" t="n"/>
      <c r="N57" s="253" t="n"/>
      <c r="O57" s="254" t="inlineStr">
        <is>
          <t>'26 고점권</t>
        </is>
      </c>
      <c r="P57" s="255" t="n"/>
      <c r="Q57" s="258">
        <f>IF($A57="","",IF(Q56="","",Q56))</f>
        <v/>
      </c>
      <c r="R57" s="258">
        <f>IF($A57="","",IF(R56="","",R56))</f>
        <v/>
      </c>
      <c r="S57" s="258">
        <f>IF($A57="","",IF(S56="","",S56))</f>
        <v/>
      </c>
      <c r="T57" s="249">
        <f>IF(OR(P57="",W57=""),"",P57-W57)</f>
        <v/>
      </c>
      <c r="U57" s="258">
        <f>IF($A57="","",IF(U56="","",U56))</f>
        <v/>
      </c>
      <c r="V57" s="249">
        <f>IF(P57="","",P57+IF(Q57="",0,Q57)+IF(R57="",0,R57))</f>
        <v/>
      </c>
      <c r="W57" s="255" t="n"/>
      <c r="X57" s="249">
        <f>SUMIFS('09_CF_원금'!$E$6:$E$92,'09_CF_원금'!$D$6:$D$92,"국장",'09_CF_원금'!$A$6:$A$92,"&lt;="&amp;$A57)-SUMIFS('09_CF_원금'!$E$6:$E$92,'09_CF_원금'!$C$6:$C$92,"국장",'09_CF_원금'!$A$6:$A$92,"&lt;="&amp;$A57)</f>
        <v/>
      </c>
      <c r="Y57" s="249">
        <f>SUMIFS('09_CF_원금'!$E$6:$E$92,'09_CF_원금'!$D$6:$D$92,"미장",'09_CF_원금'!$A$6:$A$92,"&lt;="&amp;$A57)-SUMIFS('09_CF_원금'!$E$6:$E$92,'09_CF_원금'!$C$6:$C$92,"미장",'09_CF_원금'!$A$6:$A$92,"&lt;="&amp;$A57)</f>
        <v/>
      </c>
      <c r="Z57" s="249">
        <f>SUMIFS('09_CF_원금'!$E$6:$E$92,'09_CF_원금'!$D$6:$D$92,"ISA",'09_CF_원금'!$A$6:$A$92,"&lt;="&amp;$A57)-SUMIFS('09_CF_원금'!$E$6:$E$92,'09_CF_원금'!$C$6:$C$92,"ISA",'09_CF_원금'!$A$6:$A$92,"&lt;="&amp;$A57)</f>
        <v/>
      </c>
      <c r="AA57" s="249">
        <f>IF($A57="","",X57+Y57+Z57+SUMIFS('09_CF_원금'!$E$6:$E$92,'09_CF_원금'!$D$6:$D$92,"중국",'09_CF_원금'!$A$6:$A$92,"&lt;="&amp;$A57)-SUMIFS('09_CF_원금'!$E$6:$E$92,'09_CF_원금'!$C$6:$C$92,"중국",'09_CF_원금'!$A$6:$A$92,"&lt;="&amp;$A57)+SUMIFS('09_CF_원금'!$E$6:$E$92,'09_CF_원금'!$D$6:$D$92,"업비트",'09_CF_원금'!$A$6:$A$92,"&lt;="&amp;$A57)-SUMIFS('09_CF_원금'!$E$6:$E$92,'09_CF_원금'!$C$6:$C$92,"업비트",'09_CF_원금'!$A$6:$A$92,"&lt;="&amp;$A57))</f>
        <v/>
      </c>
      <c r="AB57" s="249">
        <f>IF(OR(U57="",V57=""),"",U57-(V57-IF(S57="",0,S57)))</f>
        <v/>
      </c>
      <c r="AC57" s="249">
        <f>IF(AB57="","",T57+AB57)</f>
        <v/>
      </c>
      <c r="AD57" s="249">
        <f>IF(B57="","",MAX($B$5:B57))</f>
        <v/>
      </c>
      <c r="AE57" s="256" t="n">
        <v>24977.25</v>
      </c>
      <c r="AF57" s="255" t="n">
        <v>306753322</v>
      </c>
      <c r="AG57" s="255" t="n">
        <v>271306879</v>
      </c>
      <c r="AH57" s="255" t="n">
        <v>24580175</v>
      </c>
      <c r="AI57" s="255" t="n">
        <v>10866268</v>
      </c>
      <c r="AJ57" s="257">
        <f>IF($A57="","",YEAR($A57)*100+MONTH($A57))</f>
        <v/>
      </c>
      <c r="AK57" s="257">
        <f>IF($A57="","",IF($N57="",0,1))</f>
        <v/>
      </c>
    </row>
    <row r="58">
      <c r="A58" s="247" t="n">
        <v>46083</v>
      </c>
      <c r="B58" s="248">
        <f>IF(V58&lt;&gt;"",V58-T58,IF(AF58&lt;&gt;"",AA58+AF58,""))</f>
        <v/>
      </c>
      <c r="C58" s="249">
        <f>IF(OR(B58="",B57=""),"",B58-B57)</f>
        <v/>
      </c>
      <c r="D58" s="248">
        <f>IF(OR(B58="",AA58=""),"",B58-AA58)</f>
        <v/>
      </c>
      <c r="E58" s="250">
        <f>IF(OR(B58="",AD58=0),"",MIN(0,B58/AD58-1))</f>
        <v/>
      </c>
      <c r="F58" s="250">
        <f>IF(OR(U58="",T58=0,T58=""),"",(P58-T58*1.4)/U58)</f>
        <v/>
      </c>
      <c r="G58" s="251">
        <f>IF(OR(AC58="",'09_CF_원금'!$B$108=0),"",AC58/'09_CF_원금'!$B$108)</f>
        <v/>
      </c>
      <c r="H58" s="250">
        <f>IF(OR(U58="",U58=0,AC58=""),"",AC58/U58)</f>
        <v/>
      </c>
      <c r="I58" s="250">
        <f>IF(OR(S58="",U58=""),"",S58/(U58+S58))</f>
        <v/>
      </c>
      <c r="J58" s="248">
        <f>IF(W58&lt;&gt;"",W58-X58,IF(AG58&lt;&gt;"",AG58,""))</f>
        <v/>
      </c>
      <c r="K58" s="248">
        <f>IF(Q58&lt;&gt;"",Q58-Y58,IF(AH58&lt;&gt;"",AH58,""))</f>
        <v/>
      </c>
      <c r="L58" s="248">
        <f>IF(R58&lt;&gt;"",R58-Z58,IF(AI58&lt;&gt;"",AI58,""))</f>
        <v/>
      </c>
      <c r="M58" s="252" t="n"/>
      <c r="N58" s="253" t="n"/>
      <c r="O58" s="254" t="n"/>
      <c r="P58" s="255" t="n"/>
      <c r="Q58" s="258">
        <f>IF($A58="","",IF(Q57="","",Q57))</f>
        <v/>
      </c>
      <c r="R58" s="258">
        <f>IF($A58="","",IF(R57="","",R57))</f>
        <v/>
      </c>
      <c r="S58" s="258">
        <f>IF($A58="","",IF(S57="","",S57))</f>
        <v/>
      </c>
      <c r="T58" s="249">
        <f>IF(OR(P58="",W58=""),"",P58-W58)</f>
        <v/>
      </c>
      <c r="U58" s="258">
        <f>IF($A58="","",IF(U57="","",U57))</f>
        <v/>
      </c>
      <c r="V58" s="249">
        <f>IF(P58="","",P58+IF(Q58="",0,Q58)+IF(R58="",0,R58))</f>
        <v/>
      </c>
      <c r="W58" s="255" t="n"/>
      <c r="X58" s="249">
        <f>SUMIFS('09_CF_원금'!$E$6:$E$92,'09_CF_원금'!$D$6:$D$92,"국장",'09_CF_원금'!$A$6:$A$92,"&lt;="&amp;$A58)-SUMIFS('09_CF_원금'!$E$6:$E$92,'09_CF_원금'!$C$6:$C$92,"국장",'09_CF_원금'!$A$6:$A$92,"&lt;="&amp;$A58)</f>
        <v/>
      </c>
      <c r="Y58" s="249">
        <f>SUMIFS('09_CF_원금'!$E$6:$E$92,'09_CF_원금'!$D$6:$D$92,"미장",'09_CF_원금'!$A$6:$A$92,"&lt;="&amp;$A58)-SUMIFS('09_CF_원금'!$E$6:$E$92,'09_CF_원금'!$C$6:$C$92,"미장",'09_CF_원금'!$A$6:$A$92,"&lt;="&amp;$A58)</f>
        <v/>
      </c>
      <c r="Z58" s="249">
        <f>SUMIFS('09_CF_원금'!$E$6:$E$92,'09_CF_원금'!$D$6:$D$92,"ISA",'09_CF_원금'!$A$6:$A$92,"&lt;="&amp;$A58)-SUMIFS('09_CF_원금'!$E$6:$E$92,'09_CF_원금'!$C$6:$C$92,"ISA",'09_CF_원금'!$A$6:$A$92,"&lt;="&amp;$A58)</f>
        <v/>
      </c>
      <c r="AA58" s="249">
        <f>IF($A58="","",X58+Y58+Z58+SUMIFS('09_CF_원금'!$E$6:$E$92,'09_CF_원금'!$D$6:$D$92,"중국",'09_CF_원금'!$A$6:$A$92,"&lt;="&amp;$A58)-SUMIFS('09_CF_원금'!$E$6:$E$92,'09_CF_원금'!$C$6:$C$92,"중국",'09_CF_원금'!$A$6:$A$92,"&lt;="&amp;$A58)+SUMIFS('09_CF_원금'!$E$6:$E$92,'09_CF_원금'!$D$6:$D$92,"업비트",'09_CF_원금'!$A$6:$A$92,"&lt;="&amp;$A58)-SUMIFS('09_CF_원금'!$E$6:$E$92,'09_CF_원금'!$C$6:$C$92,"업비트",'09_CF_원금'!$A$6:$A$92,"&lt;="&amp;$A58))</f>
        <v/>
      </c>
      <c r="AB58" s="249">
        <f>IF(OR(U58="",V58=""),"",U58-(V58-IF(S58="",0,S58)))</f>
        <v/>
      </c>
      <c r="AC58" s="249">
        <f>IF(AB58="","",T58+AB58)</f>
        <v/>
      </c>
      <c r="AD58" s="249">
        <f>IF(B58="","",MAX($B$5:B58))</f>
        <v/>
      </c>
      <c r="AE58" s="256" t="n"/>
      <c r="AF58" s="255" t="n"/>
      <c r="AG58" s="255" t="n"/>
      <c r="AH58" s="255" t="n"/>
      <c r="AI58" s="255" t="n"/>
      <c r="AJ58" s="257">
        <f>IF($A58="","",YEAR($A58)*100+MONTH($A58))</f>
        <v/>
      </c>
      <c r="AK58" s="257">
        <f>IF($A58="","",IF($N58="",0,1))</f>
        <v/>
      </c>
    </row>
    <row r="59">
      <c r="A59" s="247" t="n">
        <v>46084</v>
      </c>
      <c r="B59" s="248">
        <f>IF(V59&lt;&gt;"",V59-T59,IF(AF59&lt;&gt;"",AA59+AF59,""))</f>
        <v/>
      </c>
      <c r="C59" s="249">
        <f>IF(OR(B59="",B58=""),"",B59-B58)</f>
        <v/>
      </c>
      <c r="D59" s="248">
        <f>IF(OR(B59="",AA59=""),"",B59-AA59)</f>
        <v/>
      </c>
      <c r="E59" s="250">
        <f>IF(OR(B59="",AD59=0),"",MIN(0,B59/AD59-1))</f>
        <v/>
      </c>
      <c r="F59" s="250">
        <f>IF(OR(U59="",T59=0,T59=""),"",(P59-T59*1.4)/U59)</f>
        <v/>
      </c>
      <c r="G59" s="251">
        <f>IF(OR(AC59="",'09_CF_원금'!$B$108=0),"",AC59/'09_CF_원금'!$B$108)</f>
        <v/>
      </c>
      <c r="H59" s="250">
        <f>IF(OR(U59="",U59=0,AC59=""),"",AC59/U59)</f>
        <v/>
      </c>
      <c r="I59" s="250">
        <f>IF(OR(S59="",U59=""),"",S59/(U59+S59))</f>
        <v/>
      </c>
      <c r="J59" s="248">
        <f>IF(W59&lt;&gt;"",W59-X59,IF(AG59&lt;&gt;"",AG59,""))</f>
        <v/>
      </c>
      <c r="K59" s="248">
        <f>IF(Q59&lt;&gt;"",Q59-Y59,IF(AH59&lt;&gt;"",AH59,""))</f>
        <v/>
      </c>
      <c r="L59" s="248">
        <f>IF(R59&lt;&gt;"",R59-Z59,IF(AI59&lt;&gt;"",AI59,""))</f>
        <v/>
      </c>
      <c r="M59" s="252" t="n"/>
      <c r="N59" s="253" t="n"/>
      <c r="O59" s="254" t="n"/>
      <c r="P59" s="255" t="n"/>
      <c r="Q59" s="258">
        <f>IF($A59="","",IF(Q58="","",Q58))</f>
        <v/>
      </c>
      <c r="R59" s="258">
        <f>IF($A59="","",IF(R58="","",R58))</f>
        <v/>
      </c>
      <c r="S59" s="258">
        <f>IF($A59="","",IF(S58="","",S58))</f>
        <v/>
      </c>
      <c r="T59" s="249">
        <f>IF(OR(P59="",W59=""),"",P59-W59)</f>
        <v/>
      </c>
      <c r="U59" s="258">
        <f>IF($A59="","",IF(U58="","",U58))</f>
        <v/>
      </c>
      <c r="V59" s="249">
        <f>IF(P59="","",P59+IF(Q59="",0,Q59)+IF(R59="",0,R59))</f>
        <v/>
      </c>
      <c r="W59" s="255" t="n"/>
      <c r="X59" s="249">
        <f>SUMIFS('09_CF_원금'!$E$6:$E$92,'09_CF_원금'!$D$6:$D$92,"국장",'09_CF_원금'!$A$6:$A$92,"&lt;="&amp;$A59)-SUMIFS('09_CF_원금'!$E$6:$E$92,'09_CF_원금'!$C$6:$C$92,"국장",'09_CF_원금'!$A$6:$A$92,"&lt;="&amp;$A59)</f>
        <v/>
      </c>
      <c r="Y59" s="249">
        <f>SUMIFS('09_CF_원금'!$E$6:$E$92,'09_CF_원금'!$D$6:$D$92,"미장",'09_CF_원금'!$A$6:$A$92,"&lt;="&amp;$A59)-SUMIFS('09_CF_원금'!$E$6:$E$92,'09_CF_원금'!$C$6:$C$92,"미장",'09_CF_원금'!$A$6:$A$92,"&lt;="&amp;$A59)</f>
        <v/>
      </c>
      <c r="Z59" s="249">
        <f>SUMIFS('09_CF_원금'!$E$6:$E$92,'09_CF_원금'!$D$6:$D$92,"ISA",'09_CF_원금'!$A$6:$A$92,"&lt;="&amp;$A59)-SUMIFS('09_CF_원금'!$E$6:$E$92,'09_CF_원금'!$C$6:$C$92,"ISA",'09_CF_원금'!$A$6:$A$92,"&lt;="&amp;$A59)</f>
        <v/>
      </c>
      <c r="AA59" s="249">
        <f>IF($A59="","",X59+Y59+Z59+SUMIFS('09_CF_원금'!$E$6:$E$92,'09_CF_원금'!$D$6:$D$92,"중국",'09_CF_원금'!$A$6:$A$92,"&lt;="&amp;$A59)-SUMIFS('09_CF_원금'!$E$6:$E$92,'09_CF_원금'!$C$6:$C$92,"중국",'09_CF_원금'!$A$6:$A$92,"&lt;="&amp;$A59)+SUMIFS('09_CF_원금'!$E$6:$E$92,'09_CF_원금'!$D$6:$D$92,"업비트",'09_CF_원금'!$A$6:$A$92,"&lt;="&amp;$A59)-SUMIFS('09_CF_원금'!$E$6:$E$92,'09_CF_원금'!$C$6:$C$92,"업비트",'09_CF_원금'!$A$6:$A$92,"&lt;="&amp;$A59))</f>
        <v/>
      </c>
      <c r="AB59" s="249">
        <f>IF(OR(U59="",V59=""),"",U59-(V59-IF(S59="",0,S59)))</f>
        <v/>
      </c>
      <c r="AC59" s="249">
        <f>IF(AB59="","",T59+AB59)</f>
        <v/>
      </c>
      <c r="AD59" s="249">
        <f>IF(B59="","",MAX($B$5:B59))</f>
        <v/>
      </c>
      <c r="AE59" s="256" t="n"/>
      <c r="AF59" s="255" t="n"/>
      <c r="AG59" s="255" t="n"/>
      <c r="AH59" s="255" t="n"/>
      <c r="AI59" s="255" t="n"/>
      <c r="AJ59" s="257">
        <f>IF($A59="","",YEAR($A59)*100+MONTH($A59))</f>
        <v/>
      </c>
      <c r="AK59" s="257">
        <f>IF($A59="","",IF($N59="",0,1))</f>
        <v/>
      </c>
    </row>
    <row r="60">
      <c r="A60" s="247" t="n">
        <v>46085</v>
      </c>
      <c r="B60" s="248">
        <f>IF(V60&lt;&gt;"",V60-T60,IF(AF60&lt;&gt;"",AA60+AF60,""))</f>
        <v/>
      </c>
      <c r="C60" s="249">
        <f>IF(OR(B60="",B59=""),"",B60-B59)</f>
        <v/>
      </c>
      <c r="D60" s="248">
        <f>IF(OR(B60="",AA60=""),"",B60-AA60)</f>
        <v/>
      </c>
      <c r="E60" s="250">
        <f>IF(OR(B60="",AD60=0),"",MIN(0,B60/AD60-1))</f>
        <v/>
      </c>
      <c r="F60" s="250">
        <f>IF(OR(U60="",T60=0,T60=""),"",(P60-T60*1.4)/U60)</f>
        <v/>
      </c>
      <c r="G60" s="251">
        <f>IF(OR(AC60="",'09_CF_원금'!$B$108=0),"",AC60/'09_CF_원금'!$B$108)</f>
        <v/>
      </c>
      <c r="H60" s="250">
        <f>IF(OR(U60="",U60=0,AC60=""),"",AC60/U60)</f>
        <v/>
      </c>
      <c r="I60" s="250">
        <f>IF(OR(S60="",U60=""),"",S60/(U60+S60))</f>
        <v/>
      </c>
      <c r="J60" s="248">
        <f>IF(W60&lt;&gt;"",W60-X60,IF(AG60&lt;&gt;"",AG60,""))</f>
        <v/>
      </c>
      <c r="K60" s="248">
        <f>IF(Q60&lt;&gt;"",Q60-Y60,IF(AH60&lt;&gt;"",AH60,""))</f>
        <v/>
      </c>
      <c r="L60" s="248">
        <f>IF(R60&lt;&gt;"",R60-Z60,IF(AI60&lt;&gt;"",AI60,""))</f>
        <v/>
      </c>
      <c r="M60" s="252" t="n"/>
      <c r="N60" s="253" t="n"/>
      <c r="O60" s="254" t="n"/>
      <c r="P60" s="255" t="n"/>
      <c r="Q60" s="258">
        <f>IF($A60="","",IF(Q59="","",Q59))</f>
        <v/>
      </c>
      <c r="R60" s="258">
        <f>IF($A60="","",IF(R59="","",R59))</f>
        <v/>
      </c>
      <c r="S60" s="258">
        <f>IF($A60="","",IF(S59="","",S59))</f>
        <v/>
      </c>
      <c r="T60" s="249">
        <f>IF(OR(P60="",W60=""),"",P60-W60)</f>
        <v/>
      </c>
      <c r="U60" s="258">
        <f>IF($A60="","",IF(U59="","",U59))</f>
        <v/>
      </c>
      <c r="V60" s="249">
        <f>IF(P60="","",P60+IF(Q60="",0,Q60)+IF(R60="",0,R60))</f>
        <v/>
      </c>
      <c r="W60" s="255" t="n"/>
      <c r="X60" s="249">
        <f>SUMIFS('09_CF_원금'!$E$6:$E$92,'09_CF_원금'!$D$6:$D$92,"국장",'09_CF_원금'!$A$6:$A$92,"&lt;="&amp;$A60)-SUMIFS('09_CF_원금'!$E$6:$E$92,'09_CF_원금'!$C$6:$C$92,"국장",'09_CF_원금'!$A$6:$A$92,"&lt;="&amp;$A60)</f>
        <v/>
      </c>
      <c r="Y60" s="249">
        <f>SUMIFS('09_CF_원금'!$E$6:$E$92,'09_CF_원금'!$D$6:$D$92,"미장",'09_CF_원금'!$A$6:$A$92,"&lt;="&amp;$A60)-SUMIFS('09_CF_원금'!$E$6:$E$92,'09_CF_원금'!$C$6:$C$92,"미장",'09_CF_원금'!$A$6:$A$92,"&lt;="&amp;$A60)</f>
        <v/>
      </c>
      <c r="Z60" s="249">
        <f>SUMIFS('09_CF_원금'!$E$6:$E$92,'09_CF_원금'!$D$6:$D$92,"ISA",'09_CF_원금'!$A$6:$A$92,"&lt;="&amp;$A60)-SUMIFS('09_CF_원금'!$E$6:$E$92,'09_CF_원금'!$C$6:$C$92,"ISA",'09_CF_원금'!$A$6:$A$92,"&lt;="&amp;$A60)</f>
        <v/>
      </c>
      <c r="AA60" s="249">
        <f>IF($A60="","",X60+Y60+Z60+SUMIFS('09_CF_원금'!$E$6:$E$92,'09_CF_원금'!$D$6:$D$92,"중국",'09_CF_원금'!$A$6:$A$92,"&lt;="&amp;$A60)-SUMIFS('09_CF_원금'!$E$6:$E$92,'09_CF_원금'!$C$6:$C$92,"중국",'09_CF_원금'!$A$6:$A$92,"&lt;="&amp;$A60)+SUMIFS('09_CF_원금'!$E$6:$E$92,'09_CF_원금'!$D$6:$D$92,"업비트",'09_CF_원금'!$A$6:$A$92,"&lt;="&amp;$A60)-SUMIFS('09_CF_원금'!$E$6:$E$92,'09_CF_원금'!$C$6:$C$92,"업비트",'09_CF_원금'!$A$6:$A$92,"&lt;="&amp;$A60))</f>
        <v/>
      </c>
      <c r="AB60" s="249">
        <f>IF(OR(U60="",V60=""),"",U60-(V60-IF(S60="",0,S60)))</f>
        <v/>
      </c>
      <c r="AC60" s="249">
        <f>IF(AB60="","",T60+AB60)</f>
        <v/>
      </c>
      <c r="AD60" s="249">
        <f>IF(B60="","",MAX($B$5:B60))</f>
        <v/>
      </c>
      <c r="AE60" s="256" t="n"/>
      <c r="AF60" s="255" t="n"/>
      <c r="AG60" s="255" t="n"/>
      <c r="AH60" s="255" t="n"/>
      <c r="AI60" s="255" t="n"/>
      <c r="AJ60" s="257">
        <f>IF($A60="","",YEAR($A60)*100+MONTH($A60))</f>
        <v/>
      </c>
      <c r="AK60" s="257">
        <f>IF($A60="","",IF($N60="",0,1))</f>
        <v/>
      </c>
    </row>
    <row r="61">
      <c r="A61" s="247" t="n">
        <v>46086</v>
      </c>
      <c r="B61" s="248">
        <f>IF(V61&lt;&gt;"",V61-T61,IF(AF61&lt;&gt;"",AA61+AF61,""))</f>
        <v/>
      </c>
      <c r="C61" s="249">
        <f>IF(OR(B61="",B60=""),"",B61-B60)</f>
        <v/>
      </c>
      <c r="D61" s="248">
        <f>IF(OR(B61="",AA61=""),"",B61-AA61)</f>
        <v/>
      </c>
      <c r="E61" s="250">
        <f>IF(OR(B61="",AD61=0),"",MIN(0,B61/AD61-1))</f>
        <v/>
      </c>
      <c r="F61" s="250">
        <f>IF(OR(U61="",T61=0,T61=""),"",(P61-T61*1.4)/U61)</f>
        <v/>
      </c>
      <c r="G61" s="251">
        <f>IF(OR(AC61="",'09_CF_원금'!$B$108=0),"",AC61/'09_CF_원금'!$B$108)</f>
        <v/>
      </c>
      <c r="H61" s="250">
        <f>IF(OR(U61="",U61=0,AC61=""),"",AC61/U61)</f>
        <v/>
      </c>
      <c r="I61" s="250">
        <f>IF(OR(S61="",U61=""),"",S61/(U61+S61))</f>
        <v/>
      </c>
      <c r="J61" s="248">
        <f>IF(W61&lt;&gt;"",W61-X61,IF(AG61&lt;&gt;"",AG61,""))</f>
        <v/>
      </c>
      <c r="K61" s="248">
        <f>IF(Q61&lt;&gt;"",Q61-Y61,IF(AH61&lt;&gt;"",AH61,""))</f>
        <v/>
      </c>
      <c r="L61" s="248">
        <f>IF(R61&lt;&gt;"",R61-Z61,IF(AI61&lt;&gt;"",AI61,""))</f>
        <v/>
      </c>
      <c r="M61" s="252" t="n"/>
      <c r="N61" s="253" t="n"/>
      <c r="O61" s="254" t="n"/>
      <c r="P61" s="255" t="n"/>
      <c r="Q61" s="258">
        <f>IF($A61="","",IF(Q60="","",Q60))</f>
        <v/>
      </c>
      <c r="R61" s="258">
        <f>IF($A61="","",IF(R60="","",R60))</f>
        <v/>
      </c>
      <c r="S61" s="258">
        <f>IF($A61="","",IF(S60="","",S60))</f>
        <v/>
      </c>
      <c r="T61" s="249">
        <f>IF(OR(P61="",W61=""),"",P61-W61)</f>
        <v/>
      </c>
      <c r="U61" s="258">
        <f>IF($A61="","",IF(U60="","",U60))</f>
        <v/>
      </c>
      <c r="V61" s="249">
        <f>IF(P61="","",P61+IF(Q61="",0,Q61)+IF(R61="",0,R61))</f>
        <v/>
      </c>
      <c r="W61" s="255" t="n"/>
      <c r="X61" s="249">
        <f>SUMIFS('09_CF_원금'!$E$6:$E$92,'09_CF_원금'!$D$6:$D$92,"국장",'09_CF_원금'!$A$6:$A$92,"&lt;="&amp;$A61)-SUMIFS('09_CF_원금'!$E$6:$E$92,'09_CF_원금'!$C$6:$C$92,"국장",'09_CF_원금'!$A$6:$A$92,"&lt;="&amp;$A61)</f>
        <v/>
      </c>
      <c r="Y61" s="249">
        <f>SUMIFS('09_CF_원금'!$E$6:$E$92,'09_CF_원금'!$D$6:$D$92,"미장",'09_CF_원금'!$A$6:$A$92,"&lt;="&amp;$A61)-SUMIFS('09_CF_원금'!$E$6:$E$92,'09_CF_원금'!$C$6:$C$92,"미장",'09_CF_원금'!$A$6:$A$92,"&lt;="&amp;$A61)</f>
        <v/>
      </c>
      <c r="Z61" s="249">
        <f>SUMIFS('09_CF_원금'!$E$6:$E$92,'09_CF_원금'!$D$6:$D$92,"ISA",'09_CF_원금'!$A$6:$A$92,"&lt;="&amp;$A61)-SUMIFS('09_CF_원금'!$E$6:$E$92,'09_CF_원금'!$C$6:$C$92,"ISA",'09_CF_원금'!$A$6:$A$92,"&lt;="&amp;$A61)</f>
        <v/>
      </c>
      <c r="AA61" s="249">
        <f>IF($A61="","",X61+Y61+Z61+SUMIFS('09_CF_원금'!$E$6:$E$92,'09_CF_원금'!$D$6:$D$92,"중국",'09_CF_원금'!$A$6:$A$92,"&lt;="&amp;$A61)-SUMIFS('09_CF_원금'!$E$6:$E$92,'09_CF_원금'!$C$6:$C$92,"중국",'09_CF_원금'!$A$6:$A$92,"&lt;="&amp;$A61)+SUMIFS('09_CF_원금'!$E$6:$E$92,'09_CF_원금'!$D$6:$D$92,"업비트",'09_CF_원금'!$A$6:$A$92,"&lt;="&amp;$A61)-SUMIFS('09_CF_원금'!$E$6:$E$92,'09_CF_원금'!$C$6:$C$92,"업비트",'09_CF_원금'!$A$6:$A$92,"&lt;="&amp;$A61))</f>
        <v/>
      </c>
      <c r="AB61" s="249">
        <f>IF(OR(U61="",V61=""),"",U61-(V61-IF(S61="",0,S61)))</f>
        <v/>
      </c>
      <c r="AC61" s="249">
        <f>IF(AB61="","",T61+AB61)</f>
        <v/>
      </c>
      <c r="AD61" s="249">
        <f>IF(B61="","",MAX($B$5:B61))</f>
        <v/>
      </c>
      <c r="AE61" s="256" t="n"/>
      <c r="AF61" s="255" t="n"/>
      <c r="AG61" s="255" t="n"/>
      <c r="AH61" s="255" t="n"/>
      <c r="AI61" s="255" t="n"/>
      <c r="AJ61" s="257">
        <f>IF($A61="","",YEAR($A61)*100+MONTH($A61))</f>
        <v/>
      </c>
      <c r="AK61" s="257">
        <f>IF($A61="","",IF($N61="",0,1))</f>
        <v/>
      </c>
    </row>
    <row r="62">
      <c r="A62" s="247" t="n">
        <v>46087</v>
      </c>
      <c r="B62" s="248">
        <f>IF(V62&lt;&gt;"",V62-T62,IF(AF62&lt;&gt;"",AA62+AF62,""))</f>
        <v/>
      </c>
      <c r="C62" s="249">
        <f>IF(OR(B62="",B61=""),"",B62-B61)</f>
        <v/>
      </c>
      <c r="D62" s="248">
        <f>IF(OR(B62="",AA62=""),"",B62-AA62)</f>
        <v/>
      </c>
      <c r="E62" s="250">
        <f>IF(OR(B62="",AD62=0),"",MIN(0,B62/AD62-1))</f>
        <v/>
      </c>
      <c r="F62" s="250">
        <f>IF(OR(U62="",T62=0,T62=""),"",(P62-T62*1.4)/U62)</f>
        <v/>
      </c>
      <c r="G62" s="251">
        <f>IF(OR(AC62="",'09_CF_원금'!$B$108=0),"",AC62/'09_CF_원금'!$B$108)</f>
        <v/>
      </c>
      <c r="H62" s="250">
        <f>IF(OR(U62="",U62=0,AC62=""),"",AC62/U62)</f>
        <v/>
      </c>
      <c r="I62" s="250">
        <f>IF(OR(S62="",U62=""),"",S62/(U62+S62))</f>
        <v/>
      </c>
      <c r="J62" s="248">
        <f>IF(W62&lt;&gt;"",W62-X62,IF(AG62&lt;&gt;"",AG62,""))</f>
        <v/>
      </c>
      <c r="K62" s="248">
        <f>IF(Q62&lt;&gt;"",Q62-Y62,IF(AH62&lt;&gt;"",AH62,""))</f>
        <v/>
      </c>
      <c r="L62" s="248">
        <f>IF(R62&lt;&gt;"",R62-Z62,IF(AI62&lt;&gt;"",AI62,""))</f>
        <v/>
      </c>
      <c r="M62" s="252" t="n"/>
      <c r="N62" s="253" t="n"/>
      <c r="O62" s="254" t="inlineStr">
        <is>
          <t>3/3 일 손실 1억 경험</t>
        </is>
      </c>
      <c r="P62" s="255" t="n"/>
      <c r="Q62" s="258">
        <f>IF($A62="","",IF(Q61="","",Q61))</f>
        <v/>
      </c>
      <c r="R62" s="258">
        <f>IF($A62="","",IF(R61="","",R61))</f>
        <v/>
      </c>
      <c r="S62" s="258">
        <f>IF($A62="","",IF(S61="","",S61))</f>
        <v/>
      </c>
      <c r="T62" s="249">
        <f>IF(OR(P62="",W62=""),"",P62-W62)</f>
        <v/>
      </c>
      <c r="U62" s="258">
        <f>IF($A62="","",IF(U61="","",U61))</f>
        <v/>
      </c>
      <c r="V62" s="249">
        <f>IF(P62="","",P62+IF(Q62="",0,Q62)+IF(R62="",0,R62))</f>
        <v/>
      </c>
      <c r="W62" s="255" t="n"/>
      <c r="X62" s="249">
        <f>SUMIFS('09_CF_원금'!$E$6:$E$92,'09_CF_원금'!$D$6:$D$92,"국장",'09_CF_원금'!$A$6:$A$92,"&lt;="&amp;$A62)-SUMIFS('09_CF_원금'!$E$6:$E$92,'09_CF_원금'!$C$6:$C$92,"국장",'09_CF_원금'!$A$6:$A$92,"&lt;="&amp;$A62)</f>
        <v/>
      </c>
      <c r="Y62" s="249">
        <f>SUMIFS('09_CF_원금'!$E$6:$E$92,'09_CF_원금'!$D$6:$D$92,"미장",'09_CF_원금'!$A$6:$A$92,"&lt;="&amp;$A62)-SUMIFS('09_CF_원금'!$E$6:$E$92,'09_CF_원금'!$C$6:$C$92,"미장",'09_CF_원금'!$A$6:$A$92,"&lt;="&amp;$A62)</f>
        <v/>
      </c>
      <c r="Z62" s="249">
        <f>SUMIFS('09_CF_원금'!$E$6:$E$92,'09_CF_원금'!$D$6:$D$92,"ISA",'09_CF_원금'!$A$6:$A$92,"&lt;="&amp;$A62)-SUMIFS('09_CF_원금'!$E$6:$E$92,'09_CF_원금'!$C$6:$C$92,"ISA",'09_CF_원금'!$A$6:$A$92,"&lt;="&amp;$A62)</f>
        <v/>
      </c>
      <c r="AA62" s="249">
        <f>IF($A62="","",X62+Y62+Z62+SUMIFS('09_CF_원금'!$E$6:$E$92,'09_CF_원금'!$D$6:$D$92,"중국",'09_CF_원금'!$A$6:$A$92,"&lt;="&amp;$A62)-SUMIFS('09_CF_원금'!$E$6:$E$92,'09_CF_원금'!$C$6:$C$92,"중국",'09_CF_원금'!$A$6:$A$92,"&lt;="&amp;$A62)+SUMIFS('09_CF_원금'!$E$6:$E$92,'09_CF_원금'!$D$6:$D$92,"업비트",'09_CF_원금'!$A$6:$A$92,"&lt;="&amp;$A62)-SUMIFS('09_CF_원금'!$E$6:$E$92,'09_CF_원금'!$C$6:$C$92,"업비트",'09_CF_원금'!$A$6:$A$92,"&lt;="&amp;$A62))</f>
        <v/>
      </c>
      <c r="AB62" s="249">
        <f>IF(OR(U62="",V62=""),"",U62-(V62-IF(S62="",0,S62)))</f>
        <v/>
      </c>
      <c r="AC62" s="249">
        <f>IF(AB62="","",T62+AB62)</f>
        <v/>
      </c>
      <c r="AD62" s="249">
        <f>IF(B62="","",MAX($B$5:B62))</f>
        <v/>
      </c>
      <c r="AE62" s="256" t="n">
        <v>24670</v>
      </c>
      <c r="AF62" s="255" t="n">
        <v>190550122</v>
      </c>
      <c r="AG62" s="255" t="n">
        <v>180778664</v>
      </c>
      <c r="AH62" s="255" t="n">
        <v>3787603</v>
      </c>
      <c r="AI62" s="255" t="n">
        <v>5983855</v>
      </c>
      <c r="AJ62" s="257">
        <f>IF($A62="","",YEAR($A62)*100+MONTH($A62))</f>
        <v/>
      </c>
      <c r="AK62" s="257">
        <f>IF($A62="","",IF($N62="",0,1))</f>
        <v/>
      </c>
    </row>
    <row r="63">
      <c r="A63" s="247" t="n">
        <v>46090</v>
      </c>
      <c r="B63" s="248">
        <f>IF(V63&lt;&gt;"",V63-T63,IF(AF63&lt;&gt;"",AA63+AF63,""))</f>
        <v/>
      </c>
      <c r="C63" s="249">
        <f>IF(OR(B63="",B62=""),"",B63-B62)</f>
        <v/>
      </c>
      <c r="D63" s="248">
        <f>IF(OR(B63="",AA63=""),"",B63-AA63)</f>
        <v/>
      </c>
      <c r="E63" s="250">
        <f>IF(OR(B63="",AD63=0),"",MIN(0,B63/AD63-1))</f>
        <v/>
      </c>
      <c r="F63" s="250">
        <f>IF(OR(U63="",T63=0,T63=""),"",(P63-T63*1.4)/U63)</f>
        <v/>
      </c>
      <c r="G63" s="251">
        <f>IF(OR(AC63="",'09_CF_원금'!$B$108=0),"",AC63/'09_CF_원금'!$B$108)</f>
        <v/>
      </c>
      <c r="H63" s="250">
        <f>IF(OR(U63="",U63=0,AC63=""),"",AC63/U63)</f>
        <v/>
      </c>
      <c r="I63" s="250">
        <f>IF(OR(S63="",U63=""),"",S63/(U63+S63))</f>
        <v/>
      </c>
      <c r="J63" s="248">
        <f>IF(W63&lt;&gt;"",W63-X63,IF(AG63&lt;&gt;"",AG63,""))</f>
        <v/>
      </c>
      <c r="K63" s="248">
        <f>IF(Q63&lt;&gt;"",Q63-Y63,IF(AH63&lt;&gt;"",AH63,""))</f>
        <v/>
      </c>
      <c r="L63" s="248">
        <f>IF(R63&lt;&gt;"",R63-Z63,IF(AI63&lt;&gt;"",AI63,""))</f>
        <v/>
      </c>
      <c r="M63" s="252" t="n"/>
      <c r="N63" s="253" t="n"/>
      <c r="O63" s="254" t="n"/>
      <c r="P63" s="255" t="n"/>
      <c r="Q63" s="258">
        <f>IF($A63="","",IF(Q62="","",Q62))</f>
        <v/>
      </c>
      <c r="R63" s="258">
        <f>IF($A63="","",IF(R62="","",R62))</f>
        <v/>
      </c>
      <c r="S63" s="258">
        <f>IF($A63="","",IF(S62="","",S62))</f>
        <v/>
      </c>
      <c r="T63" s="249">
        <f>IF(OR(P63="",W63=""),"",P63-W63)</f>
        <v/>
      </c>
      <c r="U63" s="258">
        <f>IF($A63="","",IF(U62="","",U62))</f>
        <v/>
      </c>
      <c r="V63" s="249">
        <f>IF(P63="","",P63+IF(Q63="",0,Q63)+IF(R63="",0,R63))</f>
        <v/>
      </c>
      <c r="W63" s="255" t="n"/>
      <c r="X63" s="249">
        <f>SUMIFS('09_CF_원금'!$E$6:$E$92,'09_CF_원금'!$D$6:$D$92,"국장",'09_CF_원금'!$A$6:$A$92,"&lt;="&amp;$A63)-SUMIFS('09_CF_원금'!$E$6:$E$92,'09_CF_원금'!$C$6:$C$92,"국장",'09_CF_원금'!$A$6:$A$92,"&lt;="&amp;$A63)</f>
        <v/>
      </c>
      <c r="Y63" s="249">
        <f>SUMIFS('09_CF_원금'!$E$6:$E$92,'09_CF_원금'!$D$6:$D$92,"미장",'09_CF_원금'!$A$6:$A$92,"&lt;="&amp;$A63)-SUMIFS('09_CF_원금'!$E$6:$E$92,'09_CF_원금'!$C$6:$C$92,"미장",'09_CF_원금'!$A$6:$A$92,"&lt;="&amp;$A63)</f>
        <v/>
      </c>
      <c r="Z63" s="249">
        <f>SUMIFS('09_CF_원금'!$E$6:$E$92,'09_CF_원금'!$D$6:$D$92,"ISA",'09_CF_원금'!$A$6:$A$92,"&lt;="&amp;$A63)-SUMIFS('09_CF_원금'!$E$6:$E$92,'09_CF_원금'!$C$6:$C$92,"ISA",'09_CF_원금'!$A$6:$A$92,"&lt;="&amp;$A63)</f>
        <v/>
      </c>
      <c r="AA63" s="249">
        <f>IF($A63="","",X63+Y63+Z63+SUMIFS('09_CF_원금'!$E$6:$E$92,'09_CF_원금'!$D$6:$D$92,"중국",'09_CF_원금'!$A$6:$A$92,"&lt;="&amp;$A63)-SUMIFS('09_CF_원금'!$E$6:$E$92,'09_CF_원금'!$C$6:$C$92,"중국",'09_CF_원금'!$A$6:$A$92,"&lt;="&amp;$A63)+SUMIFS('09_CF_원금'!$E$6:$E$92,'09_CF_원금'!$D$6:$D$92,"업비트",'09_CF_원금'!$A$6:$A$92,"&lt;="&amp;$A63)-SUMIFS('09_CF_원금'!$E$6:$E$92,'09_CF_원금'!$C$6:$C$92,"업비트",'09_CF_원금'!$A$6:$A$92,"&lt;="&amp;$A63))</f>
        <v/>
      </c>
      <c r="AB63" s="249">
        <f>IF(OR(U63="",V63=""),"",U63-(V63-IF(S63="",0,S63)))</f>
        <v/>
      </c>
      <c r="AC63" s="249">
        <f>IF(AB63="","",T63+AB63)</f>
        <v/>
      </c>
      <c r="AD63" s="249">
        <f>IF(B63="","",MAX($B$5:B63))</f>
        <v/>
      </c>
      <c r="AE63" s="256" t="n"/>
      <c r="AF63" s="255" t="n"/>
      <c r="AG63" s="255" t="n"/>
      <c r="AH63" s="255" t="n"/>
      <c r="AI63" s="255" t="n"/>
      <c r="AJ63" s="257">
        <f>IF($A63="","",YEAR($A63)*100+MONTH($A63))</f>
        <v/>
      </c>
      <c r="AK63" s="257">
        <f>IF($A63="","",IF($N63="",0,1))</f>
        <v/>
      </c>
    </row>
    <row r="64">
      <c r="A64" s="247" t="n">
        <v>46091</v>
      </c>
      <c r="B64" s="248">
        <f>IF(V64&lt;&gt;"",V64-T64,IF(AF64&lt;&gt;"",AA64+AF64,""))</f>
        <v/>
      </c>
      <c r="C64" s="249">
        <f>IF(OR(B64="",B63=""),"",B64-B63)</f>
        <v/>
      </c>
      <c r="D64" s="248">
        <f>IF(OR(B64="",AA64=""),"",B64-AA64)</f>
        <v/>
      </c>
      <c r="E64" s="250">
        <f>IF(OR(B64="",AD64=0),"",MIN(0,B64/AD64-1))</f>
        <v/>
      </c>
      <c r="F64" s="250">
        <f>IF(OR(U64="",T64=0,T64=""),"",(P64-T64*1.4)/U64)</f>
        <v/>
      </c>
      <c r="G64" s="251">
        <f>IF(OR(AC64="",'09_CF_원금'!$B$108=0),"",AC64/'09_CF_원금'!$B$108)</f>
        <v/>
      </c>
      <c r="H64" s="250">
        <f>IF(OR(U64="",U64=0,AC64=""),"",AC64/U64)</f>
        <v/>
      </c>
      <c r="I64" s="250">
        <f>IF(OR(S64="",U64=""),"",S64/(U64+S64))</f>
        <v/>
      </c>
      <c r="J64" s="248">
        <f>IF(W64&lt;&gt;"",W64-X64,IF(AG64&lt;&gt;"",AG64,""))</f>
        <v/>
      </c>
      <c r="K64" s="248">
        <f>IF(Q64&lt;&gt;"",Q64-Y64,IF(AH64&lt;&gt;"",AH64,""))</f>
        <v/>
      </c>
      <c r="L64" s="248">
        <f>IF(R64&lt;&gt;"",R64-Z64,IF(AI64&lt;&gt;"",AI64,""))</f>
        <v/>
      </c>
      <c r="M64" s="252" t="n"/>
      <c r="N64" s="253" t="n"/>
      <c r="O64" s="254" t="n"/>
      <c r="P64" s="255" t="n"/>
      <c r="Q64" s="258">
        <f>IF($A64="","",IF(Q63="","",Q63))</f>
        <v/>
      </c>
      <c r="R64" s="258">
        <f>IF($A64="","",IF(R63="","",R63))</f>
        <v/>
      </c>
      <c r="S64" s="258">
        <f>IF($A64="","",IF(S63="","",S63))</f>
        <v/>
      </c>
      <c r="T64" s="249">
        <f>IF(OR(P64="",W64=""),"",P64-W64)</f>
        <v/>
      </c>
      <c r="U64" s="258">
        <f>IF($A64="","",IF(U63="","",U63))</f>
        <v/>
      </c>
      <c r="V64" s="249">
        <f>IF(P64="","",P64+IF(Q64="",0,Q64)+IF(R64="",0,R64))</f>
        <v/>
      </c>
      <c r="W64" s="255" t="n"/>
      <c r="X64" s="249">
        <f>SUMIFS('09_CF_원금'!$E$6:$E$92,'09_CF_원금'!$D$6:$D$92,"국장",'09_CF_원금'!$A$6:$A$92,"&lt;="&amp;$A64)-SUMIFS('09_CF_원금'!$E$6:$E$92,'09_CF_원금'!$C$6:$C$92,"국장",'09_CF_원금'!$A$6:$A$92,"&lt;="&amp;$A64)</f>
        <v/>
      </c>
      <c r="Y64" s="249">
        <f>SUMIFS('09_CF_원금'!$E$6:$E$92,'09_CF_원금'!$D$6:$D$92,"미장",'09_CF_원금'!$A$6:$A$92,"&lt;="&amp;$A64)-SUMIFS('09_CF_원금'!$E$6:$E$92,'09_CF_원금'!$C$6:$C$92,"미장",'09_CF_원금'!$A$6:$A$92,"&lt;="&amp;$A64)</f>
        <v/>
      </c>
      <c r="Z64" s="249">
        <f>SUMIFS('09_CF_원금'!$E$6:$E$92,'09_CF_원금'!$D$6:$D$92,"ISA",'09_CF_원금'!$A$6:$A$92,"&lt;="&amp;$A64)-SUMIFS('09_CF_원금'!$E$6:$E$92,'09_CF_원금'!$C$6:$C$92,"ISA",'09_CF_원금'!$A$6:$A$92,"&lt;="&amp;$A64)</f>
        <v/>
      </c>
      <c r="AA64" s="249">
        <f>IF($A64="","",X64+Y64+Z64+SUMIFS('09_CF_원금'!$E$6:$E$92,'09_CF_원금'!$D$6:$D$92,"중국",'09_CF_원금'!$A$6:$A$92,"&lt;="&amp;$A64)-SUMIFS('09_CF_원금'!$E$6:$E$92,'09_CF_원금'!$C$6:$C$92,"중국",'09_CF_원금'!$A$6:$A$92,"&lt;="&amp;$A64)+SUMIFS('09_CF_원금'!$E$6:$E$92,'09_CF_원금'!$D$6:$D$92,"업비트",'09_CF_원금'!$A$6:$A$92,"&lt;="&amp;$A64)-SUMIFS('09_CF_원금'!$E$6:$E$92,'09_CF_원금'!$C$6:$C$92,"업비트",'09_CF_원금'!$A$6:$A$92,"&lt;="&amp;$A64))</f>
        <v/>
      </c>
      <c r="AB64" s="249">
        <f>IF(OR(U64="",V64=""),"",U64-(V64-IF(S64="",0,S64)))</f>
        <v/>
      </c>
      <c r="AC64" s="249">
        <f>IF(AB64="","",T64+AB64)</f>
        <v/>
      </c>
      <c r="AD64" s="249">
        <f>IF(B64="","",MAX($B$5:B64))</f>
        <v/>
      </c>
      <c r="AE64" s="256" t="n"/>
      <c r="AF64" s="255" t="n"/>
      <c r="AG64" s="255" t="n"/>
      <c r="AH64" s="255" t="n"/>
      <c r="AI64" s="255" t="n"/>
      <c r="AJ64" s="257">
        <f>IF($A64="","",YEAR($A64)*100+MONTH($A64))</f>
        <v/>
      </c>
      <c r="AK64" s="257">
        <f>IF($A64="","",IF($N64="",0,1))</f>
        <v/>
      </c>
    </row>
    <row r="65">
      <c r="A65" s="247" t="n">
        <v>46092</v>
      </c>
      <c r="B65" s="248">
        <f>IF(V65&lt;&gt;"",V65-T65,IF(AF65&lt;&gt;"",AA65+AF65,""))</f>
        <v/>
      </c>
      <c r="C65" s="249">
        <f>IF(OR(B65="",B64=""),"",B65-B64)</f>
        <v/>
      </c>
      <c r="D65" s="248">
        <f>IF(OR(B65="",AA65=""),"",B65-AA65)</f>
        <v/>
      </c>
      <c r="E65" s="250">
        <f>IF(OR(B65="",AD65=0),"",MIN(0,B65/AD65-1))</f>
        <v/>
      </c>
      <c r="F65" s="250">
        <f>IF(OR(U65="",T65=0,T65=""),"",(P65-T65*1.4)/U65)</f>
        <v/>
      </c>
      <c r="G65" s="251">
        <f>IF(OR(AC65="",'09_CF_원금'!$B$108=0),"",AC65/'09_CF_원금'!$B$108)</f>
        <v/>
      </c>
      <c r="H65" s="250">
        <f>IF(OR(U65="",U65=0,AC65=""),"",AC65/U65)</f>
        <v/>
      </c>
      <c r="I65" s="250">
        <f>IF(OR(S65="",U65=""),"",S65/(U65+S65))</f>
        <v/>
      </c>
      <c r="J65" s="248">
        <f>IF(W65&lt;&gt;"",W65-X65,IF(AG65&lt;&gt;"",AG65,""))</f>
        <v/>
      </c>
      <c r="K65" s="248">
        <f>IF(Q65&lt;&gt;"",Q65-Y65,IF(AH65&lt;&gt;"",AH65,""))</f>
        <v/>
      </c>
      <c r="L65" s="248">
        <f>IF(R65&lt;&gt;"",R65-Z65,IF(AI65&lt;&gt;"",AI65,""))</f>
        <v/>
      </c>
      <c r="M65" s="252" t="n"/>
      <c r="N65" s="253" t="n"/>
      <c r="O65" s="254" t="n"/>
      <c r="P65" s="255" t="n"/>
      <c r="Q65" s="258">
        <f>IF($A65="","",IF(Q64="","",Q64))</f>
        <v/>
      </c>
      <c r="R65" s="258">
        <f>IF($A65="","",IF(R64="","",R64))</f>
        <v/>
      </c>
      <c r="S65" s="258">
        <f>IF($A65="","",IF(S64="","",S64))</f>
        <v/>
      </c>
      <c r="T65" s="249">
        <f>IF(OR(P65="",W65=""),"",P65-W65)</f>
        <v/>
      </c>
      <c r="U65" s="258">
        <f>IF($A65="","",IF(U64="","",U64))</f>
        <v/>
      </c>
      <c r="V65" s="249">
        <f>IF(P65="","",P65+IF(Q65="",0,Q65)+IF(R65="",0,R65))</f>
        <v/>
      </c>
      <c r="W65" s="255" t="n"/>
      <c r="X65" s="249">
        <f>SUMIFS('09_CF_원금'!$E$6:$E$92,'09_CF_원금'!$D$6:$D$92,"국장",'09_CF_원금'!$A$6:$A$92,"&lt;="&amp;$A65)-SUMIFS('09_CF_원금'!$E$6:$E$92,'09_CF_원금'!$C$6:$C$92,"국장",'09_CF_원금'!$A$6:$A$92,"&lt;="&amp;$A65)</f>
        <v/>
      </c>
      <c r="Y65" s="249">
        <f>SUMIFS('09_CF_원금'!$E$6:$E$92,'09_CF_원금'!$D$6:$D$92,"미장",'09_CF_원금'!$A$6:$A$92,"&lt;="&amp;$A65)-SUMIFS('09_CF_원금'!$E$6:$E$92,'09_CF_원금'!$C$6:$C$92,"미장",'09_CF_원금'!$A$6:$A$92,"&lt;="&amp;$A65)</f>
        <v/>
      </c>
      <c r="Z65" s="249">
        <f>SUMIFS('09_CF_원금'!$E$6:$E$92,'09_CF_원금'!$D$6:$D$92,"ISA",'09_CF_원금'!$A$6:$A$92,"&lt;="&amp;$A65)-SUMIFS('09_CF_원금'!$E$6:$E$92,'09_CF_원금'!$C$6:$C$92,"ISA",'09_CF_원금'!$A$6:$A$92,"&lt;="&amp;$A65)</f>
        <v/>
      </c>
      <c r="AA65" s="249">
        <f>IF($A65="","",X65+Y65+Z65+SUMIFS('09_CF_원금'!$E$6:$E$92,'09_CF_원금'!$D$6:$D$92,"중국",'09_CF_원금'!$A$6:$A$92,"&lt;="&amp;$A65)-SUMIFS('09_CF_원금'!$E$6:$E$92,'09_CF_원금'!$C$6:$C$92,"중국",'09_CF_원금'!$A$6:$A$92,"&lt;="&amp;$A65)+SUMIFS('09_CF_원금'!$E$6:$E$92,'09_CF_원금'!$D$6:$D$92,"업비트",'09_CF_원금'!$A$6:$A$92,"&lt;="&amp;$A65)-SUMIFS('09_CF_원금'!$E$6:$E$92,'09_CF_원금'!$C$6:$C$92,"업비트",'09_CF_원금'!$A$6:$A$92,"&lt;="&amp;$A65))</f>
        <v/>
      </c>
      <c r="AB65" s="249">
        <f>IF(OR(U65="",V65=""),"",U65-(V65-IF(S65="",0,S65)))</f>
        <v/>
      </c>
      <c r="AC65" s="249">
        <f>IF(AB65="","",T65+AB65)</f>
        <v/>
      </c>
      <c r="AD65" s="249">
        <f>IF(B65="","",MAX($B$5:B65))</f>
        <v/>
      </c>
      <c r="AE65" s="256" t="n"/>
      <c r="AF65" s="255" t="n"/>
      <c r="AG65" s="255" t="n"/>
      <c r="AH65" s="255" t="n"/>
      <c r="AI65" s="255" t="n"/>
      <c r="AJ65" s="257">
        <f>IF($A65="","",YEAR($A65)*100+MONTH($A65))</f>
        <v/>
      </c>
      <c r="AK65" s="257">
        <f>IF($A65="","",IF($N65="",0,1))</f>
        <v/>
      </c>
    </row>
    <row r="66">
      <c r="A66" s="247" t="n">
        <v>46093</v>
      </c>
      <c r="B66" s="248">
        <f>IF(V66&lt;&gt;"",V66-T66,IF(AF66&lt;&gt;"",AA66+AF66,""))</f>
        <v/>
      </c>
      <c r="C66" s="249">
        <f>IF(OR(B66="",B65=""),"",B66-B65)</f>
        <v/>
      </c>
      <c r="D66" s="248">
        <f>IF(OR(B66="",AA66=""),"",B66-AA66)</f>
        <v/>
      </c>
      <c r="E66" s="250">
        <f>IF(OR(B66="",AD66=0),"",MIN(0,B66/AD66-1))</f>
        <v/>
      </c>
      <c r="F66" s="250">
        <f>IF(OR(U66="",T66=0,T66=""),"",(P66-T66*1.4)/U66)</f>
        <v/>
      </c>
      <c r="G66" s="251">
        <f>IF(OR(AC66="",'09_CF_원금'!$B$108=0),"",AC66/'09_CF_원금'!$B$108)</f>
        <v/>
      </c>
      <c r="H66" s="250">
        <f>IF(OR(U66="",U66=0,AC66=""),"",AC66/U66)</f>
        <v/>
      </c>
      <c r="I66" s="250">
        <f>IF(OR(S66="",U66=""),"",S66/(U66+S66))</f>
        <v/>
      </c>
      <c r="J66" s="248">
        <f>IF(W66&lt;&gt;"",W66-X66,IF(AG66&lt;&gt;"",AG66,""))</f>
        <v/>
      </c>
      <c r="K66" s="248">
        <f>IF(Q66&lt;&gt;"",Q66-Y66,IF(AH66&lt;&gt;"",AH66,""))</f>
        <v/>
      </c>
      <c r="L66" s="248">
        <f>IF(R66&lt;&gt;"",R66-Z66,IF(AI66&lt;&gt;"",AI66,""))</f>
        <v/>
      </c>
      <c r="M66" s="252" t="n"/>
      <c r="N66" s="253" t="n"/>
      <c r="O66" s="254" t="n"/>
      <c r="P66" s="255" t="n"/>
      <c r="Q66" s="258">
        <f>IF($A66="","",IF(Q65="","",Q65))</f>
        <v/>
      </c>
      <c r="R66" s="258">
        <f>IF($A66="","",IF(R65="","",R65))</f>
        <v/>
      </c>
      <c r="S66" s="258">
        <f>IF($A66="","",IF(S65="","",S65))</f>
        <v/>
      </c>
      <c r="T66" s="249">
        <f>IF(OR(P66="",W66=""),"",P66-W66)</f>
        <v/>
      </c>
      <c r="U66" s="258">
        <f>IF($A66="","",IF(U65="","",U65))</f>
        <v/>
      </c>
      <c r="V66" s="249">
        <f>IF(P66="","",P66+IF(Q66="",0,Q66)+IF(R66="",0,R66))</f>
        <v/>
      </c>
      <c r="W66" s="255" t="n"/>
      <c r="X66" s="249">
        <f>SUMIFS('09_CF_원금'!$E$6:$E$92,'09_CF_원금'!$D$6:$D$92,"국장",'09_CF_원금'!$A$6:$A$92,"&lt;="&amp;$A66)-SUMIFS('09_CF_원금'!$E$6:$E$92,'09_CF_원금'!$C$6:$C$92,"국장",'09_CF_원금'!$A$6:$A$92,"&lt;="&amp;$A66)</f>
        <v/>
      </c>
      <c r="Y66" s="249">
        <f>SUMIFS('09_CF_원금'!$E$6:$E$92,'09_CF_원금'!$D$6:$D$92,"미장",'09_CF_원금'!$A$6:$A$92,"&lt;="&amp;$A66)-SUMIFS('09_CF_원금'!$E$6:$E$92,'09_CF_원금'!$C$6:$C$92,"미장",'09_CF_원금'!$A$6:$A$92,"&lt;="&amp;$A66)</f>
        <v/>
      </c>
      <c r="Z66" s="249">
        <f>SUMIFS('09_CF_원금'!$E$6:$E$92,'09_CF_원금'!$D$6:$D$92,"ISA",'09_CF_원금'!$A$6:$A$92,"&lt;="&amp;$A66)-SUMIFS('09_CF_원금'!$E$6:$E$92,'09_CF_원금'!$C$6:$C$92,"ISA",'09_CF_원금'!$A$6:$A$92,"&lt;="&amp;$A66)</f>
        <v/>
      </c>
      <c r="AA66" s="249">
        <f>IF($A66="","",X66+Y66+Z66+SUMIFS('09_CF_원금'!$E$6:$E$92,'09_CF_원금'!$D$6:$D$92,"중국",'09_CF_원금'!$A$6:$A$92,"&lt;="&amp;$A66)-SUMIFS('09_CF_원금'!$E$6:$E$92,'09_CF_원금'!$C$6:$C$92,"중국",'09_CF_원금'!$A$6:$A$92,"&lt;="&amp;$A66)+SUMIFS('09_CF_원금'!$E$6:$E$92,'09_CF_원금'!$D$6:$D$92,"업비트",'09_CF_원금'!$A$6:$A$92,"&lt;="&amp;$A66)-SUMIFS('09_CF_원금'!$E$6:$E$92,'09_CF_원금'!$C$6:$C$92,"업비트",'09_CF_원금'!$A$6:$A$92,"&lt;="&amp;$A66))</f>
        <v/>
      </c>
      <c r="AB66" s="249">
        <f>IF(OR(U66="",V66=""),"",U66-(V66-IF(S66="",0,S66)))</f>
        <v/>
      </c>
      <c r="AC66" s="249">
        <f>IF(AB66="","",T66+AB66)</f>
        <v/>
      </c>
      <c r="AD66" s="249">
        <f>IF(B66="","",MAX($B$5:B66))</f>
        <v/>
      </c>
      <c r="AE66" s="256" t="n"/>
      <c r="AF66" s="255" t="n"/>
      <c r="AG66" s="255" t="n"/>
      <c r="AH66" s="255" t="n"/>
      <c r="AI66" s="255" t="n"/>
      <c r="AJ66" s="257">
        <f>IF($A66="","",YEAR($A66)*100+MONTH($A66))</f>
        <v/>
      </c>
      <c r="AK66" s="257">
        <f>IF($A66="","",IF($N66="",0,1))</f>
        <v/>
      </c>
    </row>
    <row r="67">
      <c r="A67" s="247" t="n">
        <v>46094</v>
      </c>
      <c r="B67" s="248">
        <f>IF(V67&lt;&gt;"",V67-T67,IF(AF67&lt;&gt;"",AA67+AF67,""))</f>
        <v/>
      </c>
      <c r="C67" s="249">
        <f>IF(OR(B67="",B66=""),"",B67-B66)</f>
        <v/>
      </c>
      <c r="D67" s="248">
        <f>IF(OR(B67="",AA67=""),"",B67-AA67)</f>
        <v/>
      </c>
      <c r="E67" s="250">
        <f>IF(OR(B67="",AD67=0),"",MIN(0,B67/AD67-1))</f>
        <v/>
      </c>
      <c r="F67" s="250">
        <f>IF(OR(U67="",T67=0,T67=""),"",(P67-T67*1.4)/U67)</f>
        <v/>
      </c>
      <c r="G67" s="251">
        <f>IF(OR(AC67="",'09_CF_원금'!$B$108=0),"",AC67/'09_CF_원금'!$B$108)</f>
        <v/>
      </c>
      <c r="H67" s="250">
        <f>IF(OR(U67="",U67=0,AC67=""),"",AC67/U67)</f>
        <v/>
      </c>
      <c r="I67" s="250">
        <f>IF(OR(S67="",U67=""),"",S67/(U67+S67))</f>
        <v/>
      </c>
      <c r="J67" s="248">
        <f>IF(W67&lt;&gt;"",W67-X67,IF(AG67&lt;&gt;"",AG67,""))</f>
        <v/>
      </c>
      <c r="K67" s="248">
        <f>IF(Q67&lt;&gt;"",Q67-Y67,IF(AH67&lt;&gt;"",AH67,""))</f>
        <v/>
      </c>
      <c r="L67" s="248">
        <f>IF(R67&lt;&gt;"",R67-Z67,IF(AI67&lt;&gt;"",AI67,""))</f>
        <v/>
      </c>
      <c r="M67" s="252" t="n"/>
      <c r="N67" s="253" t="n"/>
      <c r="O67" s="254" t="n"/>
      <c r="P67" s="255" t="n"/>
      <c r="Q67" s="258">
        <f>IF($A67="","",IF(Q66="","",Q66))</f>
        <v/>
      </c>
      <c r="R67" s="258">
        <f>IF($A67="","",IF(R66="","",R66))</f>
        <v/>
      </c>
      <c r="S67" s="258">
        <f>IF($A67="","",IF(S66="","",S66))</f>
        <v/>
      </c>
      <c r="T67" s="249">
        <f>IF(OR(P67="",W67=""),"",P67-W67)</f>
        <v/>
      </c>
      <c r="U67" s="258">
        <f>IF($A67="","",IF(U66="","",U66))</f>
        <v/>
      </c>
      <c r="V67" s="249">
        <f>IF(P67="","",P67+IF(Q67="",0,Q67)+IF(R67="",0,R67))</f>
        <v/>
      </c>
      <c r="W67" s="255" t="n"/>
      <c r="X67" s="249">
        <f>SUMIFS('09_CF_원금'!$E$6:$E$92,'09_CF_원금'!$D$6:$D$92,"국장",'09_CF_원금'!$A$6:$A$92,"&lt;="&amp;$A67)-SUMIFS('09_CF_원금'!$E$6:$E$92,'09_CF_원금'!$C$6:$C$92,"국장",'09_CF_원금'!$A$6:$A$92,"&lt;="&amp;$A67)</f>
        <v/>
      </c>
      <c r="Y67" s="249">
        <f>SUMIFS('09_CF_원금'!$E$6:$E$92,'09_CF_원금'!$D$6:$D$92,"미장",'09_CF_원금'!$A$6:$A$92,"&lt;="&amp;$A67)-SUMIFS('09_CF_원금'!$E$6:$E$92,'09_CF_원금'!$C$6:$C$92,"미장",'09_CF_원금'!$A$6:$A$92,"&lt;="&amp;$A67)</f>
        <v/>
      </c>
      <c r="Z67" s="249">
        <f>SUMIFS('09_CF_원금'!$E$6:$E$92,'09_CF_원금'!$D$6:$D$92,"ISA",'09_CF_원금'!$A$6:$A$92,"&lt;="&amp;$A67)-SUMIFS('09_CF_원금'!$E$6:$E$92,'09_CF_원금'!$C$6:$C$92,"ISA",'09_CF_원금'!$A$6:$A$92,"&lt;="&amp;$A67)</f>
        <v/>
      </c>
      <c r="AA67" s="249">
        <f>IF($A67="","",X67+Y67+Z67+SUMIFS('09_CF_원금'!$E$6:$E$92,'09_CF_원금'!$D$6:$D$92,"중국",'09_CF_원금'!$A$6:$A$92,"&lt;="&amp;$A67)-SUMIFS('09_CF_원금'!$E$6:$E$92,'09_CF_원금'!$C$6:$C$92,"중국",'09_CF_원금'!$A$6:$A$92,"&lt;="&amp;$A67)+SUMIFS('09_CF_원금'!$E$6:$E$92,'09_CF_원금'!$D$6:$D$92,"업비트",'09_CF_원금'!$A$6:$A$92,"&lt;="&amp;$A67)-SUMIFS('09_CF_원금'!$E$6:$E$92,'09_CF_원금'!$C$6:$C$92,"업비트",'09_CF_원금'!$A$6:$A$92,"&lt;="&amp;$A67))</f>
        <v/>
      </c>
      <c r="AB67" s="249">
        <f>IF(OR(U67="",V67=""),"",U67-(V67-IF(S67="",0,S67)))</f>
        <v/>
      </c>
      <c r="AC67" s="249">
        <f>IF(AB67="","",T67+AB67)</f>
        <v/>
      </c>
      <c r="AD67" s="249">
        <f>IF(B67="","",MAX($B$5:B67))</f>
        <v/>
      </c>
      <c r="AE67" s="256" t="n">
        <v>24560</v>
      </c>
      <c r="AF67" s="255" t="n">
        <v>201303827</v>
      </c>
      <c r="AG67" s="255" t="n">
        <v>166704451</v>
      </c>
      <c r="AH67" s="255" t="n">
        <v>28266315</v>
      </c>
      <c r="AI67" s="255" t="n">
        <v>6333061</v>
      </c>
      <c r="AJ67" s="257">
        <f>IF($A67="","",YEAR($A67)*100+MONTH($A67))</f>
        <v/>
      </c>
      <c r="AK67" s="257">
        <f>IF($A67="","",IF($N67="",0,1))</f>
        <v/>
      </c>
    </row>
    <row r="68">
      <c r="A68" s="247" t="n">
        <v>46097</v>
      </c>
      <c r="B68" s="248">
        <f>IF(V68&lt;&gt;"",V68-T68,IF(AF68&lt;&gt;"",AA68+AF68,""))</f>
        <v/>
      </c>
      <c r="C68" s="249">
        <f>IF(OR(B68="",B67=""),"",B68-B67)</f>
        <v/>
      </c>
      <c r="D68" s="248">
        <f>IF(OR(B68="",AA68=""),"",B68-AA68)</f>
        <v/>
      </c>
      <c r="E68" s="250">
        <f>IF(OR(B68="",AD68=0),"",MIN(0,B68/AD68-1))</f>
        <v/>
      </c>
      <c r="F68" s="250">
        <f>IF(OR(U68="",T68=0,T68=""),"",(P68-T68*1.4)/U68)</f>
        <v/>
      </c>
      <c r="G68" s="251">
        <f>IF(OR(AC68="",'09_CF_원금'!$B$108=0),"",AC68/'09_CF_원금'!$B$108)</f>
        <v/>
      </c>
      <c r="H68" s="250">
        <f>IF(OR(U68="",U68=0,AC68=""),"",AC68/U68)</f>
        <v/>
      </c>
      <c r="I68" s="250">
        <f>IF(OR(S68="",U68=""),"",S68/(U68+S68))</f>
        <v/>
      </c>
      <c r="J68" s="248">
        <f>IF(W68&lt;&gt;"",W68-X68,IF(AG68&lt;&gt;"",AG68,""))</f>
        <v/>
      </c>
      <c r="K68" s="248">
        <f>IF(Q68&lt;&gt;"",Q68-Y68,IF(AH68&lt;&gt;"",AH68,""))</f>
        <v/>
      </c>
      <c r="L68" s="248">
        <f>IF(R68&lt;&gt;"",R68-Z68,IF(AI68&lt;&gt;"",AI68,""))</f>
        <v/>
      </c>
      <c r="M68" s="252" t="n"/>
      <c r="N68" s="253" t="n"/>
      <c r="O68" s="254" t="n"/>
      <c r="P68" s="255" t="n"/>
      <c r="Q68" s="258">
        <f>IF($A68="","",IF(Q67="","",Q67))</f>
        <v/>
      </c>
      <c r="R68" s="258">
        <f>IF($A68="","",IF(R67="","",R67))</f>
        <v/>
      </c>
      <c r="S68" s="258">
        <f>IF($A68="","",IF(S67="","",S67))</f>
        <v/>
      </c>
      <c r="T68" s="249">
        <f>IF(OR(P68="",W68=""),"",P68-W68)</f>
        <v/>
      </c>
      <c r="U68" s="258">
        <f>IF($A68="","",IF(U67="","",U67))</f>
        <v/>
      </c>
      <c r="V68" s="249">
        <f>IF(P68="","",P68+IF(Q68="",0,Q68)+IF(R68="",0,R68))</f>
        <v/>
      </c>
      <c r="W68" s="255" t="n"/>
      <c r="X68" s="249">
        <f>SUMIFS('09_CF_원금'!$E$6:$E$92,'09_CF_원금'!$D$6:$D$92,"국장",'09_CF_원금'!$A$6:$A$92,"&lt;="&amp;$A68)-SUMIFS('09_CF_원금'!$E$6:$E$92,'09_CF_원금'!$C$6:$C$92,"국장",'09_CF_원금'!$A$6:$A$92,"&lt;="&amp;$A68)</f>
        <v/>
      </c>
      <c r="Y68" s="249">
        <f>SUMIFS('09_CF_원금'!$E$6:$E$92,'09_CF_원금'!$D$6:$D$92,"미장",'09_CF_원금'!$A$6:$A$92,"&lt;="&amp;$A68)-SUMIFS('09_CF_원금'!$E$6:$E$92,'09_CF_원금'!$C$6:$C$92,"미장",'09_CF_원금'!$A$6:$A$92,"&lt;="&amp;$A68)</f>
        <v/>
      </c>
      <c r="Z68" s="249">
        <f>SUMIFS('09_CF_원금'!$E$6:$E$92,'09_CF_원금'!$D$6:$D$92,"ISA",'09_CF_원금'!$A$6:$A$92,"&lt;="&amp;$A68)-SUMIFS('09_CF_원금'!$E$6:$E$92,'09_CF_원금'!$C$6:$C$92,"ISA",'09_CF_원금'!$A$6:$A$92,"&lt;="&amp;$A68)</f>
        <v/>
      </c>
      <c r="AA68" s="249">
        <f>IF($A68="","",X68+Y68+Z68+SUMIFS('09_CF_원금'!$E$6:$E$92,'09_CF_원금'!$D$6:$D$92,"중국",'09_CF_원금'!$A$6:$A$92,"&lt;="&amp;$A68)-SUMIFS('09_CF_원금'!$E$6:$E$92,'09_CF_원금'!$C$6:$C$92,"중국",'09_CF_원금'!$A$6:$A$92,"&lt;="&amp;$A68)+SUMIFS('09_CF_원금'!$E$6:$E$92,'09_CF_원금'!$D$6:$D$92,"업비트",'09_CF_원금'!$A$6:$A$92,"&lt;="&amp;$A68)-SUMIFS('09_CF_원금'!$E$6:$E$92,'09_CF_원금'!$C$6:$C$92,"업비트",'09_CF_원금'!$A$6:$A$92,"&lt;="&amp;$A68))</f>
        <v/>
      </c>
      <c r="AB68" s="249">
        <f>IF(OR(U68="",V68=""),"",U68-(V68-IF(S68="",0,S68)))</f>
        <v/>
      </c>
      <c r="AC68" s="249">
        <f>IF(AB68="","",T68+AB68)</f>
        <v/>
      </c>
      <c r="AD68" s="249">
        <f>IF(B68="","",MAX($B$5:B68))</f>
        <v/>
      </c>
      <c r="AE68" s="256" t="n"/>
      <c r="AF68" s="255" t="n"/>
      <c r="AG68" s="255" t="n"/>
      <c r="AH68" s="255" t="n"/>
      <c r="AI68" s="255" t="n"/>
      <c r="AJ68" s="257">
        <f>IF($A68="","",YEAR($A68)*100+MONTH($A68))</f>
        <v/>
      </c>
      <c r="AK68" s="257">
        <f>IF($A68="","",IF($N68="",0,1))</f>
        <v/>
      </c>
    </row>
    <row r="69">
      <c r="A69" s="247" t="n">
        <v>46098</v>
      </c>
      <c r="B69" s="248">
        <f>IF(V69&lt;&gt;"",V69-T69,IF(AF69&lt;&gt;"",AA69+AF69,""))</f>
        <v/>
      </c>
      <c r="C69" s="249">
        <f>IF(OR(B69="",B68=""),"",B69-B68)</f>
        <v/>
      </c>
      <c r="D69" s="248">
        <f>IF(OR(B69="",AA69=""),"",B69-AA69)</f>
        <v/>
      </c>
      <c r="E69" s="250">
        <f>IF(OR(B69="",AD69=0),"",MIN(0,B69/AD69-1))</f>
        <v/>
      </c>
      <c r="F69" s="250">
        <f>IF(OR(U69="",T69=0,T69=""),"",(P69-T69*1.4)/U69)</f>
        <v/>
      </c>
      <c r="G69" s="251">
        <f>IF(OR(AC69="",'09_CF_원금'!$B$108=0),"",AC69/'09_CF_원금'!$B$108)</f>
        <v/>
      </c>
      <c r="H69" s="250">
        <f>IF(OR(U69="",U69=0,AC69=""),"",AC69/U69)</f>
        <v/>
      </c>
      <c r="I69" s="250">
        <f>IF(OR(S69="",U69=""),"",S69/(U69+S69))</f>
        <v/>
      </c>
      <c r="J69" s="248">
        <f>IF(W69&lt;&gt;"",W69-X69,IF(AG69&lt;&gt;"",AG69,""))</f>
        <v/>
      </c>
      <c r="K69" s="248">
        <f>IF(Q69&lt;&gt;"",Q69-Y69,IF(AH69&lt;&gt;"",AH69,""))</f>
        <v/>
      </c>
      <c r="L69" s="248">
        <f>IF(R69&lt;&gt;"",R69-Z69,IF(AI69&lt;&gt;"",AI69,""))</f>
        <v/>
      </c>
      <c r="M69" s="252" t="n"/>
      <c r="N69" s="253" t="n"/>
      <c r="O69" s="254" t="n"/>
      <c r="P69" s="255" t="n"/>
      <c r="Q69" s="258">
        <f>IF($A69="","",IF(Q68="","",Q68))</f>
        <v/>
      </c>
      <c r="R69" s="258">
        <f>IF($A69="","",IF(R68="","",R68))</f>
        <v/>
      </c>
      <c r="S69" s="258">
        <f>IF($A69="","",IF(S68="","",S68))</f>
        <v/>
      </c>
      <c r="T69" s="249">
        <f>IF(OR(P69="",W69=""),"",P69-W69)</f>
        <v/>
      </c>
      <c r="U69" s="258">
        <f>IF($A69="","",IF(U68="","",U68))</f>
        <v/>
      </c>
      <c r="V69" s="249">
        <f>IF(P69="","",P69+IF(Q69="",0,Q69)+IF(R69="",0,R69))</f>
        <v/>
      </c>
      <c r="W69" s="255" t="n"/>
      <c r="X69" s="249">
        <f>SUMIFS('09_CF_원금'!$E$6:$E$92,'09_CF_원금'!$D$6:$D$92,"국장",'09_CF_원금'!$A$6:$A$92,"&lt;="&amp;$A69)-SUMIFS('09_CF_원금'!$E$6:$E$92,'09_CF_원금'!$C$6:$C$92,"국장",'09_CF_원금'!$A$6:$A$92,"&lt;="&amp;$A69)</f>
        <v/>
      </c>
      <c r="Y69" s="249">
        <f>SUMIFS('09_CF_원금'!$E$6:$E$92,'09_CF_원금'!$D$6:$D$92,"미장",'09_CF_원금'!$A$6:$A$92,"&lt;="&amp;$A69)-SUMIFS('09_CF_원금'!$E$6:$E$92,'09_CF_원금'!$C$6:$C$92,"미장",'09_CF_원금'!$A$6:$A$92,"&lt;="&amp;$A69)</f>
        <v/>
      </c>
      <c r="Z69" s="249">
        <f>SUMIFS('09_CF_원금'!$E$6:$E$92,'09_CF_원금'!$D$6:$D$92,"ISA",'09_CF_원금'!$A$6:$A$92,"&lt;="&amp;$A69)-SUMIFS('09_CF_원금'!$E$6:$E$92,'09_CF_원금'!$C$6:$C$92,"ISA",'09_CF_원금'!$A$6:$A$92,"&lt;="&amp;$A69)</f>
        <v/>
      </c>
      <c r="AA69" s="249">
        <f>IF($A69="","",X69+Y69+Z69+SUMIFS('09_CF_원금'!$E$6:$E$92,'09_CF_원금'!$D$6:$D$92,"중국",'09_CF_원금'!$A$6:$A$92,"&lt;="&amp;$A69)-SUMIFS('09_CF_원금'!$E$6:$E$92,'09_CF_원금'!$C$6:$C$92,"중국",'09_CF_원금'!$A$6:$A$92,"&lt;="&amp;$A69)+SUMIFS('09_CF_원금'!$E$6:$E$92,'09_CF_원금'!$D$6:$D$92,"업비트",'09_CF_원금'!$A$6:$A$92,"&lt;="&amp;$A69)-SUMIFS('09_CF_원금'!$E$6:$E$92,'09_CF_원금'!$C$6:$C$92,"업비트",'09_CF_원금'!$A$6:$A$92,"&lt;="&amp;$A69))</f>
        <v/>
      </c>
      <c r="AB69" s="249">
        <f>IF(OR(U69="",V69=""),"",U69-(V69-IF(S69="",0,S69)))</f>
        <v/>
      </c>
      <c r="AC69" s="249">
        <f>IF(AB69="","",T69+AB69)</f>
        <v/>
      </c>
      <c r="AD69" s="249">
        <f>IF(B69="","",MAX($B$5:B69))</f>
        <v/>
      </c>
      <c r="AE69" s="256" t="n"/>
      <c r="AF69" s="255" t="n"/>
      <c r="AG69" s="255" t="n"/>
      <c r="AH69" s="255" t="n"/>
      <c r="AI69" s="255" t="n"/>
      <c r="AJ69" s="257">
        <f>IF($A69="","",YEAR($A69)*100+MONTH($A69))</f>
        <v/>
      </c>
      <c r="AK69" s="257">
        <f>IF($A69="","",IF($N69="",0,1))</f>
        <v/>
      </c>
    </row>
    <row r="70">
      <c r="A70" s="247" t="n">
        <v>46099</v>
      </c>
      <c r="B70" s="248">
        <f>IF(V70&lt;&gt;"",V70-T70,IF(AF70&lt;&gt;"",AA70+AF70,""))</f>
        <v/>
      </c>
      <c r="C70" s="249">
        <f>IF(OR(B70="",B69=""),"",B70-B69)</f>
        <v/>
      </c>
      <c r="D70" s="248">
        <f>IF(OR(B70="",AA70=""),"",B70-AA70)</f>
        <v/>
      </c>
      <c r="E70" s="250">
        <f>IF(OR(B70="",AD70=0),"",MIN(0,B70/AD70-1))</f>
        <v/>
      </c>
      <c r="F70" s="250">
        <f>IF(OR(U70="",T70=0,T70=""),"",(P70-T70*1.4)/U70)</f>
        <v/>
      </c>
      <c r="G70" s="251">
        <f>IF(OR(AC70="",'09_CF_원금'!$B$108=0),"",AC70/'09_CF_원금'!$B$108)</f>
        <v/>
      </c>
      <c r="H70" s="250">
        <f>IF(OR(U70="",U70=0,AC70=""),"",AC70/U70)</f>
        <v/>
      </c>
      <c r="I70" s="250">
        <f>IF(OR(S70="",U70=""),"",S70/(U70+S70))</f>
        <v/>
      </c>
      <c r="J70" s="248">
        <f>IF(W70&lt;&gt;"",W70-X70,IF(AG70&lt;&gt;"",AG70,""))</f>
        <v/>
      </c>
      <c r="K70" s="248">
        <f>IF(Q70&lt;&gt;"",Q70-Y70,IF(AH70&lt;&gt;"",AH70,""))</f>
        <v/>
      </c>
      <c r="L70" s="248">
        <f>IF(R70&lt;&gt;"",R70-Z70,IF(AI70&lt;&gt;"",AI70,""))</f>
        <v/>
      </c>
      <c r="M70" s="252" t="n"/>
      <c r="N70" s="253" t="n"/>
      <c r="O70" s="254" t="n"/>
      <c r="P70" s="255" t="n"/>
      <c r="Q70" s="258">
        <f>IF($A70="","",IF(Q69="","",Q69))</f>
        <v/>
      </c>
      <c r="R70" s="258">
        <f>IF($A70="","",IF(R69="","",R69))</f>
        <v/>
      </c>
      <c r="S70" s="258">
        <f>IF($A70="","",IF(S69="","",S69))</f>
        <v/>
      </c>
      <c r="T70" s="249">
        <f>IF(OR(P70="",W70=""),"",P70-W70)</f>
        <v/>
      </c>
      <c r="U70" s="258">
        <f>IF($A70="","",IF(U69="","",U69))</f>
        <v/>
      </c>
      <c r="V70" s="249">
        <f>IF(P70="","",P70+IF(Q70="",0,Q70)+IF(R70="",0,R70))</f>
        <v/>
      </c>
      <c r="W70" s="255" t="n"/>
      <c r="X70" s="249">
        <f>SUMIFS('09_CF_원금'!$E$6:$E$92,'09_CF_원금'!$D$6:$D$92,"국장",'09_CF_원금'!$A$6:$A$92,"&lt;="&amp;$A70)-SUMIFS('09_CF_원금'!$E$6:$E$92,'09_CF_원금'!$C$6:$C$92,"국장",'09_CF_원금'!$A$6:$A$92,"&lt;="&amp;$A70)</f>
        <v/>
      </c>
      <c r="Y70" s="249">
        <f>SUMIFS('09_CF_원금'!$E$6:$E$92,'09_CF_원금'!$D$6:$D$92,"미장",'09_CF_원금'!$A$6:$A$92,"&lt;="&amp;$A70)-SUMIFS('09_CF_원금'!$E$6:$E$92,'09_CF_원금'!$C$6:$C$92,"미장",'09_CF_원금'!$A$6:$A$92,"&lt;="&amp;$A70)</f>
        <v/>
      </c>
      <c r="Z70" s="249">
        <f>SUMIFS('09_CF_원금'!$E$6:$E$92,'09_CF_원금'!$D$6:$D$92,"ISA",'09_CF_원금'!$A$6:$A$92,"&lt;="&amp;$A70)-SUMIFS('09_CF_원금'!$E$6:$E$92,'09_CF_원금'!$C$6:$C$92,"ISA",'09_CF_원금'!$A$6:$A$92,"&lt;="&amp;$A70)</f>
        <v/>
      </c>
      <c r="AA70" s="249">
        <f>IF($A70="","",X70+Y70+Z70+SUMIFS('09_CF_원금'!$E$6:$E$92,'09_CF_원금'!$D$6:$D$92,"중국",'09_CF_원금'!$A$6:$A$92,"&lt;="&amp;$A70)-SUMIFS('09_CF_원금'!$E$6:$E$92,'09_CF_원금'!$C$6:$C$92,"중국",'09_CF_원금'!$A$6:$A$92,"&lt;="&amp;$A70)+SUMIFS('09_CF_원금'!$E$6:$E$92,'09_CF_원금'!$D$6:$D$92,"업비트",'09_CF_원금'!$A$6:$A$92,"&lt;="&amp;$A70)-SUMIFS('09_CF_원금'!$E$6:$E$92,'09_CF_원금'!$C$6:$C$92,"업비트",'09_CF_원금'!$A$6:$A$92,"&lt;="&amp;$A70))</f>
        <v/>
      </c>
      <c r="AB70" s="249">
        <f>IF(OR(U70="",V70=""),"",U70-(V70-IF(S70="",0,S70)))</f>
        <v/>
      </c>
      <c r="AC70" s="249">
        <f>IF(AB70="","",T70+AB70)</f>
        <v/>
      </c>
      <c r="AD70" s="249">
        <f>IF(B70="","",MAX($B$5:B70))</f>
        <v/>
      </c>
      <c r="AE70" s="256" t="n"/>
      <c r="AF70" s="255" t="n"/>
      <c r="AG70" s="255" t="n"/>
      <c r="AH70" s="255" t="n"/>
      <c r="AI70" s="255" t="n"/>
      <c r="AJ70" s="257">
        <f>IF($A70="","",YEAR($A70)*100+MONTH($A70))</f>
        <v/>
      </c>
      <c r="AK70" s="257">
        <f>IF($A70="","",IF($N70="",0,1))</f>
        <v/>
      </c>
    </row>
    <row r="71">
      <c r="A71" s="247" t="n">
        <v>46100</v>
      </c>
      <c r="B71" s="248">
        <f>IF(V71&lt;&gt;"",V71-T71,IF(AF71&lt;&gt;"",AA71+AF71,""))</f>
        <v/>
      </c>
      <c r="C71" s="249">
        <f>IF(OR(B71="",B70=""),"",B71-B70)</f>
        <v/>
      </c>
      <c r="D71" s="248">
        <f>IF(OR(B71="",AA71=""),"",B71-AA71)</f>
        <v/>
      </c>
      <c r="E71" s="250">
        <f>IF(OR(B71="",AD71=0),"",MIN(0,B71/AD71-1))</f>
        <v/>
      </c>
      <c r="F71" s="250">
        <f>IF(OR(U71="",T71=0,T71=""),"",(P71-T71*1.4)/U71)</f>
        <v/>
      </c>
      <c r="G71" s="251">
        <f>IF(OR(AC71="",'09_CF_원금'!$B$108=0),"",AC71/'09_CF_원금'!$B$108)</f>
        <v/>
      </c>
      <c r="H71" s="250">
        <f>IF(OR(U71="",U71=0,AC71=""),"",AC71/U71)</f>
        <v/>
      </c>
      <c r="I71" s="250">
        <f>IF(OR(S71="",U71=""),"",S71/(U71+S71))</f>
        <v/>
      </c>
      <c r="J71" s="248">
        <f>IF(W71&lt;&gt;"",W71-X71,IF(AG71&lt;&gt;"",AG71,""))</f>
        <v/>
      </c>
      <c r="K71" s="248">
        <f>IF(Q71&lt;&gt;"",Q71-Y71,IF(AH71&lt;&gt;"",AH71,""))</f>
        <v/>
      </c>
      <c r="L71" s="248">
        <f>IF(R71&lt;&gt;"",R71-Z71,IF(AI71&lt;&gt;"",AI71,""))</f>
        <v/>
      </c>
      <c r="M71" s="252" t="n"/>
      <c r="N71" s="253" t="n"/>
      <c r="O71" s="254" t="n"/>
      <c r="P71" s="255" t="n"/>
      <c r="Q71" s="258">
        <f>IF($A71="","",IF(Q70="","",Q70))</f>
        <v/>
      </c>
      <c r="R71" s="258">
        <f>IF($A71="","",IF(R70="","",R70))</f>
        <v/>
      </c>
      <c r="S71" s="258">
        <f>IF($A71="","",IF(S70="","",S70))</f>
        <v/>
      </c>
      <c r="T71" s="249">
        <f>IF(OR(P71="",W71=""),"",P71-W71)</f>
        <v/>
      </c>
      <c r="U71" s="258">
        <f>IF($A71="","",IF(U70="","",U70))</f>
        <v/>
      </c>
      <c r="V71" s="249">
        <f>IF(P71="","",P71+IF(Q71="",0,Q71)+IF(R71="",0,R71))</f>
        <v/>
      </c>
      <c r="W71" s="255" t="n"/>
      <c r="X71" s="249">
        <f>SUMIFS('09_CF_원금'!$E$6:$E$92,'09_CF_원금'!$D$6:$D$92,"국장",'09_CF_원금'!$A$6:$A$92,"&lt;="&amp;$A71)-SUMIFS('09_CF_원금'!$E$6:$E$92,'09_CF_원금'!$C$6:$C$92,"국장",'09_CF_원금'!$A$6:$A$92,"&lt;="&amp;$A71)</f>
        <v/>
      </c>
      <c r="Y71" s="249">
        <f>SUMIFS('09_CF_원금'!$E$6:$E$92,'09_CF_원금'!$D$6:$D$92,"미장",'09_CF_원금'!$A$6:$A$92,"&lt;="&amp;$A71)-SUMIFS('09_CF_원금'!$E$6:$E$92,'09_CF_원금'!$C$6:$C$92,"미장",'09_CF_원금'!$A$6:$A$92,"&lt;="&amp;$A71)</f>
        <v/>
      </c>
      <c r="Z71" s="249">
        <f>SUMIFS('09_CF_원금'!$E$6:$E$92,'09_CF_원금'!$D$6:$D$92,"ISA",'09_CF_원금'!$A$6:$A$92,"&lt;="&amp;$A71)-SUMIFS('09_CF_원금'!$E$6:$E$92,'09_CF_원금'!$C$6:$C$92,"ISA",'09_CF_원금'!$A$6:$A$92,"&lt;="&amp;$A71)</f>
        <v/>
      </c>
      <c r="AA71" s="249">
        <f>IF($A71="","",X71+Y71+Z71+SUMIFS('09_CF_원금'!$E$6:$E$92,'09_CF_원금'!$D$6:$D$92,"중국",'09_CF_원금'!$A$6:$A$92,"&lt;="&amp;$A71)-SUMIFS('09_CF_원금'!$E$6:$E$92,'09_CF_원금'!$C$6:$C$92,"중국",'09_CF_원금'!$A$6:$A$92,"&lt;="&amp;$A71)+SUMIFS('09_CF_원금'!$E$6:$E$92,'09_CF_원금'!$D$6:$D$92,"업비트",'09_CF_원금'!$A$6:$A$92,"&lt;="&amp;$A71)-SUMIFS('09_CF_원금'!$E$6:$E$92,'09_CF_원금'!$C$6:$C$92,"업비트",'09_CF_원금'!$A$6:$A$92,"&lt;="&amp;$A71))</f>
        <v/>
      </c>
      <c r="AB71" s="249">
        <f>IF(OR(U71="",V71=""),"",U71-(V71-IF(S71="",0,S71)))</f>
        <v/>
      </c>
      <c r="AC71" s="249">
        <f>IF(AB71="","",T71+AB71)</f>
        <v/>
      </c>
      <c r="AD71" s="249">
        <f>IF(B71="","",MAX($B$5:B71))</f>
        <v/>
      </c>
      <c r="AE71" s="256" t="n"/>
      <c r="AF71" s="255" t="n"/>
      <c r="AG71" s="255" t="n"/>
      <c r="AH71" s="255" t="n"/>
      <c r="AI71" s="255" t="n"/>
      <c r="AJ71" s="257">
        <f>IF($A71="","",YEAR($A71)*100+MONTH($A71))</f>
        <v/>
      </c>
      <c r="AK71" s="257">
        <f>IF($A71="","",IF($N71="",0,1))</f>
        <v/>
      </c>
    </row>
    <row r="72">
      <c r="A72" s="247" t="n">
        <v>46101</v>
      </c>
      <c r="B72" s="248">
        <f>IF(V72&lt;&gt;"",V72-T72,IF(AF72&lt;&gt;"",AA72+AF72,""))</f>
        <v/>
      </c>
      <c r="C72" s="249">
        <f>IF(OR(B72="",B71=""),"",B72-B71)</f>
        <v/>
      </c>
      <c r="D72" s="248">
        <f>IF(OR(B72="",AA72=""),"",B72-AA72)</f>
        <v/>
      </c>
      <c r="E72" s="250">
        <f>IF(OR(B72="",AD72=0),"",MIN(0,B72/AD72-1))</f>
        <v/>
      </c>
      <c r="F72" s="250">
        <f>IF(OR(U72="",T72=0,T72=""),"",(P72-T72*1.4)/U72)</f>
        <v/>
      </c>
      <c r="G72" s="251">
        <f>IF(OR(AC72="",'09_CF_원금'!$B$108=0),"",AC72/'09_CF_원금'!$B$108)</f>
        <v/>
      </c>
      <c r="H72" s="250">
        <f>IF(OR(U72="",U72=0,AC72=""),"",AC72/U72)</f>
        <v/>
      </c>
      <c r="I72" s="250">
        <f>IF(OR(S72="",U72=""),"",S72/(U72+S72))</f>
        <v/>
      </c>
      <c r="J72" s="248">
        <f>IF(W72&lt;&gt;"",W72-X72,IF(AG72&lt;&gt;"",AG72,""))</f>
        <v/>
      </c>
      <c r="K72" s="248">
        <f>IF(Q72&lt;&gt;"",Q72-Y72,IF(AH72&lt;&gt;"",AH72,""))</f>
        <v/>
      </c>
      <c r="L72" s="248">
        <f>IF(R72&lt;&gt;"",R72-Z72,IF(AI72&lt;&gt;"",AI72,""))</f>
        <v/>
      </c>
      <c r="M72" s="252" t="n"/>
      <c r="N72" s="253" t="n"/>
      <c r="O72" s="254" t="n"/>
      <c r="P72" s="255" t="n"/>
      <c r="Q72" s="258">
        <f>IF($A72="","",IF(Q71="","",Q71))</f>
        <v/>
      </c>
      <c r="R72" s="258">
        <f>IF($A72="","",IF(R71="","",R71))</f>
        <v/>
      </c>
      <c r="S72" s="258">
        <f>IF($A72="","",IF(S71="","",S71))</f>
        <v/>
      </c>
      <c r="T72" s="249">
        <f>IF(OR(P72="",W72=""),"",P72-W72)</f>
        <v/>
      </c>
      <c r="U72" s="258">
        <f>IF($A72="","",IF(U71="","",U71))</f>
        <v/>
      </c>
      <c r="V72" s="249">
        <f>IF(P72="","",P72+IF(Q72="",0,Q72)+IF(R72="",0,R72))</f>
        <v/>
      </c>
      <c r="W72" s="255" t="n"/>
      <c r="X72" s="249">
        <f>SUMIFS('09_CF_원금'!$E$6:$E$92,'09_CF_원금'!$D$6:$D$92,"국장",'09_CF_원금'!$A$6:$A$92,"&lt;="&amp;$A72)-SUMIFS('09_CF_원금'!$E$6:$E$92,'09_CF_원금'!$C$6:$C$92,"국장",'09_CF_원금'!$A$6:$A$92,"&lt;="&amp;$A72)</f>
        <v/>
      </c>
      <c r="Y72" s="249">
        <f>SUMIFS('09_CF_원금'!$E$6:$E$92,'09_CF_원금'!$D$6:$D$92,"미장",'09_CF_원금'!$A$6:$A$92,"&lt;="&amp;$A72)-SUMIFS('09_CF_원금'!$E$6:$E$92,'09_CF_원금'!$C$6:$C$92,"미장",'09_CF_원금'!$A$6:$A$92,"&lt;="&amp;$A72)</f>
        <v/>
      </c>
      <c r="Z72" s="249">
        <f>SUMIFS('09_CF_원금'!$E$6:$E$92,'09_CF_원금'!$D$6:$D$92,"ISA",'09_CF_원금'!$A$6:$A$92,"&lt;="&amp;$A72)-SUMIFS('09_CF_원금'!$E$6:$E$92,'09_CF_원금'!$C$6:$C$92,"ISA",'09_CF_원금'!$A$6:$A$92,"&lt;="&amp;$A72)</f>
        <v/>
      </c>
      <c r="AA72" s="249">
        <f>IF($A72="","",X72+Y72+Z72+SUMIFS('09_CF_원금'!$E$6:$E$92,'09_CF_원금'!$D$6:$D$92,"중국",'09_CF_원금'!$A$6:$A$92,"&lt;="&amp;$A72)-SUMIFS('09_CF_원금'!$E$6:$E$92,'09_CF_원금'!$C$6:$C$92,"중국",'09_CF_원금'!$A$6:$A$92,"&lt;="&amp;$A72)+SUMIFS('09_CF_원금'!$E$6:$E$92,'09_CF_원금'!$D$6:$D$92,"업비트",'09_CF_원금'!$A$6:$A$92,"&lt;="&amp;$A72)-SUMIFS('09_CF_원금'!$E$6:$E$92,'09_CF_원금'!$C$6:$C$92,"업비트",'09_CF_원금'!$A$6:$A$92,"&lt;="&amp;$A72))</f>
        <v/>
      </c>
      <c r="AB72" s="249">
        <f>IF(OR(U72="",V72=""),"",U72-(V72-IF(S72="",0,S72)))</f>
        <v/>
      </c>
      <c r="AC72" s="249">
        <f>IF(AB72="","",T72+AB72)</f>
        <v/>
      </c>
      <c r="AD72" s="249">
        <f>IF(B72="","",MAX($B$5:B72))</f>
        <v/>
      </c>
      <c r="AE72" s="256" t="n">
        <v>24101</v>
      </c>
      <c r="AF72" s="255" t="n">
        <v>255103384</v>
      </c>
      <c r="AG72" s="255" t="n">
        <v>214759356</v>
      </c>
      <c r="AH72" s="255" t="n">
        <v>31983128</v>
      </c>
      <c r="AI72" s="255" t="n">
        <v>8360900</v>
      </c>
      <c r="AJ72" s="257">
        <f>IF($A72="","",YEAR($A72)*100+MONTH($A72))</f>
        <v/>
      </c>
      <c r="AK72" s="257">
        <f>IF($A72="","",IF($N72="",0,1))</f>
        <v/>
      </c>
    </row>
    <row r="73">
      <c r="A73" s="247" t="n">
        <v>46104</v>
      </c>
      <c r="B73" s="248">
        <f>IF(V73&lt;&gt;"",V73-T73,IF(AF73&lt;&gt;"",AA73+AF73,""))</f>
        <v/>
      </c>
      <c r="C73" s="249">
        <f>IF(OR(B73="",B72=""),"",B73-B72)</f>
        <v/>
      </c>
      <c r="D73" s="248">
        <f>IF(OR(B73="",AA73=""),"",B73-AA73)</f>
        <v/>
      </c>
      <c r="E73" s="250">
        <f>IF(OR(B73="",AD73=0),"",MIN(0,B73/AD73-1))</f>
        <v/>
      </c>
      <c r="F73" s="250">
        <f>IF(OR(U73="",T73=0,T73=""),"",(P73-T73*1.4)/U73)</f>
        <v/>
      </c>
      <c r="G73" s="251">
        <f>IF(OR(AC73="",'09_CF_원금'!$B$108=0),"",AC73/'09_CF_원금'!$B$108)</f>
        <v/>
      </c>
      <c r="H73" s="250">
        <f>IF(OR(U73="",U73=0,AC73=""),"",AC73/U73)</f>
        <v/>
      </c>
      <c r="I73" s="250">
        <f>IF(OR(S73="",U73=""),"",S73/(U73+S73))</f>
        <v/>
      </c>
      <c r="J73" s="248">
        <f>IF(W73&lt;&gt;"",W73-X73,IF(AG73&lt;&gt;"",AG73,""))</f>
        <v/>
      </c>
      <c r="K73" s="248">
        <f>IF(Q73&lt;&gt;"",Q73-Y73,IF(AH73&lt;&gt;"",AH73,""))</f>
        <v/>
      </c>
      <c r="L73" s="248">
        <f>IF(R73&lt;&gt;"",R73-Z73,IF(AI73&lt;&gt;"",AI73,""))</f>
        <v/>
      </c>
      <c r="M73" s="252" t="n"/>
      <c r="N73" s="253" t="n"/>
      <c r="O73" s="254" t="n"/>
      <c r="P73" s="255" t="n"/>
      <c r="Q73" s="258">
        <f>IF($A73="","",IF(Q72="","",Q72))</f>
        <v/>
      </c>
      <c r="R73" s="258">
        <f>IF($A73="","",IF(R72="","",R72))</f>
        <v/>
      </c>
      <c r="S73" s="258">
        <f>IF($A73="","",IF(S72="","",S72))</f>
        <v/>
      </c>
      <c r="T73" s="249">
        <f>IF(OR(P73="",W73=""),"",P73-W73)</f>
        <v/>
      </c>
      <c r="U73" s="258">
        <f>IF($A73="","",IF(U72="","",U72))</f>
        <v/>
      </c>
      <c r="V73" s="249">
        <f>IF(P73="","",P73+IF(Q73="",0,Q73)+IF(R73="",0,R73))</f>
        <v/>
      </c>
      <c r="W73" s="255" t="n"/>
      <c r="X73" s="249">
        <f>SUMIFS('09_CF_원금'!$E$6:$E$92,'09_CF_원금'!$D$6:$D$92,"국장",'09_CF_원금'!$A$6:$A$92,"&lt;="&amp;$A73)-SUMIFS('09_CF_원금'!$E$6:$E$92,'09_CF_원금'!$C$6:$C$92,"국장",'09_CF_원금'!$A$6:$A$92,"&lt;="&amp;$A73)</f>
        <v/>
      </c>
      <c r="Y73" s="249">
        <f>SUMIFS('09_CF_원금'!$E$6:$E$92,'09_CF_원금'!$D$6:$D$92,"미장",'09_CF_원금'!$A$6:$A$92,"&lt;="&amp;$A73)-SUMIFS('09_CF_원금'!$E$6:$E$92,'09_CF_원금'!$C$6:$C$92,"미장",'09_CF_원금'!$A$6:$A$92,"&lt;="&amp;$A73)</f>
        <v/>
      </c>
      <c r="Z73" s="249">
        <f>SUMIFS('09_CF_원금'!$E$6:$E$92,'09_CF_원금'!$D$6:$D$92,"ISA",'09_CF_원금'!$A$6:$A$92,"&lt;="&amp;$A73)-SUMIFS('09_CF_원금'!$E$6:$E$92,'09_CF_원금'!$C$6:$C$92,"ISA",'09_CF_원금'!$A$6:$A$92,"&lt;="&amp;$A73)</f>
        <v/>
      </c>
      <c r="AA73" s="249">
        <f>IF($A73="","",X73+Y73+Z73+SUMIFS('09_CF_원금'!$E$6:$E$92,'09_CF_원금'!$D$6:$D$92,"중국",'09_CF_원금'!$A$6:$A$92,"&lt;="&amp;$A73)-SUMIFS('09_CF_원금'!$E$6:$E$92,'09_CF_원금'!$C$6:$C$92,"중국",'09_CF_원금'!$A$6:$A$92,"&lt;="&amp;$A73)+SUMIFS('09_CF_원금'!$E$6:$E$92,'09_CF_원금'!$D$6:$D$92,"업비트",'09_CF_원금'!$A$6:$A$92,"&lt;="&amp;$A73)-SUMIFS('09_CF_원금'!$E$6:$E$92,'09_CF_원금'!$C$6:$C$92,"업비트",'09_CF_원금'!$A$6:$A$92,"&lt;="&amp;$A73))</f>
        <v/>
      </c>
      <c r="AB73" s="249">
        <f>IF(OR(U73="",V73=""),"",U73-(V73-IF(S73="",0,S73)))</f>
        <v/>
      </c>
      <c r="AC73" s="249">
        <f>IF(AB73="","",T73+AB73)</f>
        <v/>
      </c>
      <c r="AD73" s="249">
        <f>IF(B73="","",MAX($B$5:B73))</f>
        <v/>
      </c>
      <c r="AE73" s="256" t="n"/>
      <c r="AF73" s="255" t="n"/>
      <c r="AG73" s="255" t="n"/>
      <c r="AH73" s="255" t="n"/>
      <c r="AI73" s="255" t="n"/>
      <c r="AJ73" s="257">
        <f>IF($A73="","",YEAR($A73)*100+MONTH($A73))</f>
        <v/>
      </c>
      <c r="AK73" s="257">
        <f>IF($A73="","",IF($N73="",0,1))</f>
        <v/>
      </c>
    </row>
    <row r="74">
      <c r="A74" s="247" t="n">
        <v>46105</v>
      </c>
      <c r="B74" s="248">
        <f>IF(V74&lt;&gt;"",V74-T74,IF(AF74&lt;&gt;"",AA74+AF74,""))</f>
        <v/>
      </c>
      <c r="C74" s="249">
        <f>IF(OR(B74="",B73=""),"",B74-B73)</f>
        <v/>
      </c>
      <c r="D74" s="248">
        <f>IF(OR(B74="",AA74=""),"",B74-AA74)</f>
        <v/>
      </c>
      <c r="E74" s="250">
        <f>IF(OR(B74="",AD74=0),"",MIN(0,B74/AD74-1))</f>
        <v/>
      </c>
      <c r="F74" s="250">
        <f>IF(OR(U74="",T74=0,T74=""),"",(P74-T74*1.4)/U74)</f>
        <v/>
      </c>
      <c r="G74" s="251">
        <f>IF(OR(AC74="",'09_CF_원금'!$B$108=0),"",AC74/'09_CF_원금'!$B$108)</f>
        <v/>
      </c>
      <c r="H74" s="250">
        <f>IF(OR(U74="",U74=0,AC74=""),"",AC74/U74)</f>
        <v/>
      </c>
      <c r="I74" s="250">
        <f>IF(OR(S74="",U74=""),"",S74/(U74+S74))</f>
        <v/>
      </c>
      <c r="J74" s="248">
        <f>IF(W74&lt;&gt;"",W74-X74,IF(AG74&lt;&gt;"",AG74,""))</f>
        <v/>
      </c>
      <c r="K74" s="248">
        <f>IF(Q74&lt;&gt;"",Q74-Y74,IF(AH74&lt;&gt;"",AH74,""))</f>
        <v/>
      </c>
      <c r="L74" s="248">
        <f>IF(R74&lt;&gt;"",R74-Z74,IF(AI74&lt;&gt;"",AI74,""))</f>
        <v/>
      </c>
      <c r="M74" s="252" t="n"/>
      <c r="N74" s="253" t="n"/>
      <c r="O74" s="254" t="n"/>
      <c r="P74" s="255" t="n"/>
      <c r="Q74" s="258">
        <f>IF($A74="","",IF(Q73="","",Q73))</f>
        <v/>
      </c>
      <c r="R74" s="258">
        <f>IF($A74="","",IF(R73="","",R73))</f>
        <v/>
      </c>
      <c r="S74" s="258">
        <f>IF($A74="","",IF(S73="","",S73))</f>
        <v/>
      </c>
      <c r="T74" s="249">
        <f>IF(OR(P74="",W74=""),"",P74-W74)</f>
        <v/>
      </c>
      <c r="U74" s="258">
        <f>IF($A74="","",IF(U73="","",U73))</f>
        <v/>
      </c>
      <c r="V74" s="249">
        <f>IF(P74="","",P74+IF(Q74="",0,Q74)+IF(R74="",0,R74))</f>
        <v/>
      </c>
      <c r="W74" s="255" t="n"/>
      <c r="X74" s="249">
        <f>SUMIFS('09_CF_원금'!$E$6:$E$92,'09_CF_원금'!$D$6:$D$92,"국장",'09_CF_원금'!$A$6:$A$92,"&lt;="&amp;$A74)-SUMIFS('09_CF_원금'!$E$6:$E$92,'09_CF_원금'!$C$6:$C$92,"국장",'09_CF_원금'!$A$6:$A$92,"&lt;="&amp;$A74)</f>
        <v/>
      </c>
      <c r="Y74" s="249">
        <f>SUMIFS('09_CF_원금'!$E$6:$E$92,'09_CF_원금'!$D$6:$D$92,"미장",'09_CF_원금'!$A$6:$A$92,"&lt;="&amp;$A74)-SUMIFS('09_CF_원금'!$E$6:$E$92,'09_CF_원금'!$C$6:$C$92,"미장",'09_CF_원금'!$A$6:$A$92,"&lt;="&amp;$A74)</f>
        <v/>
      </c>
      <c r="Z74" s="249">
        <f>SUMIFS('09_CF_원금'!$E$6:$E$92,'09_CF_원금'!$D$6:$D$92,"ISA",'09_CF_원금'!$A$6:$A$92,"&lt;="&amp;$A74)-SUMIFS('09_CF_원금'!$E$6:$E$92,'09_CF_원금'!$C$6:$C$92,"ISA",'09_CF_원금'!$A$6:$A$92,"&lt;="&amp;$A74)</f>
        <v/>
      </c>
      <c r="AA74" s="249">
        <f>IF($A74="","",X74+Y74+Z74+SUMIFS('09_CF_원금'!$E$6:$E$92,'09_CF_원금'!$D$6:$D$92,"중국",'09_CF_원금'!$A$6:$A$92,"&lt;="&amp;$A74)-SUMIFS('09_CF_원금'!$E$6:$E$92,'09_CF_원금'!$C$6:$C$92,"중국",'09_CF_원금'!$A$6:$A$92,"&lt;="&amp;$A74)+SUMIFS('09_CF_원금'!$E$6:$E$92,'09_CF_원금'!$D$6:$D$92,"업비트",'09_CF_원금'!$A$6:$A$92,"&lt;="&amp;$A74)-SUMIFS('09_CF_원금'!$E$6:$E$92,'09_CF_원금'!$C$6:$C$92,"업비트",'09_CF_원금'!$A$6:$A$92,"&lt;="&amp;$A74))</f>
        <v/>
      </c>
      <c r="AB74" s="249">
        <f>IF(OR(U74="",V74=""),"",U74-(V74-IF(S74="",0,S74)))</f>
        <v/>
      </c>
      <c r="AC74" s="249">
        <f>IF(AB74="","",T74+AB74)</f>
        <v/>
      </c>
      <c r="AD74" s="249">
        <f>IF(B74="","",MAX($B$5:B74))</f>
        <v/>
      </c>
      <c r="AE74" s="256" t="n"/>
      <c r="AF74" s="255" t="n"/>
      <c r="AG74" s="255" t="n"/>
      <c r="AH74" s="255" t="n"/>
      <c r="AI74" s="255" t="n"/>
      <c r="AJ74" s="257">
        <f>IF($A74="","",YEAR($A74)*100+MONTH($A74))</f>
        <v/>
      </c>
      <c r="AK74" s="257">
        <f>IF($A74="","",IF($N74="",0,1))</f>
        <v/>
      </c>
    </row>
    <row r="75">
      <c r="A75" s="247" t="n">
        <v>46106</v>
      </c>
      <c r="B75" s="248">
        <f>IF(V75&lt;&gt;"",V75-T75,IF(AF75&lt;&gt;"",AA75+AF75,""))</f>
        <v/>
      </c>
      <c r="C75" s="249">
        <f>IF(OR(B75="",B74=""),"",B75-B74)</f>
        <v/>
      </c>
      <c r="D75" s="248">
        <f>IF(OR(B75="",AA75=""),"",B75-AA75)</f>
        <v/>
      </c>
      <c r="E75" s="250">
        <f>IF(OR(B75="",AD75=0),"",MIN(0,B75/AD75-1))</f>
        <v/>
      </c>
      <c r="F75" s="250">
        <f>IF(OR(U75="",T75=0,T75=""),"",(P75-T75*1.4)/U75)</f>
        <v/>
      </c>
      <c r="G75" s="251">
        <f>IF(OR(AC75="",'09_CF_원금'!$B$108=0),"",AC75/'09_CF_원금'!$B$108)</f>
        <v/>
      </c>
      <c r="H75" s="250">
        <f>IF(OR(U75="",U75=0,AC75=""),"",AC75/U75)</f>
        <v/>
      </c>
      <c r="I75" s="250">
        <f>IF(OR(S75="",U75=""),"",S75/(U75+S75))</f>
        <v/>
      </c>
      <c r="J75" s="248">
        <f>IF(W75&lt;&gt;"",W75-X75,IF(AG75&lt;&gt;"",AG75,""))</f>
        <v/>
      </c>
      <c r="K75" s="248">
        <f>IF(Q75&lt;&gt;"",Q75-Y75,IF(AH75&lt;&gt;"",AH75,""))</f>
        <v/>
      </c>
      <c r="L75" s="248">
        <f>IF(R75&lt;&gt;"",R75-Z75,IF(AI75&lt;&gt;"",AI75,""))</f>
        <v/>
      </c>
      <c r="M75" s="252" t="n"/>
      <c r="N75" s="253" t="n"/>
      <c r="O75" s="254" t="n"/>
      <c r="P75" s="255" t="n"/>
      <c r="Q75" s="258">
        <f>IF($A75="","",IF(Q74="","",Q74))</f>
        <v/>
      </c>
      <c r="R75" s="258">
        <f>IF($A75="","",IF(R74="","",R74))</f>
        <v/>
      </c>
      <c r="S75" s="258">
        <f>IF($A75="","",IF(S74="","",S74))</f>
        <v/>
      </c>
      <c r="T75" s="249">
        <f>IF(OR(P75="",W75=""),"",P75-W75)</f>
        <v/>
      </c>
      <c r="U75" s="258">
        <f>IF($A75="","",IF(U74="","",U74))</f>
        <v/>
      </c>
      <c r="V75" s="249">
        <f>IF(P75="","",P75+IF(Q75="",0,Q75)+IF(R75="",0,R75))</f>
        <v/>
      </c>
      <c r="W75" s="255" t="n"/>
      <c r="X75" s="249">
        <f>SUMIFS('09_CF_원금'!$E$6:$E$92,'09_CF_원금'!$D$6:$D$92,"국장",'09_CF_원금'!$A$6:$A$92,"&lt;="&amp;$A75)-SUMIFS('09_CF_원금'!$E$6:$E$92,'09_CF_원금'!$C$6:$C$92,"국장",'09_CF_원금'!$A$6:$A$92,"&lt;="&amp;$A75)</f>
        <v/>
      </c>
      <c r="Y75" s="249">
        <f>SUMIFS('09_CF_원금'!$E$6:$E$92,'09_CF_원금'!$D$6:$D$92,"미장",'09_CF_원금'!$A$6:$A$92,"&lt;="&amp;$A75)-SUMIFS('09_CF_원금'!$E$6:$E$92,'09_CF_원금'!$C$6:$C$92,"미장",'09_CF_원금'!$A$6:$A$92,"&lt;="&amp;$A75)</f>
        <v/>
      </c>
      <c r="Z75" s="249">
        <f>SUMIFS('09_CF_원금'!$E$6:$E$92,'09_CF_원금'!$D$6:$D$92,"ISA",'09_CF_원금'!$A$6:$A$92,"&lt;="&amp;$A75)-SUMIFS('09_CF_원금'!$E$6:$E$92,'09_CF_원금'!$C$6:$C$92,"ISA",'09_CF_원금'!$A$6:$A$92,"&lt;="&amp;$A75)</f>
        <v/>
      </c>
      <c r="AA75" s="249">
        <f>IF($A75="","",X75+Y75+Z75+SUMIFS('09_CF_원금'!$E$6:$E$92,'09_CF_원금'!$D$6:$D$92,"중국",'09_CF_원금'!$A$6:$A$92,"&lt;="&amp;$A75)-SUMIFS('09_CF_원금'!$E$6:$E$92,'09_CF_원금'!$C$6:$C$92,"중국",'09_CF_원금'!$A$6:$A$92,"&lt;="&amp;$A75)+SUMIFS('09_CF_원금'!$E$6:$E$92,'09_CF_원금'!$D$6:$D$92,"업비트",'09_CF_원금'!$A$6:$A$92,"&lt;="&amp;$A75)-SUMIFS('09_CF_원금'!$E$6:$E$92,'09_CF_원금'!$C$6:$C$92,"업비트",'09_CF_원금'!$A$6:$A$92,"&lt;="&amp;$A75))</f>
        <v/>
      </c>
      <c r="AB75" s="249">
        <f>IF(OR(U75="",V75=""),"",U75-(V75-IF(S75="",0,S75)))</f>
        <v/>
      </c>
      <c r="AC75" s="249">
        <f>IF(AB75="","",T75+AB75)</f>
        <v/>
      </c>
      <c r="AD75" s="249">
        <f>IF(B75="","",MAX($B$5:B75))</f>
        <v/>
      </c>
      <c r="AE75" s="256" t="n"/>
      <c r="AF75" s="255" t="n"/>
      <c r="AG75" s="255" t="n"/>
      <c r="AH75" s="255" t="n"/>
      <c r="AI75" s="255" t="n"/>
      <c r="AJ75" s="257">
        <f>IF($A75="","",YEAR($A75)*100+MONTH($A75))</f>
        <v/>
      </c>
      <c r="AK75" s="257">
        <f>IF($A75="","",IF($N75="",0,1))</f>
        <v/>
      </c>
    </row>
    <row r="76">
      <c r="A76" s="247" t="n">
        <v>46107</v>
      </c>
      <c r="B76" s="248">
        <f>IF(V76&lt;&gt;"",V76-T76,IF(AF76&lt;&gt;"",AA76+AF76,""))</f>
        <v/>
      </c>
      <c r="C76" s="249">
        <f>IF(OR(B76="",B75=""),"",B76-B75)</f>
        <v/>
      </c>
      <c r="D76" s="248">
        <f>IF(OR(B76="",AA76=""),"",B76-AA76)</f>
        <v/>
      </c>
      <c r="E76" s="250">
        <f>IF(OR(B76="",AD76=0),"",MIN(0,B76/AD76-1))</f>
        <v/>
      </c>
      <c r="F76" s="250">
        <f>IF(OR(U76="",T76=0,T76=""),"",(P76-T76*1.4)/U76)</f>
        <v/>
      </c>
      <c r="G76" s="251">
        <f>IF(OR(AC76="",'09_CF_원금'!$B$108=0),"",AC76/'09_CF_원금'!$B$108)</f>
        <v/>
      </c>
      <c r="H76" s="250">
        <f>IF(OR(U76="",U76=0,AC76=""),"",AC76/U76)</f>
        <v/>
      </c>
      <c r="I76" s="250">
        <f>IF(OR(S76="",U76=""),"",S76/(U76+S76))</f>
        <v/>
      </c>
      <c r="J76" s="248">
        <f>IF(W76&lt;&gt;"",W76-X76,IF(AG76&lt;&gt;"",AG76,""))</f>
        <v/>
      </c>
      <c r="K76" s="248">
        <f>IF(Q76&lt;&gt;"",Q76-Y76,IF(AH76&lt;&gt;"",AH76,""))</f>
        <v/>
      </c>
      <c r="L76" s="248">
        <f>IF(R76&lt;&gt;"",R76-Z76,IF(AI76&lt;&gt;"",AI76,""))</f>
        <v/>
      </c>
      <c r="M76" s="252" t="n"/>
      <c r="N76" s="253" t="n"/>
      <c r="O76" s="254" t="n"/>
      <c r="P76" s="255" t="n"/>
      <c r="Q76" s="258">
        <f>IF($A76="","",IF(Q75="","",Q75))</f>
        <v/>
      </c>
      <c r="R76" s="258">
        <f>IF($A76="","",IF(R75="","",R75))</f>
        <v/>
      </c>
      <c r="S76" s="258">
        <f>IF($A76="","",IF(S75="","",S75))</f>
        <v/>
      </c>
      <c r="T76" s="249">
        <f>IF(OR(P76="",W76=""),"",P76-W76)</f>
        <v/>
      </c>
      <c r="U76" s="258">
        <f>IF($A76="","",IF(U75="","",U75))</f>
        <v/>
      </c>
      <c r="V76" s="249">
        <f>IF(P76="","",P76+IF(Q76="",0,Q76)+IF(R76="",0,R76))</f>
        <v/>
      </c>
      <c r="W76" s="255" t="n"/>
      <c r="X76" s="249">
        <f>SUMIFS('09_CF_원금'!$E$6:$E$92,'09_CF_원금'!$D$6:$D$92,"국장",'09_CF_원금'!$A$6:$A$92,"&lt;="&amp;$A76)-SUMIFS('09_CF_원금'!$E$6:$E$92,'09_CF_원금'!$C$6:$C$92,"국장",'09_CF_원금'!$A$6:$A$92,"&lt;="&amp;$A76)</f>
        <v/>
      </c>
      <c r="Y76" s="249">
        <f>SUMIFS('09_CF_원금'!$E$6:$E$92,'09_CF_원금'!$D$6:$D$92,"미장",'09_CF_원금'!$A$6:$A$92,"&lt;="&amp;$A76)-SUMIFS('09_CF_원금'!$E$6:$E$92,'09_CF_원금'!$C$6:$C$92,"미장",'09_CF_원금'!$A$6:$A$92,"&lt;="&amp;$A76)</f>
        <v/>
      </c>
      <c r="Z76" s="249">
        <f>SUMIFS('09_CF_원금'!$E$6:$E$92,'09_CF_원금'!$D$6:$D$92,"ISA",'09_CF_원금'!$A$6:$A$92,"&lt;="&amp;$A76)-SUMIFS('09_CF_원금'!$E$6:$E$92,'09_CF_원금'!$C$6:$C$92,"ISA",'09_CF_원금'!$A$6:$A$92,"&lt;="&amp;$A76)</f>
        <v/>
      </c>
      <c r="AA76" s="249">
        <f>IF($A76="","",X76+Y76+Z76+SUMIFS('09_CF_원금'!$E$6:$E$92,'09_CF_원금'!$D$6:$D$92,"중국",'09_CF_원금'!$A$6:$A$92,"&lt;="&amp;$A76)-SUMIFS('09_CF_원금'!$E$6:$E$92,'09_CF_원금'!$C$6:$C$92,"중국",'09_CF_원금'!$A$6:$A$92,"&lt;="&amp;$A76)+SUMIFS('09_CF_원금'!$E$6:$E$92,'09_CF_원금'!$D$6:$D$92,"업비트",'09_CF_원금'!$A$6:$A$92,"&lt;="&amp;$A76)-SUMIFS('09_CF_원금'!$E$6:$E$92,'09_CF_원금'!$C$6:$C$92,"업비트",'09_CF_원금'!$A$6:$A$92,"&lt;="&amp;$A76))</f>
        <v/>
      </c>
      <c r="AB76" s="249">
        <f>IF(OR(U76="",V76=""),"",U76-(V76-IF(S76="",0,S76)))</f>
        <v/>
      </c>
      <c r="AC76" s="249">
        <f>IF(AB76="","",T76+AB76)</f>
        <v/>
      </c>
      <c r="AD76" s="249">
        <f>IF(B76="","",MAX($B$5:B76))</f>
        <v/>
      </c>
      <c r="AE76" s="256" t="n"/>
      <c r="AF76" s="255" t="n"/>
      <c r="AG76" s="255" t="n"/>
      <c r="AH76" s="255" t="n"/>
      <c r="AI76" s="255" t="n"/>
      <c r="AJ76" s="257">
        <f>IF($A76="","",YEAR($A76)*100+MONTH($A76))</f>
        <v/>
      </c>
      <c r="AK76" s="257">
        <f>IF($A76="","",IF($N76="",0,1))</f>
        <v/>
      </c>
    </row>
    <row r="77">
      <c r="A77" s="247" t="n">
        <v>46108</v>
      </c>
      <c r="B77" s="248">
        <f>IF(V77&lt;&gt;"",V77-T77,IF(AF77&lt;&gt;"",AA77+AF77,""))</f>
        <v/>
      </c>
      <c r="C77" s="249">
        <f>IF(OR(B77="",B76=""),"",B77-B76)</f>
        <v/>
      </c>
      <c r="D77" s="248">
        <f>IF(OR(B77="",AA77=""),"",B77-AA77)</f>
        <v/>
      </c>
      <c r="E77" s="250">
        <f>IF(OR(B77="",AD77=0),"",MIN(0,B77/AD77-1))</f>
        <v/>
      </c>
      <c r="F77" s="250">
        <f>IF(OR(U77="",T77=0,T77=""),"",(P77-T77*1.4)/U77)</f>
        <v/>
      </c>
      <c r="G77" s="251">
        <f>IF(OR(AC77="",'09_CF_원금'!$B$108=0),"",AC77/'09_CF_원금'!$B$108)</f>
        <v/>
      </c>
      <c r="H77" s="250">
        <f>IF(OR(U77="",U77=0,AC77=""),"",AC77/U77)</f>
        <v/>
      </c>
      <c r="I77" s="250">
        <f>IF(OR(S77="",U77=""),"",S77/(U77+S77))</f>
        <v/>
      </c>
      <c r="J77" s="248">
        <f>IF(W77&lt;&gt;"",W77-X77,IF(AG77&lt;&gt;"",AG77,""))</f>
        <v/>
      </c>
      <c r="K77" s="248">
        <f>IF(Q77&lt;&gt;"",Q77-Y77,IF(AH77&lt;&gt;"",AH77,""))</f>
        <v/>
      </c>
      <c r="L77" s="248">
        <f>IF(R77&lt;&gt;"",R77-Z77,IF(AI77&lt;&gt;"",AI77,""))</f>
        <v/>
      </c>
      <c r="M77" s="252" t="n"/>
      <c r="N77" s="253" t="n"/>
      <c r="O77" s="254" t="n"/>
      <c r="P77" s="255" t="n"/>
      <c r="Q77" s="258">
        <f>IF($A77="","",IF(Q76="","",Q76))</f>
        <v/>
      </c>
      <c r="R77" s="258">
        <f>IF($A77="","",IF(R76="","",R76))</f>
        <v/>
      </c>
      <c r="S77" s="258">
        <f>IF($A77="","",IF(S76="","",S76))</f>
        <v/>
      </c>
      <c r="T77" s="249">
        <f>IF(OR(P77="",W77=""),"",P77-W77)</f>
        <v/>
      </c>
      <c r="U77" s="258">
        <f>IF($A77="","",IF(U76="","",U76))</f>
        <v/>
      </c>
      <c r="V77" s="249">
        <f>IF(P77="","",P77+IF(Q77="",0,Q77)+IF(R77="",0,R77))</f>
        <v/>
      </c>
      <c r="W77" s="255" t="n"/>
      <c r="X77" s="249">
        <f>SUMIFS('09_CF_원금'!$E$6:$E$92,'09_CF_원금'!$D$6:$D$92,"국장",'09_CF_원금'!$A$6:$A$92,"&lt;="&amp;$A77)-SUMIFS('09_CF_원금'!$E$6:$E$92,'09_CF_원금'!$C$6:$C$92,"국장",'09_CF_원금'!$A$6:$A$92,"&lt;="&amp;$A77)</f>
        <v/>
      </c>
      <c r="Y77" s="249">
        <f>SUMIFS('09_CF_원금'!$E$6:$E$92,'09_CF_원금'!$D$6:$D$92,"미장",'09_CF_원금'!$A$6:$A$92,"&lt;="&amp;$A77)-SUMIFS('09_CF_원금'!$E$6:$E$92,'09_CF_원금'!$C$6:$C$92,"미장",'09_CF_원금'!$A$6:$A$92,"&lt;="&amp;$A77)</f>
        <v/>
      </c>
      <c r="Z77" s="249">
        <f>SUMIFS('09_CF_원금'!$E$6:$E$92,'09_CF_원금'!$D$6:$D$92,"ISA",'09_CF_원금'!$A$6:$A$92,"&lt;="&amp;$A77)-SUMIFS('09_CF_원금'!$E$6:$E$92,'09_CF_원금'!$C$6:$C$92,"ISA",'09_CF_원금'!$A$6:$A$92,"&lt;="&amp;$A77)</f>
        <v/>
      </c>
      <c r="AA77" s="249">
        <f>IF($A77="","",X77+Y77+Z77+SUMIFS('09_CF_원금'!$E$6:$E$92,'09_CF_원금'!$D$6:$D$92,"중국",'09_CF_원금'!$A$6:$A$92,"&lt;="&amp;$A77)-SUMIFS('09_CF_원금'!$E$6:$E$92,'09_CF_원금'!$C$6:$C$92,"중국",'09_CF_원금'!$A$6:$A$92,"&lt;="&amp;$A77)+SUMIFS('09_CF_원금'!$E$6:$E$92,'09_CF_원금'!$D$6:$D$92,"업비트",'09_CF_원금'!$A$6:$A$92,"&lt;="&amp;$A77)-SUMIFS('09_CF_원금'!$E$6:$E$92,'09_CF_원금'!$C$6:$C$92,"업비트",'09_CF_원금'!$A$6:$A$92,"&lt;="&amp;$A77))</f>
        <v/>
      </c>
      <c r="AB77" s="249">
        <f>IF(OR(U77="",V77=""),"",U77-(V77-IF(S77="",0,S77)))</f>
        <v/>
      </c>
      <c r="AC77" s="249">
        <f>IF(AB77="","",T77+AB77)</f>
        <v/>
      </c>
      <c r="AD77" s="249">
        <f>IF(B77="","",MAX($B$5:B77))</f>
        <v/>
      </c>
      <c r="AE77" s="256" t="n"/>
      <c r="AF77" s="255" t="n">
        <v>241472013</v>
      </c>
      <c r="AG77" s="255" t="n">
        <v>202015046</v>
      </c>
      <c r="AH77" s="255" t="n">
        <v>31963050</v>
      </c>
      <c r="AI77" s="255" t="n">
        <v>7493917</v>
      </c>
      <c r="AJ77" s="257">
        <f>IF($A77="","",YEAR($A77)*100+MONTH($A77))</f>
        <v/>
      </c>
      <c r="AK77" s="257">
        <f>IF($A77="","",IF($N77="",0,1))</f>
        <v/>
      </c>
    </row>
    <row r="78">
      <c r="A78" s="247" t="n">
        <v>46111</v>
      </c>
      <c r="B78" s="248">
        <f>IF(V78&lt;&gt;"",V78-T78,IF(AF78&lt;&gt;"",AA78+AF78,""))</f>
        <v/>
      </c>
      <c r="C78" s="249">
        <f>IF(OR(B78="",B77=""),"",B78-B77)</f>
        <v/>
      </c>
      <c r="D78" s="248">
        <f>IF(OR(B78="",AA78=""),"",B78-AA78)</f>
        <v/>
      </c>
      <c r="E78" s="250">
        <f>IF(OR(B78="",AD78=0),"",MIN(0,B78/AD78-1))</f>
        <v/>
      </c>
      <c r="F78" s="250">
        <f>IF(OR(U78="",T78=0,T78=""),"",(P78-T78*1.4)/U78)</f>
        <v/>
      </c>
      <c r="G78" s="251">
        <f>IF(OR(AC78="",'09_CF_원금'!$B$108=0),"",AC78/'09_CF_원금'!$B$108)</f>
        <v/>
      </c>
      <c r="H78" s="250">
        <f>IF(OR(U78="",U78=0,AC78=""),"",AC78/U78)</f>
        <v/>
      </c>
      <c r="I78" s="250">
        <f>IF(OR(S78="",U78=""),"",S78/(U78+S78))</f>
        <v/>
      </c>
      <c r="J78" s="248">
        <f>IF(W78&lt;&gt;"",W78-X78,IF(AG78&lt;&gt;"",AG78,""))</f>
        <v/>
      </c>
      <c r="K78" s="248">
        <f>IF(Q78&lt;&gt;"",Q78-Y78,IF(AH78&lt;&gt;"",AH78,""))</f>
        <v/>
      </c>
      <c r="L78" s="248">
        <f>IF(R78&lt;&gt;"",R78-Z78,IF(AI78&lt;&gt;"",AI78,""))</f>
        <v/>
      </c>
      <c r="M78" s="252" t="n"/>
      <c r="N78" s="253" t="n"/>
      <c r="O78" s="254" t="n"/>
      <c r="P78" s="255" t="n"/>
      <c r="Q78" s="258">
        <f>IF($A78="","",IF(Q77="","",Q77))</f>
        <v/>
      </c>
      <c r="R78" s="258">
        <f>IF($A78="","",IF(R77="","",R77))</f>
        <v/>
      </c>
      <c r="S78" s="258">
        <f>IF($A78="","",IF(S77="","",S77))</f>
        <v/>
      </c>
      <c r="T78" s="249">
        <f>IF(OR(P78="",W78=""),"",P78-W78)</f>
        <v/>
      </c>
      <c r="U78" s="258">
        <f>IF($A78="","",IF(U77="","",U77))</f>
        <v/>
      </c>
      <c r="V78" s="249">
        <f>IF(P78="","",P78+IF(Q78="",0,Q78)+IF(R78="",0,R78))</f>
        <v/>
      </c>
      <c r="W78" s="255" t="n"/>
      <c r="X78" s="249">
        <f>SUMIFS('09_CF_원금'!$E$6:$E$92,'09_CF_원금'!$D$6:$D$92,"국장",'09_CF_원금'!$A$6:$A$92,"&lt;="&amp;$A78)-SUMIFS('09_CF_원금'!$E$6:$E$92,'09_CF_원금'!$C$6:$C$92,"국장",'09_CF_원금'!$A$6:$A$92,"&lt;="&amp;$A78)</f>
        <v/>
      </c>
      <c r="Y78" s="249">
        <f>SUMIFS('09_CF_원금'!$E$6:$E$92,'09_CF_원금'!$D$6:$D$92,"미장",'09_CF_원금'!$A$6:$A$92,"&lt;="&amp;$A78)-SUMIFS('09_CF_원금'!$E$6:$E$92,'09_CF_원금'!$C$6:$C$92,"미장",'09_CF_원금'!$A$6:$A$92,"&lt;="&amp;$A78)</f>
        <v/>
      </c>
      <c r="Z78" s="249">
        <f>SUMIFS('09_CF_원금'!$E$6:$E$92,'09_CF_원금'!$D$6:$D$92,"ISA",'09_CF_원금'!$A$6:$A$92,"&lt;="&amp;$A78)-SUMIFS('09_CF_원금'!$E$6:$E$92,'09_CF_원금'!$C$6:$C$92,"ISA",'09_CF_원금'!$A$6:$A$92,"&lt;="&amp;$A78)</f>
        <v/>
      </c>
      <c r="AA78" s="249">
        <f>IF($A78="","",X78+Y78+Z78+SUMIFS('09_CF_원금'!$E$6:$E$92,'09_CF_원금'!$D$6:$D$92,"중국",'09_CF_원금'!$A$6:$A$92,"&lt;="&amp;$A78)-SUMIFS('09_CF_원금'!$E$6:$E$92,'09_CF_원금'!$C$6:$C$92,"중국",'09_CF_원금'!$A$6:$A$92,"&lt;="&amp;$A78)+SUMIFS('09_CF_원금'!$E$6:$E$92,'09_CF_원금'!$D$6:$D$92,"업비트",'09_CF_원금'!$A$6:$A$92,"&lt;="&amp;$A78)-SUMIFS('09_CF_원금'!$E$6:$E$92,'09_CF_원금'!$C$6:$C$92,"업비트",'09_CF_원금'!$A$6:$A$92,"&lt;="&amp;$A78))</f>
        <v/>
      </c>
      <c r="AB78" s="249">
        <f>IF(OR(U78="",V78=""),"",U78-(V78-IF(S78="",0,S78)))</f>
        <v/>
      </c>
      <c r="AC78" s="249">
        <f>IF(AB78="","",T78+AB78)</f>
        <v/>
      </c>
      <c r="AD78" s="249">
        <f>IF(B78="","",MAX($B$5:B78))</f>
        <v/>
      </c>
      <c r="AE78" s="256" t="n"/>
      <c r="AF78" s="255" t="n"/>
      <c r="AG78" s="255" t="n"/>
      <c r="AH78" s="255" t="n"/>
      <c r="AI78" s="255" t="n"/>
      <c r="AJ78" s="257">
        <f>IF($A78="","",YEAR($A78)*100+MONTH($A78))</f>
        <v/>
      </c>
      <c r="AK78" s="257">
        <f>IF($A78="","",IF($N78="",0,1))</f>
        <v/>
      </c>
    </row>
    <row r="79">
      <c r="A79" s="247" t="n">
        <v>46112</v>
      </c>
      <c r="B79" s="248">
        <f>IF(V79&lt;&gt;"",V79-T79,IF(AF79&lt;&gt;"",AA79+AF79,""))</f>
        <v/>
      </c>
      <c r="C79" s="249">
        <f>IF(OR(B79="",B78=""),"",B79-B78)</f>
        <v/>
      </c>
      <c r="D79" s="248">
        <f>IF(OR(B79="",AA79=""),"",B79-AA79)</f>
        <v/>
      </c>
      <c r="E79" s="250">
        <f>IF(OR(B79="",AD79=0),"",MIN(0,B79/AD79-1))</f>
        <v/>
      </c>
      <c r="F79" s="250">
        <f>IF(OR(U79="",T79=0,T79=""),"",(P79-T79*1.4)/U79)</f>
        <v/>
      </c>
      <c r="G79" s="251">
        <f>IF(OR(AC79="",'09_CF_원금'!$B$108=0),"",AC79/'09_CF_원금'!$B$108)</f>
        <v/>
      </c>
      <c r="H79" s="250">
        <f>IF(OR(U79="",U79=0,AC79=""),"",AC79/U79)</f>
        <v/>
      </c>
      <c r="I79" s="250">
        <f>IF(OR(S79="",U79=""),"",S79/(U79+S79))</f>
        <v/>
      </c>
      <c r="J79" s="248">
        <f>IF(W79&lt;&gt;"",W79-X79,IF(AG79&lt;&gt;"",AG79,""))</f>
        <v/>
      </c>
      <c r="K79" s="248">
        <f>IF(Q79&lt;&gt;"",Q79-Y79,IF(AH79&lt;&gt;"",AH79,""))</f>
        <v/>
      </c>
      <c r="L79" s="248">
        <f>IF(R79&lt;&gt;"",R79-Z79,IF(AI79&lt;&gt;"",AI79,""))</f>
        <v/>
      </c>
      <c r="M79" s="252" t="n"/>
      <c r="N79" s="253" t="n"/>
      <c r="O79" s="254" t="n"/>
      <c r="P79" s="255" t="n"/>
      <c r="Q79" s="258">
        <f>IF($A79="","",IF(Q78="","",Q78))</f>
        <v/>
      </c>
      <c r="R79" s="258">
        <f>IF($A79="","",IF(R78="","",R78))</f>
        <v/>
      </c>
      <c r="S79" s="258">
        <f>IF($A79="","",IF(S78="","",S78))</f>
        <v/>
      </c>
      <c r="T79" s="249">
        <f>IF(OR(P79="",W79=""),"",P79-W79)</f>
        <v/>
      </c>
      <c r="U79" s="258">
        <f>IF($A79="","",IF(U78="","",U78))</f>
        <v/>
      </c>
      <c r="V79" s="249">
        <f>IF(P79="","",P79+IF(Q79="",0,Q79)+IF(R79="",0,R79))</f>
        <v/>
      </c>
      <c r="W79" s="255" t="n"/>
      <c r="X79" s="249">
        <f>SUMIFS('09_CF_원금'!$E$6:$E$92,'09_CF_원금'!$D$6:$D$92,"국장",'09_CF_원금'!$A$6:$A$92,"&lt;="&amp;$A79)-SUMIFS('09_CF_원금'!$E$6:$E$92,'09_CF_원금'!$C$6:$C$92,"국장",'09_CF_원금'!$A$6:$A$92,"&lt;="&amp;$A79)</f>
        <v/>
      </c>
      <c r="Y79" s="249">
        <f>SUMIFS('09_CF_원금'!$E$6:$E$92,'09_CF_원금'!$D$6:$D$92,"미장",'09_CF_원금'!$A$6:$A$92,"&lt;="&amp;$A79)-SUMIFS('09_CF_원금'!$E$6:$E$92,'09_CF_원금'!$C$6:$C$92,"미장",'09_CF_원금'!$A$6:$A$92,"&lt;="&amp;$A79)</f>
        <v/>
      </c>
      <c r="Z79" s="249">
        <f>SUMIFS('09_CF_원금'!$E$6:$E$92,'09_CF_원금'!$D$6:$D$92,"ISA",'09_CF_원금'!$A$6:$A$92,"&lt;="&amp;$A79)-SUMIFS('09_CF_원금'!$E$6:$E$92,'09_CF_원금'!$C$6:$C$92,"ISA",'09_CF_원금'!$A$6:$A$92,"&lt;="&amp;$A79)</f>
        <v/>
      </c>
      <c r="AA79" s="249">
        <f>IF($A79="","",X79+Y79+Z79+SUMIFS('09_CF_원금'!$E$6:$E$92,'09_CF_원금'!$D$6:$D$92,"중국",'09_CF_원금'!$A$6:$A$92,"&lt;="&amp;$A79)-SUMIFS('09_CF_원금'!$E$6:$E$92,'09_CF_원금'!$C$6:$C$92,"중국",'09_CF_원금'!$A$6:$A$92,"&lt;="&amp;$A79)+SUMIFS('09_CF_원금'!$E$6:$E$92,'09_CF_원금'!$D$6:$D$92,"업비트",'09_CF_원금'!$A$6:$A$92,"&lt;="&amp;$A79)-SUMIFS('09_CF_원금'!$E$6:$E$92,'09_CF_원금'!$C$6:$C$92,"업비트",'09_CF_원금'!$A$6:$A$92,"&lt;="&amp;$A79))</f>
        <v/>
      </c>
      <c r="AB79" s="249">
        <f>IF(OR(U79="",V79=""),"",U79-(V79-IF(S79="",0,S79)))</f>
        <v/>
      </c>
      <c r="AC79" s="249">
        <f>IF(AB79="","",T79+AB79)</f>
        <v/>
      </c>
      <c r="AD79" s="249">
        <f>IF(B79="","",MAX($B$5:B79))</f>
        <v/>
      </c>
      <c r="AE79" s="256" t="n"/>
      <c r="AF79" s="255" t="n"/>
      <c r="AG79" s="255" t="n"/>
      <c r="AH79" s="255" t="n"/>
      <c r="AI79" s="255" t="n"/>
      <c r="AJ79" s="257">
        <f>IF($A79="","",YEAR($A79)*100+MONTH($A79))</f>
        <v/>
      </c>
      <c r="AK79" s="257">
        <f>IF($A79="","",IF($N79="",0,1))</f>
        <v/>
      </c>
    </row>
    <row r="80">
      <c r="A80" s="247" t="n">
        <v>46113</v>
      </c>
      <c r="B80" s="248">
        <f>IF(V80&lt;&gt;"",V80-T80,IF(AF80&lt;&gt;"",AA80+AF80,""))</f>
        <v/>
      </c>
      <c r="C80" s="249">
        <f>IF(OR(B80="",B79=""),"",B80-B79)</f>
        <v/>
      </c>
      <c r="D80" s="248">
        <f>IF(OR(B80="",AA80=""),"",B80-AA80)</f>
        <v/>
      </c>
      <c r="E80" s="250">
        <f>IF(OR(B80="",AD80=0),"",MIN(0,B80/AD80-1))</f>
        <v/>
      </c>
      <c r="F80" s="250">
        <f>IF(OR(U80="",T80=0,T80=""),"",(P80-T80*1.4)/U80)</f>
        <v/>
      </c>
      <c r="G80" s="251">
        <f>IF(OR(AC80="",'09_CF_원금'!$B$108=0),"",AC80/'09_CF_원금'!$B$108)</f>
        <v/>
      </c>
      <c r="H80" s="250">
        <f>IF(OR(U80="",U80=0,AC80=""),"",AC80/U80)</f>
        <v/>
      </c>
      <c r="I80" s="250">
        <f>IF(OR(S80="",U80=""),"",S80/(U80+S80))</f>
        <v/>
      </c>
      <c r="J80" s="248">
        <f>IF(W80&lt;&gt;"",W80-X80,IF(AG80&lt;&gt;"",AG80,""))</f>
        <v/>
      </c>
      <c r="K80" s="248">
        <f>IF(Q80&lt;&gt;"",Q80-Y80,IF(AH80&lt;&gt;"",AH80,""))</f>
        <v/>
      </c>
      <c r="L80" s="248">
        <f>IF(R80&lt;&gt;"",R80-Z80,IF(AI80&lt;&gt;"",AI80,""))</f>
        <v/>
      </c>
      <c r="M80" s="252" t="n"/>
      <c r="N80" s="253" t="n"/>
      <c r="O80" s="254" t="n"/>
      <c r="P80" s="255" t="n"/>
      <c r="Q80" s="258">
        <f>IF($A80="","",IF(Q79="","",Q79))</f>
        <v/>
      </c>
      <c r="R80" s="258">
        <f>IF($A80="","",IF(R79="","",R79))</f>
        <v/>
      </c>
      <c r="S80" s="258">
        <f>IF($A80="","",IF(S79="","",S79))</f>
        <v/>
      </c>
      <c r="T80" s="249">
        <f>IF(OR(P80="",W80=""),"",P80-W80)</f>
        <v/>
      </c>
      <c r="U80" s="258">
        <f>IF($A80="","",IF(U79="","",U79))</f>
        <v/>
      </c>
      <c r="V80" s="249">
        <f>IF(P80="","",P80+IF(Q80="",0,Q80)+IF(R80="",0,R80))</f>
        <v/>
      </c>
      <c r="W80" s="255" t="n"/>
      <c r="X80" s="249">
        <f>SUMIFS('09_CF_원금'!$E$6:$E$92,'09_CF_원금'!$D$6:$D$92,"국장",'09_CF_원금'!$A$6:$A$92,"&lt;="&amp;$A80)-SUMIFS('09_CF_원금'!$E$6:$E$92,'09_CF_원금'!$C$6:$C$92,"국장",'09_CF_원금'!$A$6:$A$92,"&lt;="&amp;$A80)</f>
        <v/>
      </c>
      <c r="Y80" s="249">
        <f>SUMIFS('09_CF_원금'!$E$6:$E$92,'09_CF_원금'!$D$6:$D$92,"미장",'09_CF_원금'!$A$6:$A$92,"&lt;="&amp;$A80)-SUMIFS('09_CF_원금'!$E$6:$E$92,'09_CF_원금'!$C$6:$C$92,"미장",'09_CF_원금'!$A$6:$A$92,"&lt;="&amp;$A80)</f>
        <v/>
      </c>
      <c r="Z80" s="249">
        <f>SUMIFS('09_CF_원금'!$E$6:$E$92,'09_CF_원금'!$D$6:$D$92,"ISA",'09_CF_원금'!$A$6:$A$92,"&lt;="&amp;$A80)-SUMIFS('09_CF_원금'!$E$6:$E$92,'09_CF_원금'!$C$6:$C$92,"ISA",'09_CF_원금'!$A$6:$A$92,"&lt;="&amp;$A80)</f>
        <v/>
      </c>
      <c r="AA80" s="249">
        <f>IF($A80="","",X80+Y80+Z80+SUMIFS('09_CF_원금'!$E$6:$E$92,'09_CF_원금'!$D$6:$D$92,"중국",'09_CF_원금'!$A$6:$A$92,"&lt;="&amp;$A80)-SUMIFS('09_CF_원금'!$E$6:$E$92,'09_CF_원금'!$C$6:$C$92,"중국",'09_CF_원금'!$A$6:$A$92,"&lt;="&amp;$A80)+SUMIFS('09_CF_원금'!$E$6:$E$92,'09_CF_원금'!$D$6:$D$92,"업비트",'09_CF_원금'!$A$6:$A$92,"&lt;="&amp;$A80)-SUMIFS('09_CF_원금'!$E$6:$E$92,'09_CF_원금'!$C$6:$C$92,"업비트",'09_CF_원금'!$A$6:$A$92,"&lt;="&amp;$A80))</f>
        <v/>
      </c>
      <c r="AB80" s="249">
        <f>IF(OR(U80="",V80=""),"",U80-(V80-IF(S80="",0,S80)))</f>
        <v/>
      </c>
      <c r="AC80" s="249">
        <f>IF(AB80="","",T80+AB80)</f>
        <v/>
      </c>
      <c r="AD80" s="249">
        <f>IF(B80="","",MAX($B$5:B80))</f>
        <v/>
      </c>
      <c r="AE80" s="256" t="n"/>
      <c r="AF80" s="255" t="n"/>
      <c r="AG80" s="255" t="n"/>
      <c r="AH80" s="255" t="n"/>
      <c r="AI80" s="255" t="n"/>
      <c r="AJ80" s="257">
        <f>IF($A80="","",YEAR($A80)*100+MONTH($A80))</f>
        <v/>
      </c>
      <c r="AK80" s="257">
        <f>IF($A80="","",IF($N80="",0,1))</f>
        <v/>
      </c>
    </row>
    <row r="81">
      <c r="A81" s="247" t="n">
        <v>46114</v>
      </c>
      <c r="B81" s="248">
        <f>IF(V81&lt;&gt;"",V81-T81,IF(AF81&lt;&gt;"",AA81+AF81,""))</f>
        <v/>
      </c>
      <c r="C81" s="249">
        <f>IF(OR(B81="",B80=""),"",B81-B80)</f>
        <v/>
      </c>
      <c r="D81" s="248">
        <f>IF(OR(B81="",AA81=""),"",B81-AA81)</f>
        <v/>
      </c>
      <c r="E81" s="250">
        <f>IF(OR(B81="",AD81=0),"",MIN(0,B81/AD81-1))</f>
        <v/>
      </c>
      <c r="F81" s="250">
        <f>IF(OR(U81="",T81=0,T81=""),"",(P81-T81*1.4)/U81)</f>
        <v/>
      </c>
      <c r="G81" s="251">
        <f>IF(OR(AC81="",'09_CF_원금'!$B$108=0),"",AC81/'09_CF_원금'!$B$108)</f>
        <v/>
      </c>
      <c r="H81" s="250">
        <f>IF(OR(U81="",U81=0,AC81=""),"",AC81/U81)</f>
        <v/>
      </c>
      <c r="I81" s="250">
        <f>IF(OR(S81="",U81=""),"",S81/(U81+S81))</f>
        <v/>
      </c>
      <c r="J81" s="248">
        <f>IF(W81&lt;&gt;"",W81-X81,IF(AG81&lt;&gt;"",AG81,""))</f>
        <v/>
      </c>
      <c r="K81" s="248">
        <f>IF(Q81&lt;&gt;"",Q81-Y81,IF(AH81&lt;&gt;"",AH81,""))</f>
        <v/>
      </c>
      <c r="L81" s="248">
        <f>IF(R81&lt;&gt;"",R81-Z81,IF(AI81&lt;&gt;"",AI81,""))</f>
        <v/>
      </c>
      <c r="M81" s="252" t="n"/>
      <c r="N81" s="253" t="n"/>
      <c r="O81" s="254" t="n"/>
      <c r="P81" s="255" t="n"/>
      <c r="Q81" s="258">
        <f>IF($A81="","",IF(Q80="","",Q80))</f>
        <v/>
      </c>
      <c r="R81" s="258">
        <f>IF($A81="","",IF(R80="","",R80))</f>
        <v/>
      </c>
      <c r="S81" s="258">
        <f>IF($A81="","",IF(S80="","",S80))</f>
        <v/>
      </c>
      <c r="T81" s="249">
        <f>IF(OR(P81="",W81=""),"",P81-W81)</f>
        <v/>
      </c>
      <c r="U81" s="258">
        <f>IF($A81="","",IF(U80="","",U80))</f>
        <v/>
      </c>
      <c r="V81" s="249">
        <f>IF(P81="","",P81+IF(Q81="",0,Q81)+IF(R81="",0,R81))</f>
        <v/>
      </c>
      <c r="W81" s="255" t="n"/>
      <c r="X81" s="249">
        <f>SUMIFS('09_CF_원금'!$E$6:$E$92,'09_CF_원금'!$D$6:$D$92,"국장",'09_CF_원금'!$A$6:$A$92,"&lt;="&amp;$A81)-SUMIFS('09_CF_원금'!$E$6:$E$92,'09_CF_원금'!$C$6:$C$92,"국장",'09_CF_원금'!$A$6:$A$92,"&lt;="&amp;$A81)</f>
        <v/>
      </c>
      <c r="Y81" s="249">
        <f>SUMIFS('09_CF_원금'!$E$6:$E$92,'09_CF_원금'!$D$6:$D$92,"미장",'09_CF_원금'!$A$6:$A$92,"&lt;="&amp;$A81)-SUMIFS('09_CF_원금'!$E$6:$E$92,'09_CF_원금'!$C$6:$C$92,"미장",'09_CF_원금'!$A$6:$A$92,"&lt;="&amp;$A81)</f>
        <v/>
      </c>
      <c r="Z81" s="249">
        <f>SUMIFS('09_CF_원금'!$E$6:$E$92,'09_CF_원금'!$D$6:$D$92,"ISA",'09_CF_원금'!$A$6:$A$92,"&lt;="&amp;$A81)-SUMIFS('09_CF_원금'!$E$6:$E$92,'09_CF_원금'!$C$6:$C$92,"ISA",'09_CF_원금'!$A$6:$A$92,"&lt;="&amp;$A81)</f>
        <v/>
      </c>
      <c r="AA81" s="249">
        <f>IF($A81="","",X81+Y81+Z81+SUMIFS('09_CF_원금'!$E$6:$E$92,'09_CF_원금'!$D$6:$D$92,"중국",'09_CF_원금'!$A$6:$A$92,"&lt;="&amp;$A81)-SUMIFS('09_CF_원금'!$E$6:$E$92,'09_CF_원금'!$C$6:$C$92,"중국",'09_CF_원금'!$A$6:$A$92,"&lt;="&amp;$A81)+SUMIFS('09_CF_원금'!$E$6:$E$92,'09_CF_원금'!$D$6:$D$92,"업비트",'09_CF_원금'!$A$6:$A$92,"&lt;="&amp;$A81)-SUMIFS('09_CF_원금'!$E$6:$E$92,'09_CF_원금'!$C$6:$C$92,"업비트",'09_CF_원금'!$A$6:$A$92,"&lt;="&amp;$A81))</f>
        <v/>
      </c>
      <c r="AB81" s="249">
        <f>IF(OR(U81="",V81=""),"",U81-(V81-IF(S81="",0,S81)))</f>
        <v/>
      </c>
      <c r="AC81" s="249">
        <f>IF(AB81="","",T81+AB81)</f>
        <v/>
      </c>
      <c r="AD81" s="249">
        <f>IF(B81="","",MAX($B$5:B81))</f>
        <v/>
      </c>
      <c r="AE81" s="256" t="n"/>
      <c r="AF81" s="255" t="n"/>
      <c r="AG81" s="255" t="n"/>
      <c r="AH81" s="255" t="n"/>
      <c r="AI81" s="255" t="n"/>
      <c r="AJ81" s="257">
        <f>IF($A81="","",YEAR($A81)*100+MONTH($A81))</f>
        <v/>
      </c>
      <c r="AK81" s="257">
        <f>IF($A81="","",IF($N81="",0,1))</f>
        <v/>
      </c>
    </row>
    <row r="82">
      <c r="A82" s="247" t="n">
        <v>46115</v>
      </c>
      <c r="B82" s="248">
        <f>IF(V82&lt;&gt;"",V82-T82,IF(AF82&lt;&gt;"",AA82+AF82,""))</f>
        <v/>
      </c>
      <c r="C82" s="249">
        <f>IF(OR(B82="",B81=""),"",B82-B81)</f>
        <v/>
      </c>
      <c r="D82" s="248">
        <f>IF(OR(B82="",AA82=""),"",B82-AA82)</f>
        <v/>
      </c>
      <c r="E82" s="250">
        <f>IF(OR(B82="",AD82=0),"",MIN(0,B82/AD82-1))</f>
        <v/>
      </c>
      <c r="F82" s="250">
        <f>IF(OR(U82="",T82=0,T82=""),"",(P82-T82*1.4)/U82)</f>
        <v/>
      </c>
      <c r="G82" s="251">
        <f>IF(OR(AC82="",'09_CF_원금'!$B$108=0),"",AC82/'09_CF_원금'!$B$108)</f>
        <v/>
      </c>
      <c r="H82" s="250">
        <f>IF(OR(U82="",U82=0,AC82=""),"",AC82/U82)</f>
        <v/>
      </c>
      <c r="I82" s="250">
        <f>IF(OR(S82="",U82=""),"",S82/(U82+S82))</f>
        <v/>
      </c>
      <c r="J82" s="248">
        <f>IF(W82&lt;&gt;"",W82-X82,IF(AG82&lt;&gt;"",AG82,""))</f>
        <v/>
      </c>
      <c r="K82" s="248">
        <f>IF(Q82&lt;&gt;"",Q82-Y82,IF(AH82&lt;&gt;"",AH82,""))</f>
        <v/>
      </c>
      <c r="L82" s="248">
        <f>IF(R82&lt;&gt;"",R82-Z82,IF(AI82&lt;&gt;"",AI82,""))</f>
        <v/>
      </c>
      <c r="M82" s="252" t="n"/>
      <c r="N82" s="253" t="n"/>
      <c r="O82" s="254" t="n"/>
      <c r="P82" s="255" t="n"/>
      <c r="Q82" s="258">
        <f>IF($A82="","",IF(Q81="","",Q81))</f>
        <v/>
      </c>
      <c r="R82" s="258">
        <f>IF($A82="","",IF(R81="","",R81))</f>
        <v/>
      </c>
      <c r="S82" s="258">
        <f>IF($A82="","",IF(S81="","",S81))</f>
        <v/>
      </c>
      <c r="T82" s="249">
        <f>IF(OR(P82="",W82=""),"",P82-W82)</f>
        <v/>
      </c>
      <c r="U82" s="258">
        <f>IF($A82="","",IF(U81="","",U81))</f>
        <v/>
      </c>
      <c r="V82" s="249">
        <f>IF(P82="","",P82+IF(Q82="",0,Q82)+IF(R82="",0,R82))</f>
        <v/>
      </c>
      <c r="W82" s="255" t="n"/>
      <c r="X82" s="249">
        <f>SUMIFS('09_CF_원금'!$E$6:$E$92,'09_CF_원금'!$D$6:$D$92,"국장",'09_CF_원금'!$A$6:$A$92,"&lt;="&amp;$A82)-SUMIFS('09_CF_원금'!$E$6:$E$92,'09_CF_원금'!$C$6:$C$92,"국장",'09_CF_원금'!$A$6:$A$92,"&lt;="&amp;$A82)</f>
        <v/>
      </c>
      <c r="Y82" s="249">
        <f>SUMIFS('09_CF_원금'!$E$6:$E$92,'09_CF_원금'!$D$6:$D$92,"미장",'09_CF_원금'!$A$6:$A$92,"&lt;="&amp;$A82)-SUMIFS('09_CF_원금'!$E$6:$E$92,'09_CF_원금'!$C$6:$C$92,"미장",'09_CF_원금'!$A$6:$A$92,"&lt;="&amp;$A82)</f>
        <v/>
      </c>
      <c r="Z82" s="249">
        <f>SUMIFS('09_CF_원금'!$E$6:$E$92,'09_CF_원금'!$D$6:$D$92,"ISA",'09_CF_원금'!$A$6:$A$92,"&lt;="&amp;$A82)-SUMIFS('09_CF_원금'!$E$6:$E$92,'09_CF_원금'!$C$6:$C$92,"ISA",'09_CF_원금'!$A$6:$A$92,"&lt;="&amp;$A82)</f>
        <v/>
      </c>
      <c r="AA82" s="249">
        <f>IF($A82="","",X82+Y82+Z82+SUMIFS('09_CF_원금'!$E$6:$E$92,'09_CF_원금'!$D$6:$D$92,"중국",'09_CF_원금'!$A$6:$A$92,"&lt;="&amp;$A82)-SUMIFS('09_CF_원금'!$E$6:$E$92,'09_CF_원금'!$C$6:$C$92,"중국",'09_CF_원금'!$A$6:$A$92,"&lt;="&amp;$A82)+SUMIFS('09_CF_원금'!$E$6:$E$92,'09_CF_원금'!$D$6:$D$92,"업비트",'09_CF_원금'!$A$6:$A$92,"&lt;="&amp;$A82)-SUMIFS('09_CF_원금'!$E$6:$E$92,'09_CF_원금'!$C$6:$C$92,"업비트",'09_CF_원금'!$A$6:$A$92,"&lt;="&amp;$A82))</f>
        <v/>
      </c>
      <c r="AB82" s="249">
        <f>IF(OR(U82="",V82=""),"",U82-(V82-IF(S82="",0,S82)))</f>
        <v/>
      </c>
      <c r="AC82" s="249">
        <f>IF(AB82="","",T82+AB82)</f>
        <v/>
      </c>
      <c r="AD82" s="249">
        <f>IF(B82="","",MAX($B$5:B82))</f>
        <v/>
      </c>
      <c r="AE82" s="256" t="n"/>
      <c r="AF82" s="255" t="n"/>
      <c r="AG82" s="255" t="n"/>
      <c r="AH82" s="255" t="n"/>
      <c r="AI82" s="255" t="n"/>
      <c r="AJ82" s="257">
        <f>IF($A82="","",YEAR($A82)*100+MONTH($A82))</f>
        <v/>
      </c>
      <c r="AK82" s="257">
        <f>IF($A82="","",IF($N82="",0,1))</f>
        <v/>
      </c>
    </row>
    <row r="83">
      <c r="A83" s="247" t="n">
        <v>46118</v>
      </c>
      <c r="B83" s="248">
        <f>IF(V83&lt;&gt;"",V83-T83,IF(AF83&lt;&gt;"",AA83+AF83,""))</f>
        <v/>
      </c>
      <c r="C83" s="249">
        <f>IF(OR(B83="",B82=""),"",B83-B82)</f>
        <v/>
      </c>
      <c r="D83" s="248">
        <f>IF(OR(B83="",AA83=""),"",B83-AA83)</f>
        <v/>
      </c>
      <c r="E83" s="250">
        <f>IF(OR(B83="",AD83=0),"",MIN(0,B83/AD83-1))</f>
        <v/>
      </c>
      <c r="F83" s="250">
        <f>IF(OR(U83="",T83=0,T83=""),"",(P83-T83*1.4)/U83)</f>
        <v/>
      </c>
      <c r="G83" s="251">
        <f>IF(OR(AC83="",'09_CF_원금'!$B$108=0),"",AC83/'09_CF_원금'!$B$108)</f>
        <v/>
      </c>
      <c r="H83" s="250">
        <f>IF(OR(U83="",U83=0,AC83=""),"",AC83/U83)</f>
        <v/>
      </c>
      <c r="I83" s="250">
        <f>IF(OR(S83="",U83=""),"",S83/(U83+S83))</f>
        <v/>
      </c>
      <c r="J83" s="248">
        <f>IF(W83&lt;&gt;"",W83-X83,IF(AG83&lt;&gt;"",AG83,""))</f>
        <v/>
      </c>
      <c r="K83" s="248">
        <f>IF(Q83&lt;&gt;"",Q83-Y83,IF(AH83&lt;&gt;"",AH83,""))</f>
        <v/>
      </c>
      <c r="L83" s="248">
        <f>IF(R83&lt;&gt;"",R83-Z83,IF(AI83&lt;&gt;"",AI83,""))</f>
        <v/>
      </c>
      <c r="M83" s="252" t="n"/>
      <c r="N83" s="253" t="n"/>
      <c r="O83" s="254" t="n"/>
      <c r="P83" s="255" t="n"/>
      <c r="Q83" s="258">
        <f>IF($A83="","",IF(Q82="","",Q82))</f>
        <v/>
      </c>
      <c r="R83" s="258">
        <f>IF($A83="","",IF(R82="","",R82))</f>
        <v/>
      </c>
      <c r="S83" s="258">
        <f>IF($A83="","",IF(S82="","",S82))</f>
        <v/>
      </c>
      <c r="T83" s="249">
        <f>IF(OR(P83="",W83=""),"",P83-W83)</f>
        <v/>
      </c>
      <c r="U83" s="258">
        <f>IF($A83="","",IF(U82="","",U82))</f>
        <v/>
      </c>
      <c r="V83" s="249">
        <f>IF(P83="","",P83+IF(Q83="",0,Q83)+IF(R83="",0,R83))</f>
        <v/>
      </c>
      <c r="W83" s="255" t="n"/>
      <c r="X83" s="249">
        <f>SUMIFS('09_CF_원금'!$E$6:$E$92,'09_CF_원금'!$D$6:$D$92,"국장",'09_CF_원금'!$A$6:$A$92,"&lt;="&amp;$A83)-SUMIFS('09_CF_원금'!$E$6:$E$92,'09_CF_원금'!$C$6:$C$92,"국장",'09_CF_원금'!$A$6:$A$92,"&lt;="&amp;$A83)</f>
        <v/>
      </c>
      <c r="Y83" s="249">
        <f>SUMIFS('09_CF_원금'!$E$6:$E$92,'09_CF_원금'!$D$6:$D$92,"미장",'09_CF_원금'!$A$6:$A$92,"&lt;="&amp;$A83)-SUMIFS('09_CF_원금'!$E$6:$E$92,'09_CF_원금'!$C$6:$C$92,"미장",'09_CF_원금'!$A$6:$A$92,"&lt;="&amp;$A83)</f>
        <v/>
      </c>
      <c r="Z83" s="249">
        <f>SUMIFS('09_CF_원금'!$E$6:$E$92,'09_CF_원금'!$D$6:$D$92,"ISA",'09_CF_원금'!$A$6:$A$92,"&lt;="&amp;$A83)-SUMIFS('09_CF_원금'!$E$6:$E$92,'09_CF_원금'!$C$6:$C$92,"ISA",'09_CF_원금'!$A$6:$A$92,"&lt;="&amp;$A83)</f>
        <v/>
      </c>
      <c r="AA83" s="249">
        <f>IF($A83="","",X83+Y83+Z83+SUMIFS('09_CF_원금'!$E$6:$E$92,'09_CF_원금'!$D$6:$D$92,"중국",'09_CF_원금'!$A$6:$A$92,"&lt;="&amp;$A83)-SUMIFS('09_CF_원금'!$E$6:$E$92,'09_CF_원금'!$C$6:$C$92,"중국",'09_CF_원금'!$A$6:$A$92,"&lt;="&amp;$A83)+SUMIFS('09_CF_원금'!$E$6:$E$92,'09_CF_원금'!$D$6:$D$92,"업비트",'09_CF_원금'!$A$6:$A$92,"&lt;="&amp;$A83)-SUMIFS('09_CF_원금'!$E$6:$E$92,'09_CF_원금'!$C$6:$C$92,"업비트",'09_CF_원금'!$A$6:$A$92,"&lt;="&amp;$A83))</f>
        <v/>
      </c>
      <c r="AB83" s="249">
        <f>IF(OR(U83="",V83=""),"",U83-(V83-IF(S83="",0,S83)))</f>
        <v/>
      </c>
      <c r="AC83" s="249">
        <f>IF(AB83="","",T83+AB83)</f>
        <v/>
      </c>
      <c r="AD83" s="249">
        <f>IF(B83="","",MAX($B$5:B83))</f>
        <v/>
      </c>
      <c r="AE83" s="256" t="n"/>
      <c r="AF83" s="255" t="n"/>
      <c r="AG83" s="255" t="n"/>
      <c r="AH83" s="255" t="n"/>
      <c r="AI83" s="255" t="n"/>
      <c r="AJ83" s="257">
        <f>IF($A83="","",YEAR($A83)*100+MONTH($A83))</f>
        <v/>
      </c>
      <c r="AK83" s="257">
        <f>IF($A83="","",IF($N83="",0,1))</f>
        <v/>
      </c>
    </row>
    <row r="84">
      <c r="A84" s="247" t="n">
        <v>46119</v>
      </c>
      <c r="B84" s="248">
        <f>IF(V84&lt;&gt;"",V84-T84,IF(AF84&lt;&gt;"",AA84+AF84,""))</f>
        <v/>
      </c>
      <c r="C84" s="249">
        <f>IF(OR(B84="",B83=""),"",B84-B83)</f>
        <v/>
      </c>
      <c r="D84" s="248">
        <f>IF(OR(B84="",AA84=""),"",B84-AA84)</f>
        <v/>
      </c>
      <c r="E84" s="250">
        <f>IF(OR(B84="",AD84=0),"",MIN(0,B84/AD84-1))</f>
        <v/>
      </c>
      <c r="F84" s="250">
        <f>IF(OR(U84="",T84=0,T84=""),"",(P84-T84*1.4)/U84)</f>
        <v/>
      </c>
      <c r="G84" s="251">
        <f>IF(OR(AC84="",'09_CF_원금'!$B$108=0),"",AC84/'09_CF_원금'!$B$108)</f>
        <v/>
      </c>
      <c r="H84" s="250">
        <f>IF(OR(U84="",U84=0,AC84=""),"",AC84/U84)</f>
        <v/>
      </c>
      <c r="I84" s="250">
        <f>IF(OR(S84="",U84=""),"",S84/(U84+S84))</f>
        <v/>
      </c>
      <c r="J84" s="248">
        <f>IF(W84&lt;&gt;"",W84-X84,IF(AG84&lt;&gt;"",AG84,""))</f>
        <v/>
      </c>
      <c r="K84" s="248">
        <f>IF(Q84&lt;&gt;"",Q84-Y84,IF(AH84&lt;&gt;"",AH84,""))</f>
        <v/>
      </c>
      <c r="L84" s="248">
        <f>IF(R84&lt;&gt;"",R84-Z84,IF(AI84&lt;&gt;"",AI84,""))</f>
        <v/>
      </c>
      <c r="M84" s="252" t="n"/>
      <c r="N84" s="253" t="n"/>
      <c r="O84" s="254" t="n"/>
      <c r="P84" s="255" t="n"/>
      <c r="Q84" s="258">
        <f>IF($A84="","",IF(Q83="","",Q83))</f>
        <v/>
      </c>
      <c r="R84" s="258">
        <f>IF($A84="","",IF(R83="","",R83))</f>
        <v/>
      </c>
      <c r="S84" s="258">
        <f>IF($A84="","",IF(S83="","",S83))</f>
        <v/>
      </c>
      <c r="T84" s="249">
        <f>IF(OR(P84="",W84=""),"",P84-W84)</f>
        <v/>
      </c>
      <c r="U84" s="258">
        <f>IF($A84="","",IF(U83="","",U83))</f>
        <v/>
      </c>
      <c r="V84" s="249">
        <f>IF(P84="","",P84+IF(Q84="",0,Q84)+IF(R84="",0,R84))</f>
        <v/>
      </c>
      <c r="W84" s="255" t="n"/>
      <c r="X84" s="249">
        <f>SUMIFS('09_CF_원금'!$E$6:$E$92,'09_CF_원금'!$D$6:$D$92,"국장",'09_CF_원금'!$A$6:$A$92,"&lt;="&amp;$A84)-SUMIFS('09_CF_원금'!$E$6:$E$92,'09_CF_원금'!$C$6:$C$92,"국장",'09_CF_원금'!$A$6:$A$92,"&lt;="&amp;$A84)</f>
        <v/>
      </c>
      <c r="Y84" s="249">
        <f>SUMIFS('09_CF_원금'!$E$6:$E$92,'09_CF_원금'!$D$6:$D$92,"미장",'09_CF_원금'!$A$6:$A$92,"&lt;="&amp;$A84)-SUMIFS('09_CF_원금'!$E$6:$E$92,'09_CF_원금'!$C$6:$C$92,"미장",'09_CF_원금'!$A$6:$A$92,"&lt;="&amp;$A84)</f>
        <v/>
      </c>
      <c r="Z84" s="249">
        <f>SUMIFS('09_CF_원금'!$E$6:$E$92,'09_CF_원금'!$D$6:$D$92,"ISA",'09_CF_원금'!$A$6:$A$92,"&lt;="&amp;$A84)-SUMIFS('09_CF_원금'!$E$6:$E$92,'09_CF_원금'!$C$6:$C$92,"ISA",'09_CF_원금'!$A$6:$A$92,"&lt;="&amp;$A84)</f>
        <v/>
      </c>
      <c r="AA84" s="249">
        <f>IF($A84="","",X84+Y84+Z84+SUMIFS('09_CF_원금'!$E$6:$E$92,'09_CF_원금'!$D$6:$D$92,"중국",'09_CF_원금'!$A$6:$A$92,"&lt;="&amp;$A84)-SUMIFS('09_CF_원금'!$E$6:$E$92,'09_CF_원금'!$C$6:$C$92,"중국",'09_CF_원금'!$A$6:$A$92,"&lt;="&amp;$A84)+SUMIFS('09_CF_원금'!$E$6:$E$92,'09_CF_원금'!$D$6:$D$92,"업비트",'09_CF_원금'!$A$6:$A$92,"&lt;="&amp;$A84)-SUMIFS('09_CF_원금'!$E$6:$E$92,'09_CF_원금'!$C$6:$C$92,"업비트",'09_CF_원금'!$A$6:$A$92,"&lt;="&amp;$A84))</f>
        <v/>
      </c>
      <c r="AB84" s="249">
        <f>IF(OR(U84="",V84=""),"",U84-(V84-IF(S84="",0,S84)))</f>
        <v/>
      </c>
      <c r="AC84" s="249">
        <f>IF(AB84="","",T84+AB84)</f>
        <v/>
      </c>
      <c r="AD84" s="249">
        <f>IF(B84="","",MAX($B$5:B84))</f>
        <v/>
      </c>
      <c r="AE84" s="256" t="n"/>
      <c r="AF84" s="255" t="n"/>
      <c r="AG84" s="255" t="n"/>
      <c r="AH84" s="255" t="n"/>
      <c r="AI84" s="255" t="n"/>
      <c r="AJ84" s="257">
        <f>IF($A84="","",YEAR($A84)*100+MONTH($A84))</f>
        <v/>
      </c>
      <c r="AK84" s="257">
        <f>IF($A84="","",IF($N84="",0,1))</f>
        <v/>
      </c>
    </row>
    <row r="85">
      <c r="A85" s="247" t="n">
        <v>46120</v>
      </c>
      <c r="B85" s="248">
        <f>IF(V85&lt;&gt;"",V85-T85,IF(AF85&lt;&gt;"",AA85+AF85,""))</f>
        <v/>
      </c>
      <c r="C85" s="249">
        <f>IF(OR(B85="",B84=""),"",B85-B84)</f>
        <v/>
      </c>
      <c r="D85" s="248">
        <f>IF(OR(B85="",AA85=""),"",B85-AA85)</f>
        <v/>
      </c>
      <c r="E85" s="250">
        <f>IF(OR(B85="",AD85=0),"",MIN(0,B85/AD85-1))</f>
        <v/>
      </c>
      <c r="F85" s="250">
        <f>IF(OR(U85="",T85=0,T85=""),"",(P85-T85*1.4)/U85)</f>
        <v/>
      </c>
      <c r="G85" s="251">
        <f>IF(OR(AC85="",'09_CF_원금'!$B$108=0),"",AC85/'09_CF_원금'!$B$108)</f>
        <v/>
      </c>
      <c r="H85" s="250">
        <f>IF(OR(U85="",U85=0,AC85=""),"",AC85/U85)</f>
        <v/>
      </c>
      <c r="I85" s="250">
        <f>IF(OR(S85="",U85=""),"",S85/(U85+S85))</f>
        <v/>
      </c>
      <c r="J85" s="248">
        <f>IF(W85&lt;&gt;"",W85-X85,IF(AG85&lt;&gt;"",AG85,""))</f>
        <v/>
      </c>
      <c r="K85" s="248">
        <f>IF(Q85&lt;&gt;"",Q85-Y85,IF(AH85&lt;&gt;"",AH85,""))</f>
        <v/>
      </c>
      <c r="L85" s="248">
        <f>IF(R85&lt;&gt;"",R85-Z85,IF(AI85&lt;&gt;"",AI85,""))</f>
        <v/>
      </c>
      <c r="M85" s="252" t="n"/>
      <c r="N85" s="253" t="n"/>
      <c r="O85" s="254" t="n"/>
      <c r="P85" s="255" t="n"/>
      <c r="Q85" s="258">
        <f>IF($A85="","",IF(Q84="","",Q84))</f>
        <v/>
      </c>
      <c r="R85" s="258">
        <f>IF($A85="","",IF(R84="","",R84))</f>
        <v/>
      </c>
      <c r="S85" s="258">
        <f>IF($A85="","",IF(S84="","",S84))</f>
        <v/>
      </c>
      <c r="T85" s="249">
        <f>IF(OR(P85="",W85=""),"",P85-W85)</f>
        <v/>
      </c>
      <c r="U85" s="258">
        <f>IF($A85="","",IF(U84="","",U84))</f>
        <v/>
      </c>
      <c r="V85" s="249">
        <f>IF(P85="","",P85+IF(Q85="",0,Q85)+IF(R85="",0,R85))</f>
        <v/>
      </c>
      <c r="W85" s="255" t="n"/>
      <c r="X85" s="249">
        <f>SUMIFS('09_CF_원금'!$E$6:$E$92,'09_CF_원금'!$D$6:$D$92,"국장",'09_CF_원금'!$A$6:$A$92,"&lt;="&amp;$A85)-SUMIFS('09_CF_원금'!$E$6:$E$92,'09_CF_원금'!$C$6:$C$92,"국장",'09_CF_원금'!$A$6:$A$92,"&lt;="&amp;$A85)</f>
        <v/>
      </c>
      <c r="Y85" s="249">
        <f>SUMIFS('09_CF_원금'!$E$6:$E$92,'09_CF_원금'!$D$6:$D$92,"미장",'09_CF_원금'!$A$6:$A$92,"&lt;="&amp;$A85)-SUMIFS('09_CF_원금'!$E$6:$E$92,'09_CF_원금'!$C$6:$C$92,"미장",'09_CF_원금'!$A$6:$A$92,"&lt;="&amp;$A85)</f>
        <v/>
      </c>
      <c r="Z85" s="249">
        <f>SUMIFS('09_CF_원금'!$E$6:$E$92,'09_CF_원금'!$D$6:$D$92,"ISA",'09_CF_원금'!$A$6:$A$92,"&lt;="&amp;$A85)-SUMIFS('09_CF_원금'!$E$6:$E$92,'09_CF_원금'!$C$6:$C$92,"ISA",'09_CF_원금'!$A$6:$A$92,"&lt;="&amp;$A85)</f>
        <v/>
      </c>
      <c r="AA85" s="249">
        <f>IF($A85="","",X85+Y85+Z85+SUMIFS('09_CF_원금'!$E$6:$E$92,'09_CF_원금'!$D$6:$D$92,"중국",'09_CF_원금'!$A$6:$A$92,"&lt;="&amp;$A85)-SUMIFS('09_CF_원금'!$E$6:$E$92,'09_CF_원금'!$C$6:$C$92,"중국",'09_CF_원금'!$A$6:$A$92,"&lt;="&amp;$A85)+SUMIFS('09_CF_원금'!$E$6:$E$92,'09_CF_원금'!$D$6:$D$92,"업비트",'09_CF_원금'!$A$6:$A$92,"&lt;="&amp;$A85)-SUMIFS('09_CF_원금'!$E$6:$E$92,'09_CF_원금'!$C$6:$C$92,"업비트",'09_CF_원금'!$A$6:$A$92,"&lt;="&amp;$A85))</f>
        <v/>
      </c>
      <c r="AB85" s="249">
        <f>IF(OR(U85="",V85=""),"",U85-(V85-IF(S85="",0,S85)))</f>
        <v/>
      </c>
      <c r="AC85" s="249">
        <f>IF(AB85="","",T85+AB85)</f>
        <v/>
      </c>
      <c r="AD85" s="249">
        <f>IF(B85="","",MAX($B$5:B85))</f>
        <v/>
      </c>
      <c r="AE85" s="256" t="n"/>
      <c r="AF85" s="255" t="n"/>
      <c r="AG85" s="255" t="n"/>
      <c r="AH85" s="255" t="n"/>
      <c r="AI85" s="255" t="n"/>
      <c r="AJ85" s="257">
        <f>IF($A85="","",YEAR($A85)*100+MONTH($A85))</f>
        <v/>
      </c>
      <c r="AK85" s="257">
        <f>IF($A85="","",IF($N85="",0,1))</f>
        <v/>
      </c>
    </row>
    <row r="86">
      <c r="A86" s="247" t="n">
        <v>46121</v>
      </c>
      <c r="B86" s="248">
        <f>IF(V86&lt;&gt;"",V86-T86,IF(AF86&lt;&gt;"",AA86+AF86,""))</f>
        <v/>
      </c>
      <c r="C86" s="249">
        <f>IF(OR(B86="",B85=""),"",B86-B85)</f>
        <v/>
      </c>
      <c r="D86" s="248">
        <f>IF(OR(B86="",AA86=""),"",B86-AA86)</f>
        <v/>
      </c>
      <c r="E86" s="250">
        <f>IF(OR(B86="",AD86=0),"",MIN(0,B86/AD86-1))</f>
        <v/>
      </c>
      <c r="F86" s="250">
        <f>IF(OR(U86="",T86=0,T86=""),"",(P86-T86*1.4)/U86)</f>
        <v/>
      </c>
      <c r="G86" s="251">
        <f>IF(OR(AC86="",'09_CF_원금'!$B$108=0),"",AC86/'09_CF_원금'!$B$108)</f>
        <v/>
      </c>
      <c r="H86" s="250">
        <f>IF(OR(U86="",U86=0,AC86=""),"",AC86/U86)</f>
        <v/>
      </c>
      <c r="I86" s="250">
        <f>IF(OR(S86="",U86=""),"",S86/(U86+S86))</f>
        <v/>
      </c>
      <c r="J86" s="248">
        <f>IF(W86&lt;&gt;"",W86-X86,IF(AG86&lt;&gt;"",AG86,""))</f>
        <v/>
      </c>
      <c r="K86" s="248">
        <f>IF(Q86&lt;&gt;"",Q86-Y86,IF(AH86&lt;&gt;"",AH86,""))</f>
        <v/>
      </c>
      <c r="L86" s="248">
        <f>IF(R86&lt;&gt;"",R86-Z86,IF(AI86&lt;&gt;"",AI86,""))</f>
        <v/>
      </c>
      <c r="M86" s="252" t="n"/>
      <c r="N86" s="253" t="n"/>
      <c r="O86" s="254" t="n"/>
      <c r="P86" s="255" t="n"/>
      <c r="Q86" s="258">
        <f>IF($A86="","",IF(Q85="","",Q85))</f>
        <v/>
      </c>
      <c r="R86" s="258">
        <f>IF($A86="","",IF(R85="","",R85))</f>
        <v/>
      </c>
      <c r="S86" s="258">
        <f>IF($A86="","",IF(S85="","",S85))</f>
        <v/>
      </c>
      <c r="T86" s="249">
        <f>IF(OR(P86="",W86=""),"",P86-W86)</f>
        <v/>
      </c>
      <c r="U86" s="258">
        <f>IF($A86="","",IF(U85="","",U85))</f>
        <v/>
      </c>
      <c r="V86" s="249">
        <f>IF(P86="","",P86+IF(Q86="",0,Q86)+IF(R86="",0,R86))</f>
        <v/>
      </c>
      <c r="W86" s="255" t="n"/>
      <c r="X86" s="249">
        <f>SUMIFS('09_CF_원금'!$E$6:$E$92,'09_CF_원금'!$D$6:$D$92,"국장",'09_CF_원금'!$A$6:$A$92,"&lt;="&amp;$A86)-SUMIFS('09_CF_원금'!$E$6:$E$92,'09_CF_원금'!$C$6:$C$92,"국장",'09_CF_원금'!$A$6:$A$92,"&lt;="&amp;$A86)</f>
        <v/>
      </c>
      <c r="Y86" s="249">
        <f>SUMIFS('09_CF_원금'!$E$6:$E$92,'09_CF_원금'!$D$6:$D$92,"미장",'09_CF_원금'!$A$6:$A$92,"&lt;="&amp;$A86)-SUMIFS('09_CF_원금'!$E$6:$E$92,'09_CF_원금'!$C$6:$C$92,"미장",'09_CF_원금'!$A$6:$A$92,"&lt;="&amp;$A86)</f>
        <v/>
      </c>
      <c r="Z86" s="249">
        <f>SUMIFS('09_CF_원금'!$E$6:$E$92,'09_CF_원금'!$D$6:$D$92,"ISA",'09_CF_원금'!$A$6:$A$92,"&lt;="&amp;$A86)-SUMIFS('09_CF_원금'!$E$6:$E$92,'09_CF_원금'!$C$6:$C$92,"ISA",'09_CF_원금'!$A$6:$A$92,"&lt;="&amp;$A86)</f>
        <v/>
      </c>
      <c r="AA86" s="249">
        <f>IF($A86="","",X86+Y86+Z86+SUMIFS('09_CF_원금'!$E$6:$E$92,'09_CF_원금'!$D$6:$D$92,"중국",'09_CF_원금'!$A$6:$A$92,"&lt;="&amp;$A86)-SUMIFS('09_CF_원금'!$E$6:$E$92,'09_CF_원금'!$C$6:$C$92,"중국",'09_CF_원금'!$A$6:$A$92,"&lt;="&amp;$A86)+SUMIFS('09_CF_원금'!$E$6:$E$92,'09_CF_원금'!$D$6:$D$92,"업비트",'09_CF_원금'!$A$6:$A$92,"&lt;="&amp;$A86)-SUMIFS('09_CF_원금'!$E$6:$E$92,'09_CF_원금'!$C$6:$C$92,"업비트",'09_CF_원금'!$A$6:$A$92,"&lt;="&amp;$A86))</f>
        <v/>
      </c>
      <c r="AB86" s="249">
        <f>IF(OR(U86="",V86=""),"",U86-(V86-IF(S86="",0,S86)))</f>
        <v/>
      </c>
      <c r="AC86" s="249">
        <f>IF(AB86="","",T86+AB86)</f>
        <v/>
      </c>
      <c r="AD86" s="249">
        <f>IF(B86="","",MAX($B$5:B86))</f>
        <v/>
      </c>
      <c r="AE86" s="256" t="n"/>
      <c r="AF86" s="255" t="n"/>
      <c r="AG86" s="255" t="n"/>
      <c r="AH86" s="255" t="n"/>
      <c r="AI86" s="255" t="n"/>
      <c r="AJ86" s="257">
        <f>IF($A86="","",YEAR($A86)*100+MONTH($A86))</f>
        <v/>
      </c>
      <c r="AK86" s="257">
        <f>IF($A86="","",IF($N86="",0,1))</f>
        <v/>
      </c>
    </row>
    <row r="87">
      <c r="A87" s="247" t="n">
        <v>46122</v>
      </c>
      <c r="B87" s="248">
        <f>IF(V87&lt;&gt;"",V87-T87,IF(AF87&lt;&gt;"",AA87+AF87,""))</f>
        <v/>
      </c>
      <c r="C87" s="249">
        <f>IF(OR(B87="",B86=""),"",B87-B86)</f>
        <v/>
      </c>
      <c r="D87" s="248">
        <f>IF(OR(B87="",AA87=""),"",B87-AA87)</f>
        <v/>
      </c>
      <c r="E87" s="250">
        <f>IF(OR(B87="",AD87=0),"",MIN(0,B87/AD87-1))</f>
        <v/>
      </c>
      <c r="F87" s="250">
        <f>IF(OR(U87="",T87=0,T87=""),"",(P87-T87*1.4)/U87)</f>
        <v/>
      </c>
      <c r="G87" s="251">
        <f>IF(OR(AC87="",'09_CF_원금'!$B$108=0),"",AC87/'09_CF_원금'!$B$108)</f>
        <v/>
      </c>
      <c r="H87" s="250">
        <f>IF(OR(U87="",U87=0,AC87=""),"",AC87/U87)</f>
        <v/>
      </c>
      <c r="I87" s="250">
        <f>IF(OR(S87="",U87=""),"",S87/(U87+S87))</f>
        <v/>
      </c>
      <c r="J87" s="248">
        <f>IF(W87&lt;&gt;"",W87-X87,IF(AG87&lt;&gt;"",AG87,""))</f>
        <v/>
      </c>
      <c r="K87" s="248">
        <f>IF(Q87&lt;&gt;"",Q87-Y87,IF(AH87&lt;&gt;"",AH87,""))</f>
        <v/>
      </c>
      <c r="L87" s="248">
        <f>IF(R87&lt;&gt;"",R87-Z87,IF(AI87&lt;&gt;"",AI87,""))</f>
        <v/>
      </c>
      <c r="M87" s="252" t="n"/>
      <c r="N87" s="253" t="n"/>
      <c r="O87" s="254" t="n"/>
      <c r="P87" s="255" t="n"/>
      <c r="Q87" s="258">
        <f>IF($A87="","",IF(Q86="","",Q86))</f>
        <v/>
      </c>
      <c r="R87" s="258">
        <f>IF($A87="","",IF(R86="","",R86))</f>
        <v/>
      </c>
      <c r="S87" s="258">
        <f>IF($A87="","",IF(S86="","",S86))</f>
        <v/>
      </c>
      <c r="T87" s="249">
        <f>IF(OR(P87="",W87=""),"",P87-W87)</f>
        <v/>
      </c>
      <c r="U87" s="258">
        <f>IF($A87="","",IF(U86="","",U86))</f>
        <v/>
      </c>
      <c r="V87" s="249">
        <f>IF(P87="","",P87+IF(Q87="",0,Q87)+IF(R87="",0,R87))</f>
        <v/>
      </c>
      <c r="W87" s="255" t="n"/>
      <c r="X87" s="249">
        <f>SUMIFS('09_CF_원금'!$E$6:$E$92,'09_CF_원금'!$D$6:$D$92,"국장",'09_CF_원금'!$A$6:$A$92,"&lt;="&amp;$A87)-SUMIFS('09_CF_원금'!$E$6:$E$92,'09_CF_원금'!$C$6:$C$92,"국장",'09_CF_원금'!$A$6:$A$92,"&lt;="&amp;$A87)</f>
        <v/>
      </c>
      <c r="Y87" s="249">
        <f>SUMIFS('09_CF_원금'!$E$6:$E$92,'09_CF_원금'!$D$6:$D$92,"미장",'09_CF_원금'!$A$6:$A$92,"&lt;="&amp;$A87)-SUMIFS('09_CF_원금'!$E$6:$E$92,'09_CF_원금'!$C$6:$C$92,"미장",'09_CF_원금'!$A$6:$A$92,"&lt;="&amp;$A87)</f>
        <v/>
      </c>
      <c r="Z87" s="249">
        <f>SUMIFS('09_CF_원금'!$E$6:$E$92,'09_CF_원금'!$D$6:$D$92,"ISA",'09_CF_원금'!$A$6:$A$92,"&lt;="&amp;$A87)-SUMIFS('09_CF_원금'!$E$6:$E$92,'09_CF_원금'!$C$6:$C$92,"ISA",'09_CF_원금'!$A$6:$A$92,"&lt;="&amp;$A87)</f>
        <v/>
      </c>
      <c r="AA87" s="249">
        <f>IF($A87="","",X87+Y87+Z87+SUMIFS('09_CF_원금'!$E$6:$E$92,'09_CF_원금'!$D$6:$D$92,"중국",'09_CF_원금'!$A$6:$A$92,"&lt;="&amp;$A87)-SUMIFS('09_CF_원금'!$E$6:$E$92,'09_CF_원금'!$C$6:$C$92,"중국",'09_CF_원금'!$A$6:$A$92,"&lt;="&amp;$A87)+SUMIFS('09_CF_원금'!$E$6:$E$92,'09_CF_원금'!$D$6:$D$92,"업비트",'09_CF_원금'!$A$6:$A$92,"&lt;="&amp;$A87)-SUMIFS('09_CF_원금'!$E$6:$E$92,'09_CF_원금'!$C$6:$C$92,"업비트",'09_CF_원금'!$A$6:$A$92,"&lt;="&amp;$A87))</f>
        <v/>
      </c>
      <c r="AB87" s="249">
        <f>IF(OR(U87="",V87=""),"",U87-(V87-IF(S87="",0,S87)))</f>
        <v/>
      </c>
      <c r="AC87" s="249">
        <f>IF(AB87="","",T87+AB87)</f>
        <v/>
      </c>
      <c r="AD87" s="249">
        <f>IF(B87="","",MAX($B$5:B87))</f>
        <v/>
      </c>
      <c r="AE87" s="256" t="n"/>
      <c r="AF87" s="255" t="n"/>
      <c r="AG87" s="255" t="n"/>
      <c r="AH87" s="255" t="n"/>
      <c r="AI87" s="255" t="n"/>
      <c r="AJ87" s="257">
        <f>IF($A87="","",YEAR($A87)*100+MONTH($A87))</f>
        <v/>
      </c>
      <c r="AK87" s="257">
        <f>IF($A87="","",IF($N87="",0,1))</f>
        <v/>
      </c>
    </row>
    <row r="88">
      <c r="A88" s="247" t="n">
        <v>46125</v>
      </c>
      <c r="B88" s="248">
        <f>IF(V88&lt;&gt;"",V88-T88,IF(AF88&lt;&gt;"",AA88+AF88,""))</f>
        <v/>
      </c>
      <c r="C88" s="249">
        <f>IF(OR(B88="",B87=""),"",B88-B87)</f>
        <v/>
      </c>
      <c r="D88" s="248">
        <f>IF(OR(B88="",AA88=""),"",B88-AA88)</f>
        <v/>
      </c>
      <c r="E88" s="250">
        <f>IF(OR(B88="",AD88=0),"",MIN(0,B88/AD88-1))</f>
        <v/>
      </c>
      <c r="F88" s="250">
        <f>IF(OR(U88="",T88=0,T88=""),"",(P88-T88*1.4)/U88)</f>
        <v/>
      </c>
      <c r="G88" s="251">
        <f>IF(OR(AC88="",'09_CF_원금'!$B$108=0),"",AC88/'09_CF_원금'!$B$108)</f>
        <v/>
      </c>
      <c r="H88" s="250">
        <f>IF(OR(U88="",U88=0,AC88=""),"",AC88/U88)</f>
        <v/>
      </c>
      <c r="I88" s="250">
        <f>IF(OR(S88="",U88=""),"",S88/(U88+S88))</f>
        <v/>
      </c>
      <c r="J88" s="248">
        <f>IF(W88&lt;&gt;"",W88-X88,IF(AG88&lt;&gt;"",AG88,""))</f>
        <v/>
      </c>
      <c r="K88" s="248">
        <f>IF(Q88&lt;&gt;"",Q88-Y88,IF(AH88&lt;&gt;"",AH88,""))</f>
        <v/>
      </c>
      <c r="L88" s="248">
        <f>IF(R88&lt;&gt;"",R88-Z88,IF(AI88&lt;&gt;"",AI88,""))</f>
        <v/>
      </c>
      <c r="M88" s="252" t="n"/>
      <c r="N88" s="253" t="n"/>
      <c r="O88" s="254" t="n"/>
      <c r="P88" s="255" t="n"/>
      <c r="Q88" s="258">
        <f>IF($A88="","",IF(Q87="","",Q87))</f>
        <v/>
      </c>
      <c r="R88" s="258">
        <f>IF($A88="","",IF(R87="","",R87))</f>
        <v/>
      </c>
      <c r="S88" s="258">
        <f>IF($A88="","",IF(S87="","",S87))</f>
        <v/>
      </c>
      <c r="T88" s="249">
        <f>IF(OR(P88="",W88=""),"",P88-W88)</f>
        <v/>
      </c>
      <c r="U88" s="258">
        <f>IF($A88="","",IF(U87="","",U87))</f>
        <v/>
      </c>
      <c r="V88" s="249">
        <f>IF(P88="","",P88+IF(Q88="",0,Q88)+IF(R88="",0,R88))</f>
        <v/>
      </c>
      <c r="W88" s="255" t="n"/>
      <c r="X88" s="249">
        <f>SUMIFS('09_CF_원금'!$E$6:$E$92,'09_CF_원금'!$D$6:$D$92,"국장",'09_CF_원금'!$A$6:$A$92,"&lt;="&amp;$A88)-SUMIFS('09_CF_원금'!$E$6:$E$92,'09_CF_원금'!$C$6:$C$92,"국장",'09_CF_원금'!$A$6:$A$92,"&lt;="&amp;$A88)</f>
        <v/>
      </c>
      <c r="Y88" s="249">
        <f>SUMIFS('09_CF_원금'!$E$6:$E$92,'09_CF_원금'!$D$6:$D$92,"미장",'09_CF_원금'!$A$6:$A$92,"&lt;="&amp;$A88)-SUMIFS('09_CF_원금'!$E$6:$E$92,'09_CF_원금'!$C$6:$C$92,"미장",'09_CF_원금'!$A$6:$A$92,"&lt;="&amp;$A88)</f>
        <v/>
      </c>
      <c r="Z88" s="249">
        <f>SUMIFS('09_CF_원금'!$E$6:$E$92,'09_CF_원금'!$D$6:$D$92,"ISA",'09_CF_원금'!$A$6:$A$92,"&lt;="&amp;$A88)-SUMIFS('09_CF_원금'!$E$6:$E$92,'09_CF_원금'!$C$6:$C$92,"ISA",'09_CF_원금'!$A$6:$A$92,"&lt;="&amp;$A88)</f>
        <v/>
      </c>
      <c r="AA88" s="249">
        <f>IF($A88="","",X88+Y88+Z88+SUMIFS('09_CF_원금'!$E$6:$E$92,'09_CF_원금'!$D$6:$D$92,"중국",'09_CF_원금'!$A$6:$A$92,"&lt;="&amp;$A88)-SUMIFS('09_CF_원금'!$E$6:$E$92,'09_CF_원금'!$C$6:$C$92,"중국",'09_CF_원금'!$A$6:$A$92,"&lt;="&amp;$A88)+SUMIFS('09_CF_원금'!$E$6:$E$92,'09_CF_원금'!$D$6:$D$92,"업비트",'09_CF_원금'!$A$6:$A$92,"&lt;="&amp;$A88)-SUMIFS('09_CF_원금'!$E$6:$E$92,'09_CF_원금'!$C$6:$C$92,"업비트",'09_CF_원금'!$A$6:$A$92,"&lt;="&amp;$A88))</f>
        <v/>
      </c>
      <c r="AB88" s="249">
        <f>IF(OR(U88="",V88=""),"",U88-(V88-IF(S88="",0,S88)))</f>
        <v/>
      </c>
      <c r="AC88" s="249">
        <f>IF(AB88="","",T88+AB88)</f>
        <v/>
      </c>
      <c r="AD88" s="249">
        <f>IF(B88="","",MAX($B$5:B88))</f>
        <v/>
      </c>
      <c r="AE88" s="256" t="n"/>
      <c r="AF88" s="255" t="n"/>
      <c r="AG88" s="255" t="n"/>
      <c r="AH88" s="255" t="n"/>
      <c r="AI88" s="255" t="n"/>
      <c r="AJ88" s="257">
        <f>IF($A88="","",YEAR($A88)*100+MONTH($A88))</f>
        <v/>
      </c>
      <c r="AK88" s="257">
        <f>IF($A88="","",IF($N88="",0,1))</f>
        <v/>
      </c>
    </row>
    <row r="89">
      <c r="A89" s="247" t="n">
        <v>46126</v>
      </c>
      <c r="B89" s="248">
        <f>IF(V89&lt;&gt;"",V89-T89,IF(AF89&lt;&gt;"",AA89+AF89,""))</f>
        <v/>
      </c>
      <c r="C89" s="249">
        <f>IF(OR(B89="",B88=""),"",B89-B88)</f>
        <v/>
      </c>
      <c r="D89" s="248">
        <f>IF(OR(B89="",AA89=""),"",B89-AA89)</f>
        <v/>
      </c>
      <c r="E89" s="250">
        <f>IF(OR(B89="",AD89=0),"",MIN(0,B89/AD89-1))</f>
        <v/>
      </c>
      <c r="F89" s="250">
        <f>IF(OR(U89="",T89=0,T89=""),"",(P89-T89*1.4)/U89)</f>
        <v/>
      </c>
      <c r="G89" s="251">
        <f>IF(OR(AC89="",'09_CF_원금'!$B$108=0),"",AC89/'09_CF_원금'!$B$108)</f>
        <v/>
      </c>
      <c r="H89" s="250">
        <f>IF(OR(U89="",U89=0,AC89=""),"",AC89/U89)</f>
        <v/>
      </c>
      <c r="I89" s="250">
        <f>IF(OR(S89="",U89=""),"",S89/(U89+S89))</f>
        <v/>
      </c>
      <c r="J89" s="248">
        <f>IF(W89&lt;&gt;"",W89-X89,IF(AG89&lt;&gt;"",AG89,""))</f>
        <v/>
      </c>
      <c r="K89" s="248">
        <f>IF(Q89&lt;&gt;"",Q89-Y89,IF(AH89&lt;&gt;"",AH89,""))</f>
        <v/>
      </c>
      <c r="L89" s="248">
        <f>IF(R89&lt;&gt;"",R89-Z89,IF(AI89&lt;&gt;"",AI89,""))</f>
        <v/>
      </c>
      <c r="M89" s="252" t="n"/>
      <c r="N89" s="253" t="n"/>
      <c r="O89" s="254" t="n"/>
      <c r="P89" s="255" t="n"/>
      <c r="Q89" s="258">
        <f>IF($A89="","",IF(Q88="","",Q88))</f>
        <v/>
      </c>
      <c r="R89" s="258">
        <f>IF($A89="","",IF(R88="","",R88))</f>
        <v/>
      </c>
      <c r="S89" s="258">
        <f>IF($A89="","",IF(S88="","",S88))</f>
        <v/>
      </c>
      <c r="T89" s="249">
        <f>IF(OR(P89="",W89=""),"",P89-W89)</f>
        <v/>
      </c>
      <c r="U89" s="258">
        <f>IF($A89="","",IF(U88="","",U88))</f>
        <v/>
      </c>
      <c r="V89" s="249">
        <f>IF(P89="","",P89+IF(Q89="",0,Q89)+IF(R89="",0,R89))</f>
        <v/>
      </c>
      <c r="W89" s="255" t="n"/>
      <c r="X89" s="249">
        <f>SUMIFS('09_CF_원금'!$E$6:$E$92,'09_CF_원금'!$D$6:$D$92,"국장",'09_CF_원금'!$A$6:$A$92,"&lt;="&amp;$A89)-SUMIFS('09_CF_원금'!$E$6:$E$92,'09_CF_원금'!$C$6:$C$92,"국장",'09_CF_원금'!$A$6:$A$92,"&lt;="&amp;$A89)</f>
        <v/>
      </c>
      <c r="Y89" s="249">
        <f>SUMIFS('09_CF_원금'!$E$6:$E$92,'09_CF_원금'!$D$6:$D$92,"미장",'09_CF_원금'!$A$6:$A$92,"&lt;="&amp;$A89)-SUMIFS('09_CF_원금'!$E$6:$E$92,'09_CF_원금'!$C$6:$C$92,"미장",'09_CF_원금'!$A$6:$A$92,"&lt;="&amp;$A89)</f>
        <v/>
      </c>
      <c r="Z89" s="249">
        <f>SUMIFS('09_CF_원금'!$E$6:$E$92,'09_CF_원금'!$D$6:$D$92,"ISA",'09_CF_원금'!$A$6:$A$92,"&lt;="&amp;$A89)-SUMIFS('09_CF_원금'!$E$6:$E$92,'09_CF_원금'!$C$6:$C$92,"ISA",'09_CF_원금'!$A$6:$A$92,"&lt;="&amp;$A89)</f>
        <v/>
      </c>
      <c r="AA89" s="249">
        <f>IF($A89="","",X89+Y89+Z89+SUMIFS('09_CF_원금'!$E$6:$E$92,'09_CF_원금'!$D$6:$D$92,"중국",'09_CF_원금'!$A$6:$A$92,"&lt;="&amp;$A89)-SUMIFS('09_CF_원금'!$E$6:$E$92,'09_CF_원금'!$C$6:$C$92,"중국",'09_CF_원금'!$A$6:$A$92,"&lt;="&amp;$A89)+SUMIFS('09_CF_원금'!$E$6:$E$92,'09_CF_원금'!$D$6:$D$92,"업비트",'09_CF_원금'!$A$6:$A$92,"&lt;="&amp;$A89)-SUMIFS('09_CF_원금'!$E$6:$E$92,'09_CF_원금'!$C$6:$C$92,"업비트",'09_CF_원금'!$A$6:$A$92,"&lt;="&amp;$A89))</f>
        <v/>
      </c>
      <c r="AB89" s="249">
        <f>IF(OR(U89="",V89=""),"",U89-(V89-IF(S89="",0,S89)))</f>
        <v/>
      </c>
      <c r="AC89" s="249">
        <f>IF(AB89="","",T89+AB89)</f>
        <v/>
      </c>
      <c r="AD89" s="249">
        <f>IF(B89="","",MAX($B$5:B89))</f>
        <v/>
      </c>
      <c r="AE89" s="256" t="n"/>
      <c r="AF89" s="255" t="n"/>
      <c r="AG89" s="255" t="n"/>
      <c r="AH89" s="255" t="n"/>
      <c r="AI89" s="255" t="n"/>
      <c r="AJ89" s="257">
        <f>IF($A89="","",YEAR($A89)*100+MONTH($A89))</f>
        <v/>
      </c>
      <c r="AK89" s="257">
        <f>IF($A89="","",IF($N89="",0,1))</f>
        <v/>
      </c>
    </row>
    <row r="90">
      <c r="A90" s="247" t="n">
        <v>46127</v>
      </c>
      <c r="B90" s="248">
        <f>IF(V90&lt;&gt;"",V90-T90,IF(AF90&lt;&gt;"",AA90+AF90,""))</f>
        <v/>
      </c>
      <c r="C90" s="249">
        <f>IF(OR(B90="",B89=""),"",B90-B89)</f>
        <v/>
      </c>
      <c r="D90" s="248">
        <f>IF(OR(B90="",AA90=""),"",B90-AA90)</f>
        <v/>
      </c>
      <c r="E90" s="250">
        <f>IF(OR(B90="",AD90=0),"",MIN(0,B90/AD90-1))</f>
        <v/>
      </c>
      <c r="F90" s="250">
        <f>IF(OR(U90="",T90=0,T90=""),"",(P90-T90*1.4)/U90)</f>
        <v/>
      </c>
      <c r="G90" s="251">
        <f>IF(OR(AC90="",'09_CF_원금'!$B$108=0),"",AC90/'09_CF_원금'!$B$108)</f>
        <v/>
      </c>
      <c r="H90" s="250">
        <f>IF(OR(U90="",U90=0,AC90=""),"",AC90/U90)</f>
        <v/>
      </c>
      <c r="I90" s="250">
        <f>IF(OR(S90="",U90=""),"",S90/(U90+S90))</f>
        <v/>
      </c>
      <c r="J90" s="248">
        <f>IF(W90&lt;&gt;"",W90-X90,IF(AG90&lt;&gt;"",AG90,""))</f>
        <v/>
      </c>
      <c r="K90" s="248">
        <f>IF(Q90&lt;&gt;"",Q90-Y90,IF(AH90&lt;&gt;"",AH90,""))</f>
        <v/>
      </c>
      <c r="L90" s="248">
        <f>IF(R90&lt;&gt;"",R90-Z90,IF(AI90&lt;&gt;"",AI90,""))</f>
        <v/>
      </c>
      <c r="M90" s="252" t="n"/>
      <c r="N90" s="253" t="n"/>
      <c r="O90" s="254" t="n"/>
      <c r="P90" s="255" t="n"/>
      <c r="Q90" s="258">
        <f>IF($A90="","",IF(Q89="","",Q89))</f>
        <v/>
      </c>
      <c r="R90" s="258">
        <f>IF($A90="","",IF(R89="","",R89))</f>
        <v/>
      </c>
      <c r="S90" s="258">
        <f>IF($A90="","",IF(S89="","",S89))</f>
        <v/>
      </c>
      <c r="T90" s="249">
        <f>IF(OR(P90="",W90=""),"",P90-W90)</f>
        <v/>
      </c>
      <c r="U90" s="258">
        <f>IF($A90="","",IF(U89="","",U89))</f>
        <v/>
      </c>
      <c r="V90" s="249">
        <f>IF(P90="","",P90+IF(Q90="",0,Q90)+IF(R90="",0,R90))</f>
        <v/>
      </c>
      <c r="W90" s="255" t="n"/>
      <c r="X90" s="249">
        <f>SUMIFS('09_CF_원금'!$E$6:$E$92,'09_CF_원금'!$D$6:$D$92,"국장",'09_CF_원금'!$A$6:$A$92,"&lt;="&amp;$A90)-SUMIFS('09_CF_원금'!$E$6:$E$92,'09_CF_원금'!$C$6:$C$92,"국장",'09_CF_원금'!$A$6:$A$92,"&lt;="&amp;$A90)</f>
        <v/>
      </c>
      <c r="Y90" s="249">
        <f>SUMIFS('09_CF_원금'!$E$6:$E$92,'09_CF_원금'!$D$6:$D$92,"미장",'09_CF_원금'!$A$6:$A$92,"&lt;="&amp;$A90)-SUMIFS('09_CF_원금'!$E$6:$E$92,'09_CF_원금'!$C$6:$C$92,"미장",'09_CF_원금'!$A$6:$A$92,"&lt;="&amp;$A90)</f>
        <v/>
      </c>
      <c r="Z90" s="249">
        <f>SUMIFS('09_CF_원금'!$E$6:$E$92,'09_CF_원금'!$D$6:$D$92,"ISA",'09_CF_원금'!$A$6:$A$92,"&lt;="&amp;$A90)-SUMIFS('09_CF_원금'!$E$6:$E$92,'09_CF_원금'!$C$6:$C$92,"ISA",'09_CF_원금'!$A$6:$A$92,"&lt;="&amp;$A90)</f>
        <v/>
      </c>
      <c r="AA90" s="249">
        <f>IF($A90="","",X90+Y90+Z90+SUMIFS('09_CF_원금'!$E$6:$E$92,'09_CF_원금'!$D$6:$D$92,"중국",'09_CF_원금'!$A$6:$A$92,"&lt;="&amp;$A90)-SUMIFS('09_CF_원금'!$E$6:$E$92,'09_CF_원금'!$C$6:$C$92,"중국",'09_CF_원금'!$A$6:$A$92,"&lt;="&amp;$A90)+SUMIFS('09_CF_원금'!$E$6:$E$92,'09_CF_원금'!$D$6:$D$92,"업비트",'09_CF_원금'!$A$6:$A$92,"&lt;="&amp;$A90)-SUMIFS('09_CF_원금'!$E$6:$E$92,'09_CF_원금'!$C$6:$C$92,"업비트",'09_CF_원금'!$A$6:$A$92,"&lt;="&amp;$A90))</f>
        <v/>
      </c>
      <c r="AB90" s="249">
        <f>IF(OR(U90="",V90=""),"",U90-(V90-IF(S90="",0,S90)))</f>
        <v/>
      </c>
      <c r="AC90" s="249">
        <f>IF(AB90="","",T90+AB90)</f>
        <v/>
      </c>
      <c r="AD90" s="249">
        <f>IF(B90="","",MAX($B$5:B90))</f>
        <v/>
      </c>
      <c r="AE90" s="256" t="n"/>
      <c r="AF90" s="255" t="n"/>
      <c r="AG90" s="255" t="n"/>
      <c r="AH90" s="255" t="n"/>
      <c r="AI90" s="255" t="n"/>
      <c r="AJ90" s="257">
        <f>IF($A90="","",YEAR($A90)*100+MONTH($A90))</f>
        <v/>
      </c>
      <c r="AK90" s="257">
        <f>IF($A90="","",IF($N90="",0,1))</f>
        <v/>
      </c>
    </row>
    <row r="91">
      <c r="A91" s="247" t="n">
        <v>46128</v>
      </c>
      <c r="B91" s="248">
        <f>IF(V91&lt;&gt;"",V91-T91,IF(AF91&lt;&gt;"",AA91+AF91,""))</f>
        <v/>
      </c>
      <c r="C91" s="249">
        <f>IF(OR(B91="",B90=""),"",B91-B90)</f>
        <v/>
      </c>
      <c r="D91" s="248">
        <f>IF(OR(B91="",AA91=""),"",B91-AA91)</f>
        <v/>
      </c>
      <c r="E91" s="250">
        <f>IF(OR(B91="",AD91=0),"",MIN(0,B91/AD91-1))</f>
        <v/>
      </c>
      <c r="F91" s="250">
        <f>IF(OR(U91="",T91=0,T91=""),"",(P91-T91*1.4)/U91)</f>
        <v/>
      </c>
      <c r="G91" s="251">
        <f>IF(OR(AC91="",'09_CF_원금'!$B$108=0),"",AC91/'09_CF_원금'!$B$108)</f>
        <v/>
      </c>
      <c r="H91" s="250">
        <f>IF(OR(U91="",U91=0,AC91=""),"",AC91/U91)</f>
        <v/>
      </c>
      <c r="I91" s="250">
        <f>IF(OR(S91="",U91=""),"",S91/(U91+S91))</f>
        <v/>
      </c>
      <c r="J91" s="248">
        <f>IF(W91&lt;&gt;"",W91-X91,IF(AG91&lt;&gt;"",AG91,""))</f>
        <v/>
      </c>
      <c r="K91" s="248">
        <f>IF(Q91&lt;&gt;"",Q91-Y91,IF(AH91&lt;&gt;"",AH91,""))</f>
        <v/>
      </c>
      <c r="L91" s="248">
        <f>IF(R91&lt;&gt;"",R91-Z91,IF(AI91&lt;&gt;"",AI91,""))</f>
        <v/>
      </c>
      <c r="M91" s="252" t="n"/>
      <c r="N91" s="253" t="n"/>
      <c r="O91" s="254" t="n"/>
      <c r="P91" s="255" t="n"/>
      <c r="Q91" s="258">
        <f>IF($A91="","",IF(Q90="","",Q90))</f>
        <v/>
      </c>
      <c r="R91" s="258">
        <f>IF($A91="","",IF(R90="","",R90))</f>
        <v/>
      </c>
      <c r="S91" s="258">
        <f>IF($A91="","",IF(S90="","",S90))</f>
        <v/>
      </c>
      <c r="T91" s="249">
        <f>IF(OR(P91="",W91=""),"",P91-W91)</f>
        <v/>
      </c>
      <c r="U91" s="258">
        <f>IF($A91="","",IF(U90="","",U90))</f>
        <v/>
      </c>
      <c r="V91" s="249">
        <f>IF(P91="","",P91+IF(Q91="",0,Q91)+IF(R91="",0,R91))</f>
        <v/>
      </c>
      <c r="W91" s="255" t="n"/>
      <c r="X91" s="249">
        <f>SUMIFS('09_CF_원금'!$E$6:$E$92,'09_CF_원금'!$D$6:$D$92,"국장",'09_CF_원금'!$A$6:$A$92,"&lt;="&amp;$A91)-SUMIFS('09_CF_원금'!$E$6:$E$92,'09_CF_원금'!$C$6:$C$92,"국장",'09_CF_원금'!$A$6:$A$92,"&lt;="&amp;$A91)</f>
        <v/>
      </c>
      <c r="Y91" s="249">
        <f>SUMIFS('09_CF_원금'!$E$6:$E$92,'09_CF_원금'!$D$6:$D$92,"미장",'09_CF_원금'!$A$6:$A$92,"&lt;="&amp;$A91)-SUMIFS('09_CF_원금'!$E$6:$E$92,'09_CF_원금'!$C$6:$C$92,"미장",'09_CF_원금'!$A$6:$A$92,"&lt;="&amp;$A91)</f>
        <v/>
      </c>
      <c r="Z91" s="249">
        <f>SUMIFS('09_CF_원금'!$E$6:$E$92,'09_CF_원금'!$D$6:$D$92,"ISA",'09_CF_원금'!$A$6:$A$92,"&lt;="&amp;$A91)-SUMIFS('09_CF_원금'!$E$6:$E$92,'09_CF_원금'!$C$6:$C$92,"ISA",'09_CF_원금'!$A$6:$A$92,"&lt;="&amp;$A91)</f>
        <v/>
      </c>
      <c r="AA91" s="249">
        <f>IF($A91="","",X91+Y91+Z91+SUMIFS('09_CF_원금'!$E$6:$E$92,'09_CF_원금'!$D$6:$D$92,"중국",'09_CF_원금'!$A$6:$A$92,"&lt;="&amp;$A91)-SUMIFS('09_CF_원금'!$E$6:$E$92,'09_CF_원금'!$C$6:$C$92,"중국",'09_CF_원금'!$A$6:$A$92,"&lt;="&amp;$A91)+SUMIFS('09_CF_원금'!$E$6:$E$92,'09_CF_원금'!$D$6:$D$92,"업비트",'09_CF_원금'!$A$6:$A$92,"&lt;="&amp;$A91)-SUMIFS('09_CF_원금'!$E$6:$E$92,'09_CF_원금'!$C$6:$C$92,"업비트",'09_CF_원금'!$A$6:$A$92,"&lt;="&amp;$A91))</f>
        <v/>
      </c>
      <c r="AB91" s="249">
        <f>IF(OR(U91="",V91=""),"",U91-(V91-IF(S91="",0,S91)))</f>
        <v/>
      </c>
      <c r="AC91" s="249">
        <f>IF(AB91="","",T91+AB91)</f>
        <v/>
      </c>
      <c r="AD91" s="249">
        <f>IF(B91="","",MAX($B$5:B91))</f>
        <v/>
      </c>
      <c r="AE91" s="256" t="n"/>
      <c r="AF91" s="255" t="n"/>
      <c r="AG91" s="255" t="n"/>
      <c r="AH91" s="255" t="n"/>
      <c r="AI91" s="255" t="n"/>
      <c r="AJ91" s="257">
        <f>IF($A91="","",YEAR($A91)*100+MONTH($A91))</f>
        <v/>
      </c>
      <c r="AK91" s="257">
        <f>IF($A91="","",IF($N91="",0,1))</f>
        <v/>
      </c>
    </row>
    <row r="92">
      <c r="A92" s="247" t="n">
        <v>46129</v>
      </c>
      <c r="B92" s="248">
        <f>IF(V92&lt;&gt;"",V92-T92,IF(AF92&lt;&gt;"",AA92+AF92,""))</f>
        <v/>
      </c>
      <c r="C92" s="249">
        <f>IF(OR(B92="",B91=""),"",B92-B91)</f>
        <v/>
      </c>
      <c r="D92" s="248">
        <f>IF(OR(B92="",AA92=""),"",B92-AA92)</f>
        <v/>
      </c>
      <c r="E92" s="250">
        <f>IF(OR(B92="",AD92=0),"",MIN(0,B92/AD92-1))</f>
        <v/>
      </c>
      <c r="F92" s="250">
        <f>IF(OR(U92="",T92=0,T92=""),"",(P92-T92*1.4)/U92)</f>
        <v/>
      </c>
      <c r="G92" s="251">
        <f>IF(OR(AC92="",'09_CF_원금'!$B$108=0),"",AC92/'09_CF_원금'!$B$108)</f>
        <v/>
      </c>
      <c r="H92" s="250">
        <f>IF(OR(U92="",U92=0,AC92=""),"",AC92/U92)</f>
        <v/>
      </c>
      <c r="I92" s="250">
        <f>IF(OR(S92="",U92=""),"",S92/(U92+S92))</f>
        <v/>
      </c>
      <c r="J92" s="248">
        <f>IF(W92&lt;&gt;"",W92-X92,IF(AG92&lt;&gt;"",AG92,""))</f>
        <v/>
      </c>
      <c r="K92" s="248">
        <f>IF(Q92&lt;&gt;"",Q92-Y92,IF(AH92&lt;&gt;"",AH92,""))</f>
        <v/>
      </c>
      <c r="L92" s="248">
        <f>IF(R92&lt;&gt;"",R92-Z92,IF(AI92&lt;&gt;"",AI92,""))</f>
        <v/>
      </c>
      <c r="M92" s="252" t="n"/>
      <c r="N92" s="253" t="n"/>
      <c r="O92" s="254" t="n"/>
      <c r="P92" s="255" t="n"/>
      <c r="Q92" s="258">
        <f>IF($A92="","",IF(Q91="","",Q91))</f>
        <v/>
      </c>
      <c r="R92" s="258">
        <f>IF($A92="","",IF(R91="","",R91))</f>
        <v/>
      </c>
      <c r="S92" s="258">
        <f>IF($A92="","",IF(S91="","",S91))</f>
        <v/>
      </c>
      <c r="T92" s="249">
        <f>IF(OR(P92="",W92=""),"",P92-W92)</f>
        <v/>
      </c>
      <c r="U92" s="258">
        <f>IF($A92="","",IF(U91="","",U91))</f>
        <v/>
      </c>
      <c r="V92" s="249">
        <f>IF(P92="","",P92+IF(Q92="",0,Q92)+IF(R92="",0,R92))</f>
        <v/>
      </c>
      <c r="W92" s="255" t="n"/>
      <c r="X92" s="249">
        <f>SUMIFS('09_CF_원금'!$E$6:$E$92,'09_CF_원금'!$D$6:$D$92,"국장",'09_CF_원금'!$A$6:$A$92,"&lt;="&amp;$A92)-SUMIFS('09_CF_원금'!$E$6:$E$92,'09_CF_원금'!$C$6:$C$92,"국장",'09_CF_원금'!$A$6:$A$92,"&lt;="&amp;$A92)</f>
        <v/>
      </c>
      <c r="Y92" s="249">
        <f>SUMIFS('09_CF_원금'!$E$6:$E$92,'09_CF_원금'!$D$6:$D$92,"미장",'09_CF_원금'!$A$6:$A$92,"&lt;="&amp;$A92)-SUMIFS('09_CF_원금'!$E$6:$E$92,'09_CF_원금'!$C$6:$C$92,"미장",'09_CF_원금'!$A$6:$A$92,"&lt;="&amp;$A92)</f>
        <v/>
      </c>
      <c r="Z92" s="249">
        <f>SUMIFS('09_CF_원금'!$E$6:$E$92,'09_CF_원금'!$D$6:$D$92,"ISA",'09_CF_원금'!$A$6:$A$92,"&lt;="&amp;$A92)-SUMIFS('09_CF_원금'!$E$6:$E$92,'09_CF_원금'!$C$6:$C$92,"ISA",'09_CF_원금'!$A$6:$A$92,"&lt;="&amp;$A92)</f>
        <v/>
      </c>
      <c r="AA92" s="249">
        <f>IF($A92="","",X92+Y92+Z92+SUMIFS('09_CF_원금'!$E$6:$E$92,'09_CF_원금'!$D$6:$D$92,"중국",'09_CF_원금'!$A$6:$A$92,"&lt;="&amp;$A92)-SUMIFS('09_CF_원금'!$E$6:$E$92,'09_CF_원금'!$C$6:$C$92,"중국",'09_CF_원금'!$A$6:$A$92,"&lt;="&amp;$A92)+SUMIFS('09_CF_원금'!$E$6:$E$92,'09_CF_원금'!$D$6:$D$92,"업비트",'09_CF_원금'!$A$6:$A$92,"&lt;="&amp;$A92)-SUMIFS('09_CF_원금'!$E$6:$E$92,'09_CF_원금'!$C$6:$C$92,"업비트",'09_CF_원금'!$A$6:$A$92,"&lt;="&amp;$A92))</f>
        <v/>
      </c>
      <c r="AB92" s="249">
        <f>IF(OR(U92="",V92=""),"",U92-(V92-IF(S92="",0,S92)))</f>
        <v/>
      </c>
      <c r="AC92" s="249">
        <f>IF(AB92="","",T92+AB92)</f>
        <v/>
      </c>
      <c r="AD92" s="249">
        <f>IF(B92="","",MAX($B$5:B92))</f>
        <v/>
      </c>
      <c r="AE92" s="256" t="n"/>
      <c r="AF92" s="255" t="n"/>
      <c r="AG92" s="255" t="n"/>
      <c r="AH92" s="255" t="n"/>
      <c r="AI92" s="255" t="n"/>
      <c r="AJ92" s="257">
        <f>IF($A92="","",YEAR($A92)*100+MONTH($A92))</f>
        <v/>
      </c>
      <c r="AK92" s="257">
        <f>IF($A92="","",IF($N92="",0,1))</f>
        <v/>
      </c>
    </row>
    <row r="93">
      <c r="A93" s="247" t="n">
        <v>46132</v>
      </c>
      <c r="B93" s="248">
        <f>IF(V93&lt;&gt;"",V93-T93,IF(AF93&lt;&gt;"",AA93+AF93,""))</f>
        <v/>
      </c>
      <c r="C93" s="249">
        <f>IF(OR(B93="",B92=""),"",B93-B92)</f>
        <v/>
      </c>
      <c r="D93" s="248">
        <f>IF(OR(B93="",AA93=""),"",B93-AA93)</f>
        <v/>
      </c>
      <c r="E93" s="250">
        <f>IF(OR(B93="",AD93=0),"",MIN(0,B93/AD93-1))</f>
        <v/>
      </c>
      <c r="F93" s="250">
        <f>IF(OR(U93="",T93=0,T93=""),"",(P93-T93*1.4)/U93)</f>
        <v/>
      </c>
      <c r="G93" s="251">
        <f>IF(OR(AC93="",'09_CF_원금'!$B$108=0),"",AC93/'09_CF_원금'!$B$108)</f>
        <v/>
      </c>
      <c r="H93" s="250">
        <f>IF(OR(U93="",U93=0,AC93=""),"",AC93/U93)</f>
        <v/>
      </c>
      <c r="I93" s="250">
        <f>IF(OR(S93="",U93=""),"",S93/(U93+S93))</f>
        <v/>
      </c>
      <c r="J93" s="248">
        <f>IF(W93&lt;&gt;"",W93-X93,IF(AG93&lt;&gt;"",AG93,""))</f>
        <v/>
      </c>
      <c r="K93" s="248">
        <f>IF(Q93&lt;&gt;"",Q93-Y93,IF(AH93&lt;&gt;"",AH93,""))</f>
        <v/>
      </c>
      <c r="L93" s="248">
        <f>IF(R93&lt;&gt;"",R93-Z93,IF(AI93&lt;&gt;"",AI93,""))</f>
        <v/>
      </c>
      <c r="M93" s="252" t="n"/>
      <c r="N93" s="253" t="n"/>
      <c r="O93" s="254" t="n"/>
      <c r="P93" s="255" t="n"/>
      <c r="Q93" s="258">
        <f>IF($A93="","",IF(Q92="","",Q92))</f>
        <v/>
      </c>
      <c r="R93" s="258">
        <f>IF($A93="","",IF(R92="","",R92))</f>
        <v/>
      </c>
      <c r="S93" s="258">
        <f>IF($A93="","",IF(S92="","",S92))</f>
        <v/>
      </c>
      <c r="T93" s="249">
        <f>IF(OR(P93="",W93=""),"",P93-W93)</f>
        <v/>
      </c>
      <c r="U93" s="258">
        <f>IF($A93="","",IF(U92="","",U92))</f>
        <v/>
      </c>
      <c r="V93" s="249">
        <f>IF(P93="","",P93+IF(Q93="",0,Q93)+IF(R93="",0,R93))</f>
        <v/>
      </c>
      <c r="W93" s="255" t="n"/>
      <c r="X93" s="249">
        <f>SUMIFS('09_CF_원금'!$E$6:$E$92,'09_CF_원금'!$D$6:$D$92,"국장",'09_CF_원금'!$A$6:$A$92,"&lt;="&amp;$A93)-SUMIFS('09_CF_원금'!$E$6:$E$92,'09_CF_원금'!$C$6:$C$92,"국장",'09_CF_원금'!$A$6:$A$92,"&lt;="&amp;$A93)</f>
        <v/>
      </c>
      <c r="Y93" s="249">
        <f>SUMIFS('09_CF_원금'!$E$6:$E$92,'09_CF_원금'!$D$6:$D$92,"미장",'09_CF_원금'!$A$6:$A$92,"&lt;="&amp;$A93)-SUMIFS('09_CF_원금'!$E$6:$E$92,'09_CF_원금'!$C$6:$C$92,"미장",'09_CF_원금'!$A$6:$A$92,"&lt;="&amp;$A93)</f>
        <v/>
      </c>
      <c r="Z93" s="249">
        <f>SUMIFS('09_CF_원금'!$E$6:$E$92,'09_CF_원금'!$D$6:$D$92,"ISA",'09_CF_원금'!$A$6:$A$92,"&lt;="&amp;$A93)-SUMIFS('09_CF_원금'!$E$6:$E$92,'09_CF_원금'!$C$6:$C$92,"ISA",'09_CF_원금'!$A$6:$A$92,"&lt;="&amp;$A93)</f>
        <v/>
      </c>
      <c r="AA93" s="249">
        <f>IF($A93="","",X93+Y93+Z93+SUMIFS('09_CF_원금'!$E$6:$E$92,'09_CF_원금'!$D$6:$D$92,"중국",'09_CF_원금'!$A$6:$A$92,"&lt;="&amp;$A93)-SUMIFS('09_CF_원금'!$E$6:$E$92,'09_CF_원금'!$C$6:$C$92,"중국",'09_CF_원금'!$A$6:$A$92,"&lt;="&amp;$A93)+SUMIFS('09_CF_원금'!$E$6:$E$92,'09_CF_원금'!$D$6:$D$92,"업비트",'09_CF_원금'!$A$6:$A$92,"&lt;="&amp;$A93)-SUMIFS('09_CF_원금'!$E$6:$E$92,'09_CF_원금'!$C$6:$C$92,"업비트",'09_CF_원금'!$A$6:$A$92,"&lt;="&amp;$A93))</f>
        <v/>
      </c>
      <c r="AB93" s="249">
        <f>IF(OR(U93="",V93=""),"",U93-(V93-IF(S93="",0,S93)))</f>
        <v/>
      </c>
      <c r="AC93" s="249">
        <f>IF(AB93="","",T93+AB93)</f>
        <v/>
      </c>
      <c r="AD93" s="249">
        <f>IF(B93="","",MAX($B$5:B93))</f>
        <v/>
      </c>
      <c r="AE93" s="256" t="n"/>
      <c r="AF93" s="255" t="n"/>
      <c r="AG93" s="255" t="n"/>
      <c r="AH93" s="255" t="n"/>
      <c r="AI93" s="255" t="n"/>
      <c r="AJ93" s="257">
        <f>IF($A93="","",YEAR($A93)*100+MONTH($A93))</f>
        <v/>
      </c>
      <c r="AK93" s="257">
        <f>IF($A93="","",IF($N93="",0,1))</f>
        <v/>
      </c>
    </row>
    <row r="94">
      <c r="A94" s="247" t="n">
        <v>46133</v>
      </c>
      <c r="B94" s="248">
        <f>IF(V94&lt;&gt;"",V94-T94,IF(AF94&lt;&gt;"",AA94+AF94,""))</f>
        <v/>
      </c>
      <c r="C94" s="249">
        <f>IF(OR(B94="",B93=""),"",B94-B93)</f>
        <v/>
      </c>
      <c r="D94" s="248">
        <f>IF(OR(B94="",AA94=""),"",B94-AA94)</f>
        <v/>
      </c>
      <c r="E94" s="250">
        <f>IF(OR(B94="",AD94=0),"",MIN(0,B94/AD94-1))</f>
        <v/>
      </c>
      <c r="F94" s="250">
        <f>IF(OR(U94="",T94=0,T94=""),"",(P94-T94*1.4)/U94)</f>
        <v/>
      </c>
      <c r="G94" s="251">
        <f>IF(OR(AC94="",'09_CF_원금'!$B$108=0),"",AC94/'09_CF_원금'!$B$108)</f>
        <v/>
      </c>
      <c r="H94" s="250">
        <f>IF(OR(U94="",U94=0,AC94=""),"",AC94/U94)</f>
        <v/>
      </c>
      <c r="I94" s="250">
        <f>IF(OR(S94="",U94=""),"",S94/(U94+S94))</f>
        <v/>
      </c>
      <c r="J94" s="248">
        <f>IF(W94&lt;&gt;"",W94-X94,IF(AG94&lt;&gt;"",AG94,""))</f>
        <v/>
      </c>
      <c r="K94" s="248">
        <f>IF(Q94&lt;&gt;"",Q94-Y94,IF(AH94&lt;&gt;"",AH94,""))</f>
        <v/>
      </c>
      <c r="L94" s="248">
        <f>IF(R94&lt;&gt;"",R94-Z94,IF(AI94&lt;&gt;"",AI94,""))</f>
        <v/>
      </c>
      <c r="M94" s="252" t="n"/>
      <c r="N94" s="253" t="n"/>
      <c r="O94" s="254" t="n"/>
      <c r="P94" s="255" t="n"/>
      <c r="Q94" s="258">
        <f>IF($A94="","",IF(Q93="","",Q93))</f>
        <v/>
      </c>
      <c r="R94" s="258">
        <f>IF($A94="","",IF(R93="","",R93))</f>
        <v/>
      </c>
      <c r="S94" s="258">
        <f>IF($A94="","",IF(S93="","",S93))</f>
        <v/>
      </c>
      <c r="T94" s="249">
        <f>IF(OR(P94="",W94=""),"",P94-W94)</f>
        <v/>
      </c>
      <c r="U94" s="258">
        <f>IF($A94="","",IF(U93="","",U93))</f>
        <v/>
      </c>
      <c r="V94" s="249">
        <f>IF(P94="","",P94+IF(Q94="",0,Q94)+IF(R94="",0,R94))</f>
        <v/>
      </c>
      <c r="W94" s="255" t="n"/>
      <c r="X94" s="249">
        <f>SUMIFS('09_CF_원금'!$E$6:$E$92,'09_CF_원금'!$D$6:$D$92,"국장",'09_CF_원금'!$A$6:$A$92,"&lt;="&amp;$A94)-SUMIFS('09_CF_원금'!$E$6:$E$92,'09_CF_원금'!$C$6:$C$92,"국장",'09_CF_원금'!$A$6:$A$92,"&lt;="&amp;$A94)</f>
        <v/>
      </c>
      <c r="Y94" s="249">
        <f>SUMIFS('09_CF_원금'!$E$6:$E$92,'09_CF_원금'!$D$6:$D$92,"미장",'09_CF_원금'!$A$6:$A$92,"&lt;="&amp;$A94)-SUMIFS('09_CF_원금'!$E$6:$E$92,'09_CF_원금'!$C$6:$C$92,"미장",'09_CF_원금'!$A$6:$A$92,"&lt;="&amp;$A94)</f>
        <v/>
      </c>
      <c r="Z94" s="249">
        <f>SUMIFS('09_CF_원금'!$E$6:$E$92,'09_CF_원금'!$D$6:$D$92,"ISA",'09_CF_원금'!$A$6:$A$92,"&lt;="&amp;$A94)-SUMIFS('09_CF_원금'!$E$6:$E$92,'09_CF_원금'!$C$6:$C$92,"ISA",'09_CF_원금'!$A$6:$A$92,"&lt;="&amp;$A94)</f>
        <v/>
      </c>
      <c r="AA94" s="249">
        <f>IF($A94="","",X94+Y94+Z94+SUMIFS('09_CF_원금'!$E$6:$E$92,'09_CF_원금'!$D$6:$D$92,"중국",'09_CF_원금'!$A$6:$A$92,"&lt;="&amp;$A94)-SUMIFS('09_CF_원금'!$E$6:$E$92,'09_CF_원금'!$C$6:$C$92,"중국",'09_CF_원금'!$A$6:$A$92,"&lt;="&amp;$A94)+SUMIFS('09_CF_원금'!$E$6:$E$92,'09_CF_원금'!$D$6:$D$92,"업비트",'09_CF_원금'!$A$6:$A$92,"&lt;="&amp;$A94)-SUMIFS('09_CF_원금'!$E$6:$E$92,'09_CF_원금'!$C$6:$C$92,"업비트",'09_CF_원금'!$A$6:$A$92,"&lt;="&amp;$A94))</f>
        <v/>
      </c>
      <c r="AB94" s="249">
        <f>IF(OR(U94="",V94=""),"",U94-(V94-IF(S94="",0,S94)))</f>
        <v/>
      </c>
      <c r="AC94" s="249">
        <f>IF(AB94="","",T94+AB94)</f>
        <v/>
      </c>
      <c r="AD94" s="249">
        <f>IF(B94="","",MAX($B$5:B94))</f>
        <v/>
      </c>
      <c r="AE94" s="256" t="n"/>
      <c r="AF94" s="255" t="n"/>
      <c r="AG94" s="255" t="n"/>
      <c r="AH94" s="255" t="n"/>
      <c r="AI94" s="255" t="n"/>
      <c r="AJ94" s="257">
        <f>IF($A94="","",YEAR($A94)*100+MONTH($A94))</f>
        <v/>
      </c>
      <c r="AK94" s="257">
        <f>IF($A94="","",IF($N94="",0,1))</f>
        <v/>
      </c>
    </row>
    <row r="95">
      <c r="A95" s="247" t="n">
        <v>46134</v>
      </c>
      <c r="B95" s="248">
        <f>IF(V95&lt;&gt;"",V95-T95,IF(AF95&lt;&gt;"",AA95+AF95,""))</f>
        <v/>
      </c>
      <c r="C95" s="249">
        <f>IF(OR(B95="",B94=""),"",B95-B94)</f>
        <v/>
      </c>
      <c r="D95" s="248">
        <f>IF(OR(B95="",AA95=""),"",B95-AA95)</f>
        <v/>
      </c>
      <c r="E95" s="250">
        <f>IF(OR(B95="",AD95=0),"",MIN(0,B95/AD95-1))</f>
        <v/>
      </c>
      <c r="F95" s="250">
        <f>IF(OR(U95="",T95=0,T95=""),"",(P95-T95*1.4)/U95)</f>
        <v/>
      </c>
      <c r="G95" s="251">
        <f>IF(OR(AC95="",'09_CF_원금'!$B$108=0),"",AC95/'09_CF_원금'!$B$108)</f>
        <v/>
      </c>
      <c r="H95" s="250">
        <f>IF(OR(U95="",U95=0,AC95=""),"",AC95/U95)</f>
        <v/>
      </c>
      <c r="I95" s="250">
        <f>IF(OR(S95="",U95=""),"",S95/(U95+S95))</f>
        <v/>
      </c>
      <c r="J95" s="248">
        <f>IF(W95&lt;&gt;"",W95-X95,IF(AG95&lt;&gt;"",AG95,""))</f>
        <v/>
      </c>
      <c r="K95" s="248">
        <f>IF(Q95&lt;&gt;"",Q95-Y95,IF(AH95&lt;&gt;"",AH95,""))</f>
        <v/>
      </c>
      <c r="L95" s="248">
        <f>IF(R95&lt;&gt;"",R95-Z95,IF(AI95&lt;&gt;"",AI95,""))</f>
        <v/>
      </c>
      <c r="M95" s="252" t="n"/>
      <c r="N95" s="253" t="n"/>
      <c r="O95" s="254" t="n"/>
      <c r="P95" s="255" t="n"/>
      <c r="Q95" s="258">
        <f>IF($A95="","",IF(Q94="","",Q94))</f>
        <v/>
      </c>
      <c r="R95" s="258">
        <f>IF($A95="","",IF(R94="","",R94))</f>
        <v/>
      </c>
      <c r="S95" s="258">
        <f>IF($A95="","",IF(S94="","",S94))</f>
        <v/>
      </c>
      <c r="T95" s="249">
        <f>IF(OR(P95="",W95=""),"",P95-W95)</f>
        <v/>
      </c>
      <c r="U95" s="258">
        <f>IF($A95="","",IF(U94="","",U94))</f>
        <v/>
      </c>
      <c r="V95" s="249">
        <f>IF(P95="","",P95+IF(Q95="",0,Q95)+IF(R95="",0,R95))</f>
        <v/>
      </c>
      <c r="W95" s="255" t="n"/>
      <c r="X95" s="249">
        <f>SUMIFS('09_CF_원금'!$E$6:$E$92,'09_CF_원금'!$D$6:$D$92,"국장",'09_CF_원금'!$A$6:$A$92,"&lt;="&amp;$A95)-SUMIFS('09_CF_원금'!$E$6:$E$92,'09_CF_원금'!$C$6:$C$92,"국장",'09_CF_원금'!$A$6:$A$92,"&lt;="&amp;$A95)</f>
        <v/>
      </c>
      <c r="Y95" s="249">
        <f>SUMIFS('09_CF_원금'!$E$6:$E$92,'09_CF_원금'!$D$6:$D$92,"미장",'09_CF_원금'!$A$6:$A$92,"&lt;="&amp;$A95)-SUMIFS('09_CF_원금'!$E$6:$E$92,'09_CF_원금'!$C$6:$C$92,"미장",'09_CF_원금'!$A$6:$A$92,"&lt;="&amp;$A95)</f>
        <v/>
      </c>
      <c r="Z95" s="249">
        <f>SUMIFS('09_CF_원금'!$E$6:$E$92,'09_CF_원금'!$D$6:$D$92,"ISA",'09_CF_원금'!$A$6:$A$92,"&lt;="&amp;$A95)-SUMIFS('09_CF_원금'!$E$6:$E$92,'09_CF_원금'!$C$6:$C$92,"ISA",'09_CF_원금'!$A$6:$A$92,"&lt;="&amp;$A95)</f>
        <v/>
      </c>
      <c r="AA95" s="249">
        <f>IF($A95="","",X95+Y95+Z95+SUMIFS('09_CF_원금'!$E$6:$E$92,'09_CF_원금'!$D$6:$D$92,"중국",'09_CF_원금'!$A$6:$A$92,"&lt;="&amp;$A95)-SUMIFS('09_CF_원금'!$E$6:$E$92,'09_CF_원금'!$C$6:$C$92,"중국",'09_CF_원금'!$A$6:$A$92,"&lt;="&amp;$A95)+SUMIFS('09_CF_원금'!$E$6:$E$92,'09_CF_원금'!$D$6:$D$92,"업비트",'09_CF_원금'!$A$6:$A$92,"&lt;="&amp;$A95)-SUMIFS('09_CF_원금'!$E$6:$E$92,'09_CF_원금'!$C$6:$C$92,"업비트",'09_CF_원금'!$A$6:$A$92,"&lt;="&amp;$A95))</f>
        <v/>
      </c>
      <c r="AB95" s="249">
        <f>IF(OR(U95="",V95=""),"",U95-(V95-IF(S95="",0,S95)))</f>
        <v/>
      </c>
      <c r="AC95" s="249">
        <f>IF(AB95="","",T95+AB95)</f>
        <v/>
      </c>
      <c r="AD95" s="249">
        <f>IF(B95="","",MAX($B$5:B95))</f>
        <v/>
      </c>
      <c r="AE95" s="256" t="n"/>
      <c r="AF95" s="255" t="n"/>
      <c r="AG95" s="255" t="n"/>
      <c r="AH95" s="255" t="n"/>
      <c r="AI95" s="255" t="n"/>
      <c r="AJ95" s="257">
        <f>IF($A95="","",YEAR($A95)*100+MONTH($A95))</f>
        <v/>
      </c>
      <c r="AK95" s="257">
        <f>IF($A95="","",IF($N95="",0,1))</f>
        <v/>
      </c>
    </row>
    <row r="96">
      <c r="A96" s="247" t="n">
        <v>46135</v>
      </c>
      <c r="B96" s="248">
        <f>IF(V96&lt;&gt;"",V96-T96,IF(AF96&lt;&gt;"",AA96+AF96,""))</f>
        <v/>
      </c>
      <c r="C96" s="249">
        <f>IF(OR(B96="",B95=""),"",B96-B95)</f>
        <v/>
      </c>
      <c r="D96" s="248">
        <f>IF(OR(B96="",AA96=""),"",B96-AA96)</f>
        <v/>
      </c>
      <c r="E96" s="250">
        <f>IF(OR(B96="",AD96=0),"",MIN(0,B96/AD96-1))</f>
        <v/>
      </c>
      <c r="F96" s="250">
        <f>IF(OR(U96="",T96=0,T96=""),"",(P96-T96*1.4)/U96)</f>
        <v/>
      </c>
      <c r="G96" s="251">
        <f>IF(OR(AC96="",'09_CF_원금'!$B$108=0),"",AC96/'09_CF_원금'!$B$108)</f>
        <v/>
      </c>
      <c r="H96" s="250">
        <f>IF(OR(U96="",U96=0,AC96=""),"",AC96/U96)</f>
        <v/>
      </c>
      <c r="I96" s="250">
        <f>IF(OR(S96="",U96=""),"",S96/(U96+S96))</f>
        <v/>
      </c>
      <c r="J96" s="248">
        <f>IF(W96&lt;&gt;"",W96-X96,IF(AG96&lt;&gt;"",AG96,""))</f>
        <v/>
      </c>
      <c r="K96" s="248">
        <f>IF(Q96&lt;&gt;"",Q96-Y96,IF(AH96&lt;&gt;"",AH96,""))</f>
        <v/>
      </c>
      <c r="L96" s="248">
        <f>IF(R96&lt;&gt;"",R96-Z96,IF(AI96&lt;&gt;"",AI96,""))</f>
        <v/>
      </c>
      <c r="M96" s="252" t="n"/>
      <c r="N96" s="253" t="n"/>
      <c r="O96" s="254" t="n"/>
      <c r="P96" s="255" t="n"/>
      <c r="Q96" s="258">
        <f>IF($A96="","",IF(Q95="","",Q95))</f>
        <v/>
      </c>
      <c r="R96" s="258">
        <f>IF($A96="","",IF(R95="","",R95))</f>
        <v/>
      </c>
      <c r="S96" s="258">
        <f>IF($A96="","",IF(S95="","",S95))</f>
        <v/>
      </c>
      <c r="T96" s="249">
        <f>IF(OR(P96="",W96=""),"",P96-W96)</f>
        <v/>
      </c>
      <c r="U96" s="258">
        <f>IF($A96="","",IF(U95="","",U95))</f>
        <v/>
      </c>
      <c r="V96" s="249">
        <f>IF(P96="","",P96+IF(Q96="",0,Q96)+IF(R96="",0,R96))</f>
        <v/>
      </c>
      <c r="W96" s="255" t="n"/>
      <c r="X96" s="249">
        <f>SUMIFS('09_CF_원금'!$E$6:$E$92,'09_CF_원금'!$D$6:$D$92,"국장",'09_CF_원금'!$A$6:$A$92,"&lt;="&amp;$A96)-SUMIFS('09_CF_원금'!$E$6:$E$92,'09_CF_원금'!$C$6:$C$92,"국장",'09_CF_원금'!$A$6:$A$92,"&lt;="&amp;$A96)</f>
        <v/>
      </c>
      <c r="Y96" s="249">
        <f>SUMIFS('09_CF_원금'!$E$6:$E$92,'09_CF_원금'!$D$6:$D$92,"미장",'09_CF_원금'!$A$6:$A$92,"&lt;="&amp;$A96)-SUMIFS('09_CF_원금'!$E$6:$E$92,'09_CF_원금'!$C$6:$C$92,"미장",'09_CF_원금'!$A$6:$A$92,"&lt;="&amp;$A96)</f>
        <v/>
      </c>
      <c r="Z96" s="249">
        <f>SUMIFS('09_CF_원금'!$E$6:$E$92,'09_CF_원금'!$D$6:$D$92,"ISA",'09_CF_원금'!$A$6:$A$92,"&lt;="&amp;$A96)-SUMIFS('09_CF_원금'!$E$6:$E$92,'09_CF_원금'!$C$6:$C$92,"ISA",'09_CF_원금'!$A$6:$A$92,"&lt;="&amp;$A96)</f>
        <v/>
      </c>
      <c r="AA96" s="249">
        <f>IF($A96="","",X96+Y96+Z96+SUMIFS('09_CF_원금'!$E$6:$E$92,'09_CF_원금'!$D$6:$D$92,"중국",'09_CF_원금'!$A$6:$A$92,"&lt;="&amp;$A96)-SUMIFS('09_CF_원금'!$E$6:$E$92,'09_CF_원금'!$C$6:$C$92,"중국",'09_CF_원금'!$A$6:$A$92,"&lt;="&amp;$A96)+SUMIFS('09_CF_원금'!$E$6:$E$92,'09_CF_원금'!$D$6:$D$92,"업비트",'09_CF_원금'!$A$6:$A$92,"&lt;="&amp;$A96)-SUMIFS('09_CF_원금'!$E$6:$E$92,'09_CF_원금'!$C$6:$C$92,"업비트",'09_CF_원금'!$A$6:$A$92,"&lt;="&amp;$A96))</f>
        <v/>
      </c>
      <c r="AB96" s="249">
        <f>IF(OR(U96="",V96=""),"",U96-(V96-IF(S96="",0,S96)))</f>
        <v/>
      </c>
      <c r="AC96" s="249">
        <f>IF(AB96="","",T96+AB96)</f>
        <v/>
      </c>
      <c r="AD96" s="249">
        <f>IF(B96="","",MAX($B$5:B96))</f>
        <v/>
      </c>
      <c r="AE96" s="256" t="n"/>
      <c r="AF96" s="255" t="n"/>
      <c r="AG96" s="255" t="n"/>
      <c r="AH96" s="255" t="n"/>
      <c r="AI96" s="255" t="n"/>
      <c r="AJ96" s="257">
        <f>IF($A96="","",YEAR($A96)*100+MONTH($A96))</f>
        <v/>
      </c>
      <c r="AK96" s="257">
        <f>IF($A96="","",IF($N96="",0,1))</f>
        <v/>
      </c>
    </row>
    <row r="97">
      <c r="A97" s="247" t="n">
        <v>46136</v>
      </c>
      <c r="B97" s="248">
        <f>IF(V97&lt;&gt;"",V97-T97,IF(AF97&lt;&gt;"",AA97+AF97,""))</f>
        <v/>
      </c>
      <c r="C97" s="249">
        <f>IF(OR(B97="",B96=""),"",B97-B96)</f>
        <v/>
      </c>
      <c r="D97" s="248">
        <f>IF(OR(B97="",AA97=""),"",B97-AA97)</f>
        <v/>
      </c>
      <c r="E97" s="250">
        <f>IF(OR(B97="",AD97=0),"",MIN(0,B97/AD97-1))</f>
        <v/>
      </c>
      <c r="F97" s="250">
        <f>IF(OR(U97="",T97=0,T97=""),"",(P97-T97*1.4)/U97)</f>
        <v/>
      </c>
      <c r="G97" s="251">
        <f>IF(OR(AC97="",'09_CF_원금'!$B$108=0),"",AC97/'09_CF_원금'!$B$108)</f>
        <v/>
      </c>
      <c r="H97" s="250">
        <f>IF(OR(U97="",U97=0,AC97=""),"",AC97/U97)</f>
        <v/>
      </c>
      <c r="I97" s="250">
        <f>IF(OR(S97="",U97=""),"",S97/(U97+S97))</f>
        <v/>
      </c>
      <c r="J97" s="248">
        <f>IF(W97&lt;&gt;"",W97-X97,IF(AG97&lt;&gt;"",AG97,""))</f>
        <v/>
      </c>
      <c r="K97" s="248">
        <f>IF(Q97&lt;&gt;"",Q97-Y97,IF(AH97&lt;&gt;"",AH97,""))</f>
        <v/>
      </c>
      <c r="L97" s="248">
        <f>IF(R97&lt;&gt;"",R97-Z97,IF(AI97&lt;&gt;"",AI97,""))</f>
        <v/>
      </c>
      <c r="M97" s="252" t="n"/>
      <c r="N97" s="253" t="n"/>
      <c r="O97" s="254" t="n"/>
      <c r="P97" s="255" t="n"/>
      <c r="Q97" s="258">
        <f>IF($A97="","",IF(Q96="","",Q96))</f>
        <v/>
      </c>
      <c r="R97" s="258">
        <f>IF($A97="","",IF(R96="","",R96))</f>
        <v/>
      </c>
      <c r="S97" s="258">
        <f>IF($A97="","",IF(S96="","",S96))</f>
        <v/>
      </c>
      <c r="T97" s="249">
        <f>IF(OR(P97="",W97=""),"",P97-W97)</f>
        <v/>
      </c>
      <c r="U97" s="258">
        <f>IF($A97="","",IF(U96="","",U96))</f>
        <v/>
      </c>
      <c r="V97" s="249">
        <f>IF(P97="","",P97+IF(Q97="",0,Q97)+IF(R97="",0,R97))</f>
        <v/>
      </c>
      <c r="W97" s="255" t="n"/>
      <c r="X97" s="249">
        <f>SUMIFS('09_CF_원금'!$E$6:$E$92,'09_CF_원금'!$D$6:$D$92,"국장",'09_CF_원금'!$A$6:$A$92,"&lt;="&amp;$A97)-SUMIFS('09_CF_원금'!$E$6:$E$92,'09_CF_원금'!$C$6:$C$92,"국장",'09_CF_원금'!$A$6:$A$92,"&lt;="&amp;$A97)</f>
        <v/>
      </c>
      <c r="Y97" s="249">
        <f>SUMIFS('09_CF_원금'!$E$6:$E$92,'09_CF_원금'!$D$6:$D$92,"미장",'09_CF_원금'!$A$6:$A$92,"&lt;="&amp;$A97)-SUMIFS('09_CF_원금'!$E$6:$E$92,'09_CF_원금'!$C$6:$C$92,"미장",'09_CF_원금'!$A$6:$A$92,"&lt;="&amp;$A97)</f>
        <v/>
      </c>
      <c r="Z97" s="249">
        <f>SUMIFS('09_CF_원금'!$E$6:$E$92,'09_CF_원금'!$D$6:$D$92,"ISA",'09_CF_원금'!$A$6:$A$92,"&lt;="&amp;$A97)-SUMIFS('09_CF_원금'!$E$6:$E$92,'09_CF_원금'!$C$6:$C$92,"ISA",'09_CF_원금'!$A$6:$A$92,"&lt;="&amp;$A97)</f>
        <v/>
      </c>
      <c r="AA97" s="249">
        <f>IF($A97="","",X97+Y97+Z97+SUMIFS('09_CF_원금'!$E$6:$E$92,'09_CF_원금'!$D$6:$D$92,"중국",'09_CF_원금'!$A$6:$A$92,"&lt;="&amp;$A97)-SUMIFS('09_CF_원금'!$E$6:$E$92,'09_CF_원금'!$C$6:$C$92,"중국",'09_CF_원금'!$A$6:$A$92,"&lt;="&amp;$A97)+SUMIFS('09_CF_원금'!$E$6:$E$92,'09_CF_원금'!$D$6:$D$92,"업비트",'09_CF_원금'!$A$6:$A$92,"&lt;="&amp;$A97)-SUMIFS('09_CF_원금'!$E$6:$E$92,'09_CF_원금'!$C$6:$C$92,"업비트",'09_CF_원금'!$A$6:$A$92,"&lt;="&amp;$A97))</f>
        <v/>
      </c>
      <c r="AB97" s="249">
        <f>IF(OR(U97="",V97=""),"",U97-(V97-IF(S97="",0,S97)))</f>
        <v/>
      </c>
      <c r="AC97" s="249">
        <f>IF(AB97="","",T97+AB97)</f>
        <v/>
      </c>
      <c r="AD97" s="249">
        <f>IF(B97="","",MAX($B$5:B97))</f>
        <v/>
      </c>
      <c r="AE97" s="256" t="n"/>
      <c r="AF97" s="255" t="n"/>
      <c r="AG97" s="255" t="n"/>
      <c r="AH97" s="255" t="n"/>
      <c r="AI97" s="255" t="n"/>
      <c r="AJ97" s="257">
        <f>IF($A97="","",YEAR($A97)*100+MONTH($A97))</f>
        <v/>
      </c>
      <c r="AK97" s="257">
        <f>IF($A97="","",IF($N97="",0,1))</f>
        <v/>
      </c>
    </row>
    <row r="98">
      <c r="A98" s="247" t="n">
        <v>46139</v>
      </c>
      <c r="B98" s="248">
        <f>IF(V98&lt;&gt;"",V98-T98,IF(AF98&lt;&gt;"",AA98+AF98,""))</f>
        <v/>
      </c>
      <c r="C98" s="249">
        <f>IF(OR(B98="",B97=""),"",B98-B97)</f>
        <v/>
      </c>
      <c r="D98" s="248">
        <f>IF(OR(B98="",AA98=""),"",B98-AA98)</f>
        <v/>
      </c>
      <c r="E98" s="250">
        <f>IF(OR(B98="",AD98=0),"",MIN(0,B98/AD98-1))</f>
        <v/>
      </c>
      <c r="F98" s="250">
        <f>IF(OR(U98="",T98=0,T98=""),"",(P98-T98*1.4)/U98)</f>
        <v/>
      </c>
      <c r="G98" s="251">
        <f>IF(OR(AC98="",'09_CF_원금'!$B$108=0),"",AC98/'09_CF_원금'!$B$108)</f>
        <v/>
      </c>
      <c r="H98" s="250">
        <f>IF(OR(U98="",U98=0,AC98=""),"",AC98/U98)</f>
        <v/>
      </c>
      <c r="I98" s="250">
        <f>IF(OR(S98="",U98=""),"",S98/(U98+S98))</f>
        <v/>
      </c>
      <c r="J98" s="248">
        <f>IF(W98&lt;&gt;"",W98-X98,IF(AG98&lt;&gt;"",AG98,""))</f>
        <v/>
      </c>
      <c r="K98" s="248">
        <f>IF(Q98&lt;&gt;"",Q98-Y98,IF(AH98&lt;&gt;"",AH98,""))</f>
        <v/>
      </c>
      <c r="L98" s="248">
        <f>IF(R98&lt;&gt;"",R98-Z98,IF(AI98&lt;&gt;"",AI98,""))</f>
        <v/>
      </c>
      <c r="M98" s="252" t="n"/>
      <c r="N98" s="253" t="n"/>
      <c r="O98" s="254" t="n"/>
      <c r="P98" s="255" t="n"/>
      <c r="Q98" s="258">
        <f>IF($A98="","",IF(Q97="","",Q97))</f>
        <v/>
      </c>
      <c r="R98" s="258">
        <f>IF($A98="","",IF(R97="","",R97))</f>
        <v/>
      </c>
      <c r="S98" s="258">
        <f>IF($A98="","",IF(S97="","",S97))</f>
        <v/>
      </c>
      <c r="T98" s="249">
        <f>IF(OR(P98="",W98=""),"",P98-W98)</f>
        <v/>
      </c>
      <c r="U98" s="258">
        <f>IF($A98="","",IF(U97="","",U97))</f>
        <v/>
      </c>
      <c r="V98" s="249">
        <f>IF(P98="","",P98+IF(Q98="",0,Q98)+IF(R98="",0,R98))</f>
        <v/>
      </c>
      <c r="W98" s="255" t="n"/>
      <c r="X98" s="249">
        <f>SUMIFS('09_CF_원금'!$E$6:$E$92,'09_CF_원금'!$D$6:$D$92,"국장",'09_CF_원금'!$A$6:$A$92,"&lt;="&amp;$A98)-SUMIFS('09_CF_원금'!$E$6:$E$92,'09_CF_원금'!$C$6:$C$92,"국장",'09_CF_원금'!$A$6:$A$92,"&lt;="&amp;$A98)</f>
        <v/>
      </c>
      <c r="Y98" s="249">
        <f>SUMIFS('09_CF_원금'!$E$6:$E$92,'09_CF_원금'!$D$6:$D$92,"미장",'09_CF_원금'!$A$6:$A$92,"&lt;="&amp;$A98)-SUMIFS('09_CF_원금'!$E$6:$E$92,'09_CF_원금'!$C$6:$C$92,"미장",'09_CF_원금'!$A$6:$A$92,"&lt;="&amp;$A98)</f>
        <v/>
      </c>
      <c r="Z98" s="249">
        <f>SUMIFS('09_CF_원금'!$E$6:$E$92,'09_CF_원금'!$D$6:$D$92,"ISA",'09_CF_원금'!$A$6:$A$92,"&lt;="&amp;$A98)-SUMIFS('09_CF_원금'!$E$6:$E$92,'09_CF_원금'!$C$6:$C$92,"ISA",'09_CF_원금'!$A$6:$A$92,"&lt;="&amp;$A98)</f>
        <v/>
      </c>
      <c r="AA98" s="249">
        <f>IF($A98="","",X98+Y98+Z98+SUMIFS('09_CF_원금'!$E$6:$E$92,'09_CF_원금'!$D$6:$D$92,"중국",'09_CF_원금'!$A$6:$A$92,"&lt;="&amp;$A98)-SUMIFS('09_CF_원금'!$E$6:$E$92,'09_CF_원금'!$C$6:$C$92,"중국",'09_CF_원금'!$A$6:$A$92,"&lt;="&amp;$A98)+SUMIFS('09_CF_원금'!$E$6:$E$92,'09_CF_원금'!$D$6:$D$92,"업비트",'09_CF_원금'!$A$6:$A$92,"&lt;="&amp;$A98)-SUMIFS('09_CF_원금'!$E$6:$E$92,'09_CF_원금'!$C$6:$C$92,"업비트",'09_CF_원금'!$A$6:$A$92,"&lt;="&amp;$A98))</f>
        <v/>
      </c>
      <c r="AB98" s="249">
        <f>IF(OR(U98="",V98=""),"",U98-(V98-IF(S98="",0,S98)))</f>
        <v/>
      </c>
      <c r="AC98" s="249">
        <f>IF(AB98="","",T98+AB98)</f>
        <v/>
      </c>
      <c r="AD98" s="249">
        <f>IF(B98="","",MAX($B$5:B98))</f>
        <v/>
      </c>
      <c r="AE98" s="256" t="n"/>
      <c r="AF98" s="255" t="n"/>
      <c r="AG98" s="255" t="n"/>
      <c r="AH98" s="255" t="n"/>
      <c r="AI98" s="255" t="n"/>
      <c r="AJ98" s="257">
        <f>IF($A98="","",YEAR($A98)*100+MONTH($A98))</f>
        <v/>
      </c>
      <c r="AK98" s="257">
        <f>IF($A98="","",IF($N98="",0,1))</f>
        <v/>
      </c>
    </row>
    <row r="99">
      <c r="A99" s="247" t="n">
        <v>46140</v>
      </c>
      <c r="B99" s="248">
        <f>IF(V99&lt;&gt;"",V99-T99,IF(AF99&lt;&gt;"",AA99+AF99,""))</f>
        <v/>
      </c>
      <c r="C99" s="249">
        <f>IF(OR(B99="",B98=""),"",B99-B98)</f>
        <v/>
      </c>
      <c r="D99" s="248">
        <f>IF(OR(B99="",AA99=""),"",B99-AA99)</f>
        <v/>
      </c>
      <c r="E99" s="250">
        <f>IF(OR(B99="",AD99=0),"",MIN(0,B99/AD99-1))</f>
        <v/>
      </c>
      <c r="F99" s="250">
        <f>IF(OR(U99="",T99=0,T99=""),"",(P99-T99*1.4)/U99)</f>
        <v/>
      </c>
      <c r="G99" s="251">
        <f>IF(OR(AC99="",'09_CF_원금'!$B$108=0),"",AC99/'09_CF_원금'!$B$108)</f>
        <v/>
      </c>
      <c r="H99" s="250">
        <f>IF(OR(U99="",U99=0,AC99=""),"",AC99/U99)</f>
        <v/>
      </c>
      <c r="I99" s="250">
        <f>IF(OR(S99="",U99=""),"",S99/(U99+S99))</f>
        <v/>
      </c>
      <c r="J99" s="248">
        <f>IF(W99&lt;&gt;"",W99-X99,IF(AG99&lt;&gt;"",AG99,""))</f>
        <v/>
      </c>
      <c r="K99" s="248">
        <f>IF(Q99&lt;&gt;"",Q99-Y99,IF(AH99&lt;&gt;"",AH99,""))</f>
        <v/>
      </c>
      <c r="L99" s="248">
        <f>IF(R99&lt;&gt;"",R99-Z99,IF(AI99&lt;&gt;"",AI99,""))</f>
        <v/>
      </c>
      <c r="M99" s="252" t="n"/>
      <c r="N99" s="253" t="n"/>
      <c r="O99" s="254" t="n"/>
      <c r="P99" s="255" t="n"/>
      <c r="Q99" s="258">
        <f>IF($A99="","",IF(Q98="","",Q98))</f>
        <v/>
      </c>
      <c r="R99" s="258">
        <f>IF($A99="","",IF(R98="","",R98))</f>
        <v/>
      </c>
      <c r="S99" s="258">
        <f>IF($A99="","",IF(S98="","",S98))</f>
        <v/>
      </c>
      <c r="T99" s="249">
        <f>IF(OR(P99="",W99=""),"",P99-W99)</f>
        <v/>
      </c>
      <c r="U99" s="258">
        <f>IF($A99="","",IF(U98="","",U98))</f>
        <v/>
      </c>
      <c r="V99" s="249">
        <f>IF(P99="","",P99+IF(Q99="",0,Q99)+IF(R99="",0,R99))</f>
        <v/>
      </c>
      <c r="W99" s="255" t="n"/>
      <c r="X99" s="249">
        <f>SUMIFS('09_CF_원금'!$E$6:$E$92,'09_CF_원금'!$D$6:$D$92,"국장",'09_CF_원금'!$A$6:$A$92,"&lt;="&amp;$A99)-SUMIFS('09_CF_원금'!$E$6:$E$92,'09_CF_원금'!$C$6:$C$92,"국장",'09_CF_원금'!$A$6:$A$92,"&lt;="&amp;$A99)</f>
        <v/>
      </c>
      <c r="Y99" s="249">
        <f>SUMIFS('09_CF_원금'!$E$6:$E$92,'09_CF_원금'!$D$6:$D$92,"미장",'09_CF_원금'!$A$6:$A$92,"&lt;="&amp;$A99)-SUMIFS('09_CF_원금'!$E$6:$E$92,'09_CF_원금'!$C$6:$C$92,"미장",'09_CF_원금'!$A$6:$A$92,"&lt;="&amp;$A99)</f>
        <v/>
      </c>
      <c r="Z99" s="249">
        <f>SUMIFS('09_CF_원금'!$E$6:$E$92,'09_CF_원금'!$D$6:$D$92,"ISA",'09_CF_원금'!$A$6:$A$92,"&lt;="&amp;$A99)-SUMIFS('09_CF_원금'!$E$6:$E$92,'09_CF_원금'!$C$6:$C$92,"ISA",'09_CF_원금'!$A$6:$A$92,"&lt;="&amp;$A99)</f>
        <v/>
      </c>
      <c r="AA99" s="249">
        <f>IF($A99="","",X99+Y99+Z99+SUMIFS('09_CF_원금'!$E$6:$E$92,'09_CF_원금'!$D$6:$D$92,"중국",'09_CF_원금'!$A$6:$A$92,"&lt;="&amp;$A99)-SUMIFS('09_CF_원금'!$E$6:$E$92,'09_CF_원금'!$C$6:$C$92,"중국",'09_CF_원금'!$A$6:$A$92,"&lt;="&amp;$A99)+SUMIFS('09_CF_원금'!$E$6:$E$92,'09_CF_원금'!$D$6:$D$92,"업비트",'09_CF_원금'!$A$6:$A$92,"&lt;="&amp;$A99)-SUMIFS('09_CF_원금'!$E$6:$E$92,'09_CF_원금'!$C$6:$C$92,"업비트",'09_CF_원금'!$A$6:$A$92,"&lt;="&amp;$A99))</f>
        <v/>
      </c>
      <c r="AB99" s="249">
        <f>IF(OR(U99="",V99=""),"",U99-(V99-IF(S99="",0,S99)))</f>
        <v/>
      </c>
      <c r="AC99" s="249">
        <f>IF(AB99="","",T99+AB99)</f>
        <v/>
      </c>
      <c r="AD99" s="249">
        <f>IF(B99="","",MAX($B$5:B99))</f>
        <v/>
      </c>
      <c r="AE99" s="256" t="n"/>
      <c r="AF99" s="255" t="n"/>
      <c r="AG99" s="255" t="n"/>
      <c r="AH99" s="255" t="n"/>
      <c r="AI99" s="255" t="n"/>
      <c r="AJ99" s="257">
        <f>IF($A99="","",YEAR($A99)*100+MONTH($A99))</f>
        <v/>
      </c>
      <c r="AK99" s="257">
        <f>IF($A99="","",IF($N99="",0,1))</f>
        <v/>
      </c>
    </row>
    <row r="100">
      <c r="A100" s="247" t="n">
        <v>46141</v>
      </c>
      <c r="B100" s="248">
        <f>IF(V100&lt;&gt;"",V100-T100,IF(AF100&lt;&gt;"",AA100+AF100,""))</f>
        <v/>
      </c>
      <c r="C100" s="249">
        <f>IF(OR(B100="",B99=""),"",B100-B99)</f>
        <v/>
      </c>
      <c r="D100" s="248">
        <f>IF(OR(B100="",AA100=""),"",B100-AA100)</f>
        <v/>
      </c>
      <c r="E100" s="250">
        <f>IF(OR(B100="",AD100=0),"",MIN(0,B100/AD100-1))</f>
        <v/>
      </c>
      <c r="F100" s="250">
        <f>IF(OR(U100="",T100=0,T100=""),"",(P100-T100*1.4)/U100)</f>
        <v/>
      </c>
      <c r="G100" s="251">
        <f>IF(OR(AC100="",'09_CF_원금'!$B$108=0),"",AC100/'09_CF_원금'!$B$108)</f>
        <v/>
      </c>
      <c r="H100" s="250">
        <f>IF(OR(U100="",U100=0,AC100=""),"",AC100/U100)</f>
        <v/>
      </c>
      <c r="I100" s="250">
        <f>IF(OR(S100="",U100=""),"",S100/(U100+S100))</f>
        <v/>
      </c>
      <c r="J100" s="248">
        <f>IF(W100&lt;&gt;"",W100-X100,IF(AG100&lt;&gt;"",AG100,""))</f>
        <v/>
      </c>
      <c r="K100" s="248">
        <f>IF(Q100&lt;&gt;"",Q100-Y100,IF(AH100&lt;&gt;"",AH100,""))</f>
        <v/>
      </c>
      <c r="L100" s="248">
        <f>IF(R100&lt;&gt;"",R100-Z100,IF(AI100&lt;&gt;"",AI100,""))</f>
        <v/>
      </c>
      <c r="M100" s="252" t="n"/>
      <c r="N100" s="253" t="n"/>
      <c r="O100" s="254" t="n"/>
      <c r="P100" s="255" t="n"/>
      <c r="Q100" s="258">
        <f>IF($A100="","",IF(Q99="","",Q99))</f>
        <v/>
      </c>
      <c r="R100" s="258">
        <f>IF($A100="","",IF(R99="","",R99))</f>
        <v/>
      </c>
      <c r="S100" s="258">
        <f>IF($A100="","",IF(S99="","",S99))</f>
        <v/>
      </c>
      <c r="T100" s="249">
        <f>IF(OR(P100="",W100=""),"",P100-W100)</f>
        <v/>
      </c>
      <c r="U100" s="258">
        <f>IF($A100="","",IF(U99="","",U99))</f>
        <v/>
      </c>
      <c r="V100" s="249">
        <f>IF(P100="","",P100+IF(Q100="",0,Q100)+IF(R100="",0,R100))</f>
        <v/>
      </c>
      <c r="W100" s="255" t="n"/>
      <c r="X100" s="249">
        <f>SUMIFS('09_CF_원금'!$E$6:$E$92,'09_CF_원금'!$D$6:$D$92,"국장",'09_CF_원금'!$A$6:$A$92,"&lt;="&amp;$A100)-SUMIFS('09_CF_원금'!$E$6:$E$92,'09_CF_원금'!$C$6:$C$92,"국장",'09_CF_원금'!$A$6:$A$92,"&lt;="&amp;$A100)</f>
        <v/>
      </c>
      <c r="Y100" s="249">
        <f>SUMIFS('09_CF_원금'!$E$6:$E$92,'09_CF_원금'!$D$6:$D$92,"미장",'09_CF_원금'!$A$6:$A$92,"&lt;="&amp;$A100)-SUMIFS('09_CF_원금'!$E$6:$E$92,'09_CF_원금'!$C$6:$C$92,"미장",'09_CF_원금'!$A$6:$A$92,"&lt;="&amp;$A100)</f>
        <v/>
      </c>
      <c r="Z100" s="249">
        <f>SUMIFS('09_CF_원금'!$E$6:$E$92,'09_CF_원금'!$D$6:$D$92,"ISA",'09_CF_원금'!$A$6:$A$92,"&lt;="&amp;$A100)-SUMIFS('09_CF_원금'!$E$6:$E$92,'09_CF_원금'!$C$6:$C$92,"ISA",'09_CF_원금'!$A$6:$A$92,"&lt;="&amp;$A100)</f>
        <v/>
      </c>
      <c r="AA100" s="249">
        <f>IF($A100="","",X100+Y100+Z100+SUMIFS('09_CF_원금'!$E$6:$E$92,'09_CF_원금'!$D$6:$D$92,"중국",'09_CF_원금'!$A$6:$A$92,"&lt;="&amp;$A100)-SUMIFS('09_CF_원금'!$E$6:$E$92,'09_CF_원금'!$C$6:$C$92,"중국",'09_CF_원금'!$A$6:$A$92,"&lt;="&amp;$A100)+SUMIFS('09_CF_원금'!$E$6:$E$92,'09_CF_원금'!$D$6:$D$92,"업비트",'09_CF_원금'!$A$6:$A$92,"&lt;="&amp;$A100)-SUMIFS('09_CF_원금'!$E$6:$E$92,'09_CF_원금'!$C$6:$C$92,"업비트",'09_CF_원금'!$A$6:$A$92,"&lt;="&amp;$A100))</f>
        <v/>
      </c>
      <c r="AB100" s="249">
        <f>IF(OR(U100="",V100=""),"",U100-(V100-IF(S100="",0,S100)))</f>
        <v/>
      </c>
      <c r="AC100" s="249">
        <f>IF(AB100="","",T100+AB100)</f>
        <v/>
      </c>
      <c r="AD100" s="249">
        <f>IF(B100="","",MAX($B$5:B100))</f>
        <v/>
      </c>
      <c r="AE100" s="256" t="n"/>
      <c r="AF100" s="255" t="n"/>
      <c r="AG100" s="255" t="n"/>
      <c r="AH100" s="255" t="n"/>
      <c r="AI100" s="255" t="n"/>
      <c r="AJ100" s="257">
        <f>IF($A100="","",YEAR($A100)*100+MONTH($A100))</f>
        <v/>
      </c>
      <c r="AK100" s="257">
        <f>IF($A100="","",IF($N100="",0,1))</f>
        <v/>
      </c>
    </row>
    <row r="101">
      <c r="A101" s="247" t="n">
        <v>46142</v>
      </c>
      <c r="B101" s="248">
        <f>IF(V101&lt;&gt;"",V101-T101,IF(AF101&lt;&gt;"",AA101+AF101,""))</f>
        <v/>
      </c>
      <c r="C101" s="249">
        <f>IF(OR(B101="",B100=""),"",B101-B100)</f>
        <v/>
      </c>
      <c r="D101" s="248">
        <f>IF(OR(B101="",AA101=""),"",B101-AA101)</f>
        <v/>
      </c>
      <c r="E101" s="250">
        <f>IF(OR(B101="",AD101=0),"",MIN(0,B101/AD101-1))</f>
        <v/>
      </c>
      <c r="F101" s="250">
        <f>IF(OR(U101="",T101=0,T101=""),"",(P101-T101*1.4)/U101)</f>
        <v/>
      </c>
      <c r="G101" s="251">
        <f>IF(OR(AC101="",'09_CF_원금'!$B$108=0),"",AC101/'09_CF_원금'!$B$108)</f>
        <v/>
      </c>
      <c r="H101" s="250">
        <f>IF(OR(U101="",U101=0,AC101=""),"",AC101/U101)</f>
        <v/>
      </c>
      <c r="I101" s="250">
        <f>IF(OR(S101="",U101=""),"",S101/(U101+S101))</f>
        <v/>
      </c>
      <c r="J101" s="248">
        <f>IF(W101&lt;&gt;"",W101-X101,IF(AG101&lt;&gt;"",AG101,""))</f>
        <v/>
      </c>
      <c r="K101" s="248">
        <f>IF(Q101&lt;&gt;"",Q101-Y101,IF(AH101&lt;&gt;"",AH101,""))</f>
        <v/>
      </c>
      <c r="L101" s="248">
        <f>IF(R101&lt;&gt;"",R101-Z101,IF(AI101&lt;&gt;"",AI101,""))</f>
        <v/>
      </c>
      <c r="M101" s="252" t="n"/>
      <c r="N101" s="253" t="n"/>
      <c r="O101" s="254" t="n"/>
      <c r="P101" s="255" t="n"/>
      <c r="Q101" s="258">
        <f>IF($A101="","",IF(Q100="","",Q100))</f>
        <v/>
      </c>
      <c r="R101" s="258">
        <f>IF($A101="","",IF(R100="","",R100))</f>
        <v/>
      </c>
      <c r="S101" s="258">
        <f>IF($A101="","",IF(S100="","",S100))</f>
        <v/>
      </c>
      <c r="T101" s="249">
        <f>IF(OR(P101="",W101=""),"",P101-W101)</f>
        <v/>
      </c>
      <c r="U101" s="258">
        <f>IF($A101="","",IF(U100="","",U100))</f>
        <v/>
      </c>
      <c r="V101" s="249">
        <f>IF(P101="","",P101+IF(Q101="",0,Q101)+IF(R101="",0,R101))</f>
        <v/>
      </c>
      <c r="W101" s="255" t="n"/>
      <c r="X101" s="249">
        <f>SUMIFS('09_CF_원금'!$E$6:$E$92,'09_CF_원금'!$D$6:$D$92,"국장",'09_CF_원금'!$A$6:$A$92,"&lt;="&amp;$A101)-SUMIFS('09_CF_원금'!$E$6:$E$92,'09_CF_원금'!$C$6:$C$92,"국장",'09_CF_원금'!$A$6:$A$92,"&lt;="&amp;$A101)</f>
        <v/>
      </c>
      <c r="Y101" s="249">
        <f>SUMIFS('09_CF_원금'!$E$6:$E$92,'09_CF_원금'!$D$6:$D$92,"미장",'09_CF_원금'!$A$6:$A$92,"&lt;="&amp;$A101)-SUMIFS('09_CF_원금'!$E$6:$E$92,'09_CF_원금'!$C$6:$C$92,"미장",'09_CF_원금'!$A$6:$A$92,"&lt;="&amp;$A101)</f>
        <v/>
      </c>
      <c r="Z101" s="249">
        <f>SUMIFS('09_CF_원금'!$E$6:$E$92,'09_CF_원금'!$D$6:$D$92,"ISA",'09_CF_원금'!$A$6:$A$92,"&lt;="&amp;$A101)-SUMIFS('09_CF_원금'!$E$6:$E$92,'09_CF_원금'!$C$6:$C$92,"ISA",'09_CF_원금'!$A$6:$A$92,"&lt;="&amp;$A101)</f>
        <v/>
      </c>
      <c r="AA101" s="249">
        <f>IF($A101="","",X101+Y101+Z101+SUMIFS('09_CF_원금'!$E$6:$E$92,'09_CF_원금'!$D$6:$D$92,"중국",'09_CF_원금'!$A$6:$A$92,"&lt;="&amp;$A101)-SUMIFS('09_CF_원금'!$E$6:$E$92,'09_CF_원금'!$C$6:$C$92,"중국",'09_CF_원금'!$A$6:$A$92,"&lt;="&amp;$A101)+SUMIFS('09_CF_원금'!$E$6:$E$92,'09_CF_원금'!$D$6:$D$92,"업비트",'09_CF_원금'!$A$6:$A$92,"&lt;="&amp;$A101)-SUMIFS('09_CF_원금'!$E$6:$E$92,'09_CF_원금'!$C$6:$C$92,"업비트",'09_CF_원금'!$A$6:$A$92,"&lt;="&amp;$A101))</f>
        <v/>
      </c>
      <c r="AB101" s="249">
        <f>IF(OR(U101="",V101=""),"",U101-(V101-IF(S101="",0,S101)))</f>
        <v/>
      </c>
      <c r="AC101" s="249">
        <f>IF(AB101="","",T101+AB101)</f>
        <v/>
      </c>
      <c r="AD101" s="249">
        <f>IF(B101="","",MAX($B$5:B101))</f>
        <v/>
      </c>
      <c r="AE101" s="256" t="n"/>
      <c r="AF101" s="255" t="n"/>
      <c r="AG101" s="255" t="n"/>
      <c r="AH101" s="255" t="n"/>
      <c r="AI101" s="255" t="n"/>
      <c r="AJ101" s="257">
        <f>IF($A101="","",YEAR($A101)*100+MONTH($A101))</f>
        <v/>
      </c>
      <c r="AK101" s="257">
        <f>IF($A101="","",IF($N101="",0,1))</f>
        <v/>
      </c>
    </row>
    <row r="102">
      <c r="A102" s="247" t="n">
        <v>46143</v>
      </c>
      <c r="B102" s="248">
        <f>IF(V102&lt;&gt;"",V102-T102,IF(AF102&lt;&gt;"",AA102+AF102,""))</f>
        <v/>
      </c>
      <c r="C102" s="249">
        <f>IF(OR(B102="",B101=""),"",B102-B101)</f>
        <v/>
      </c>
      <c r="D102" s="248">
        <f>IF(OR(B102="",AA102=""),"",B102-AA102)</f>
        <v/>
      </c>
      <c r="E102" s="250">
        <f>IF(OR(B102="",AD102=0),"",MIN(0,B102/AD102-1))</f>
        <v/>
      </c>
      <c r="F102" s="250">
        <f>IF(OR(U102="",T102=0,T102=""),"",(P102-T102*1.4)/U102)</f>
        <v/>
      </c>
      <c r="G102" s="251">
        <f>IF(OR(AC102="",'09_CF_원금'!$B$108=0),"",AC102/'09_CF_원금'!$B$108)</f>
        <v/>
      </c>
      <c r="H102" s="250">
        <f>IF(OR(U102="",U102=0,AC102=""),"",AC102/U102)</f>
        <v/>
      </c>
      <c r="I102" s="250">
        <f>IF(OR(S102="",U102=""),"",S102/(U102+S102))</f>
        <v/>
      </c>
      <c r="J102" s="248">
        <f>IF(W102&lt;&gt;"",W102-X102,IF(AG102&lt;&gt;"",AG102,""))</f>
        <v/>
      </c>
      <c r="K102" s="248">
        <f>IF(Q102&lt;&gt;"",Q102-Y102,IF(AH102&lt;&gt;"",AH102,""))</f>
        <v/>
      </c>
      <c r="L102" s="248">
        <f>IF(R102&lt;&gt;"",R102-Z102,IF(AI102&lt;&gt;"",AI102,""))</f>
        <v/>
      </c>
      <c r="M102" s="252" t="n"/>
      <c r="N102" s="253" t="n"/>
      <c r="O102" s="254" t="n"/>
      <c r="P102" s="255" t="n"/>
      <c r="Q102" s="258">
        <f>IF($A102="","",IF(Q101="","",Q101))</f>
        <v/>
      </c>
      <c r="R102" s="258">
        <f>IF($A102="","",IF(R101="","",R101))</f>
        <v/>
      </c>
      <c r="S102" s="258">
        <f>IF($A102="","",IF(S101="","",S101))</f>
        <v/>
      </c>
      <c r="T102" s="249">
        <f>IF(OR(P102="",W102=""),"",P102-W102)</f>
        <v/>
      </c>
      <c r="U102" s="258">
        <f>IF($A102="","",IF(U101="","",U101))</f>
        <v/>
      </c>
      <c r="V102" s="249">
        <f>IF(P102="","",P102+IF(Q102="",0,Q102)+IF(R102="",0,R102))</f>
        <v/>
      </c>
      <c r="W102" s="255" t="n"/>
      <c r="X102" s="249">
        <f>SUMIFS('09_CF_원금'!$E$6:$E$92,'09_CF_원금'!$D$6:$D$92,"국장",'09_CF_원금'!$A$6:$A$92,"&lt;="&amp;$A102)-SUMIFS('09_CF_원금'!$E$6:$E$92,'09_CF_원금'!$C$6:$C$92,"국장",'09_CF_원금'!$A$6:$A$92,"&lt;="&amp;$A102)</f>
        <v/>
      </c>
      <c r="Y102" s="249">
        <f>SUMIFS('09_CF_원금'!$E$6:$E$92,'09_CF_원금'!$D$6:$D$92,"미장",'09_CF_원금'!$A$6:$A$92,"&lt;="&amp;$A102)-SUMIFS('09_CF_원금'!$E$6:$E$92,'09_CF_원금'!$C$6:$C$92,"미장",'09_CF_원금'!$A$6:$A$92,"&lt;="&amp;$A102)</f>
        <v/>
      </c>
      <c r="Z102" s="249">
        <f>SUMIFS('09_CF_원금'!$E$6:$E$92,'09_CF_원금'!$D$6:$D$92,"ISA",'09_CF_원금'!$A$6:$A$92,"&lt;="&amp;$A102)-SUMIFS('09_CF_원금'!$E$6:$E$92,'09_CF_원금'!$C$6:$C$92,"ISA",'09_CF_원금'!$A$6:$A$92,"&lt;="&amp;$A102)</f>
        <v/>
      </c>
      <c r="AA102" s="249">
        <f>IF($A102="","",X102+Y102+Z102+SUMIFS('09_CF_원금'!$E$6:$E$92,'09_CF_원금'!$D$6:$D$92,"중국",'09_CF_원금'!$A$6:$A$92,"&lt;="&amp;$A102)-SUMIFS('09_CF_원금'!$E$6:$E$92,'09_CF_원금'!$C$6:$C$92,"중국",'09_CF_원금'!$A$6:$A$92,"&lt;="&amp;$A102)+SUMIFS('09_CF_원금'!$E$6:$E$92,'09_CF_원금'!$D$6:$D$92,"업비트",'09_CF_원금'!$A$6:$A$92,"&lt;="&amp;$A102)-SUMIFS('09_CF_원금'!$E$6:$E$92,'09_CF_원금'!$C$6:$C$92,"업비트",'09_CF_원금'!$A$6:$A$92,"&lt;="&amp;$A102))</f>
        <v/>
      </c>
      <c r="AB102" s="249">
        <f>IF(OR(U102="",V102=""),"",U102-(V102-IF(S102="",0,S102)))</f>
        <v/>
      </c>
      <c r="AC102" s="249">
        <f>IF(AB102="","",T102+AB102)</f>
        <v/>
      </c>
      <c r="AD102" s="249">
        <f>IF(B102="","",MAX($B$5:B102))</f>
        <v/>
      </c>
      <c r="AE102" s="256" t="n"/>
      <c r="AF102" s="255" t="n">
        <v>403982171</v>
      </c>
      <c r="AG102" s="255" t="n">
        <v>282225408</v>
      </c>
      <c r="AH102" s="255" t="n">
        <v>108002249</v>
      </c>
      <c r="AI102" s="255" t="n">
        <v>13754514</v>
      </c>
      <c r="AJ102" s="257">
        <f>IF($A102="","",YEAR($A102)*100+MONTH($A102))</f>
        <v/>
      </c>
      <c r="AK102" s="257">
        <f>IF($A102="","",IF($N102="",0,1))</f>
        <v/>
      </c>
    </row>
    <row r="103">
      <c r="A103" s="247" t="n">
        <v>46146</v>
      </c>
      <c r="B103" s="248">
        <f>IF(V103&lt;&gt;"",V103-T103,IF(AF103&lt;&gt;"",AA103+AF103,""))</f>
        <v/>
      </c>
      <c r="C103" s="249">
        <f>IF(OR(B103="",B102=""),"",B103-B102)</f>
        <v/>
      </c>
      <c r="D103" s="248">
        <f>IF(OR(B103="",AA103=""),"",B103-AA103)</f>
        <v/>
      </c>
      <c r="E103" s="250">
        <f>IF(OR(B103="",AD103=0),"",MIN(0,B103/AD103-1))</f>
        <v/>
      </c>
      <c r="F103" s="250">
        <f>IF(OR(U103="",T103=0,T103=""),"",(P103-T103*1.4)/U103)</f>
        <v/>
      </c>
      <c r="G103" s="251">
        <f>IF(OR(AC103="",'09_CF_원금'!$B$108=0),"",AC103/'09_CF_원금'!$B$108)</f>
        <v/>
      </c>
      <c r="H103" s="250">
        <f>IF(OR(U103="",U103=0,AC103=""),"",AC103/U103)</f>
        <v/>
      </c>
      <c r="I103" s="250">
        <f>IF(OR(S103="",U103=""),"",S103/(U103+S103))</f>
        <v/>
      </c>
      <c r="J103" s="248">
        <f>IF(W103&lt;&gt;"",W103-X103,IF(AG103&lt;&gt;"",AG103,""))</f>
        <v/>
      </c>
      <c r="K103" s="248">
        <f>IF(Q103&lt;&gt;"",Q103-Y103,IF(AH103&lt;&gt;"",AH103,""))</f>
        <v/>
      </c>
      <c r="L103" s="248">
        <f>IF(R103&lt;&gt;"",R103-Z103,IF(AI103&lt;&gt;"",AI103,""))</f>
        <v/>
      </c>
      <c r="M103" s="252" t="n"/>
      <c r="N103" s="253" t="n"/>
      <c r="O103" s="254" t="n"/>
      <c r="P103" s="255" t="n"/>
      <c r="Q103" s="258">
        <f>IF($A103="","",IF(Q102="","",Q102))</f>
        <v/>
      </c>
      <c r="R103" s="258">
        <f>IF($A103="","",IF(R102="","",R102))</f>
        <v/>
      </c>
      <c r="S103" s="258">
        <f>IF($A103="","",IF(S102="","",S102))</f>
        <v/>
      </c>
      <c r="T103" s="249">
        <f>IF(OR(P103="",W103=""),"",P103-W103)</f>
        <v/>
      </c>
      <c r="U103" s="258">
        <f>IF($A103="","",IF(U102="","",U102))</f>
        <v/>
      </c>
      <c r="V103" s="249">
        <f>IF(P103="","",P103+IF(Q103="",0,Q103)+IF(R103="",0,R103))</f>
        <v/>
      </c>
      <c r="W103" s="255" t="n"/>
      <c r="X103" s="249">
        <f>SUMIFS('09_CF_원금'!$E$6:$E$92,'09_CF_원금'!$D$6:$D$92,"국장",'09_CF_원금'!$A$6:$A$92,"&lt;="&amp;$A103)-SUMIFS('09_CF_원금'!$E$6:$E$92,'09_CF_원금'!$C$6:$C$92,"국장",'09_CF_원금'!$A$6:$A$92,"&lt;="&amp;$A103)</f>
        <v/>
      </c>
      <c r="Y103" s="249">
        <f>SUMIFS('09_CF_원금'!$E$6:$E$92,'09_CF_원금'!$D$6:$D$92,"미장",'09_CF_원금'!$A$6:$A$92,"&lt;="&amp;$A103)-SUMIFS('09_CF_원금'!$E$6:$E$92,'09_CF_원금'!$C$6:$C$92,"미장",'09_CF_원금'!$A$6:$A$92,"&lt;="&amp;$A103)</f>
        <v/>
      </c>
      <c r="Z103" s="249">
        <f>SUMIFS('09_CF_원금'!$E$6:$E$92,'09_CF_원금'!$D$6:$D$92,"ISA",'09_CF_원금'!$A$6:$A$92,"&lt;="&amp;$A103)-SUMIFS('09_CF_원금'!$E$6:$E$92,'09_CF_원금'!$C$6:$C$92,"ISA",'09_CF_원금'!$A$6:$A$92,"&lt;="&amp;$A103)</f>
        <v/>
      </c>
      <c r="AA103" s="249">
        <f>IF($A103="","",X103+Y103+Z103+SUMIFS('09_CF_원금'!$E$6:$E$92,'09_CF_원금'!$D$6:$D$92,"중국",'09_CF_원금'!$A$6:$A$92,"&lt;="&amp;$A103)-SUMIFS('09_CF_원금'!$E$6:$E$92,'09_CF_원금'!$C$6:$C$92,"중국",'09_CF_원금'!$A$6:$A$92,"&lt;="&amp;$A103)+SUMIFS('09_CF_원금'!$E$6:$E$92,'09_CF_원금'!$D$6:$D$92,"업비트",'09_CF_원금'!$A$6:$A$92,"&lt;="&amp;$A103)-SUMIFS('09_CF_원금'!$E$6:$E$92,'09_CF_원금'!$C$6:$C$92,"업비트",'09_CF_원금'!$A$6:$A$92,"&lt;="&amp;$A103))</f>
        <v/>
      </c>
      <c r="AB103" s="249">
        <f>IF(OR(U103="",V103=""),"",U103-(V103-IF(S103="",0,S103)))</f>
        <v/>
      </c>
      <c r="AC103" s="249">
        <f>IF(AB103="","",T103+AB103)</f>
        <v/>
      </c>
      <c r="AD103" s="249">
        <f>IF(B103="","",MAX($B$5:B103))</f>
        <v/>
      </c>
      <c r="AE103" s="256" t="n"/>
      <c r="AF103" s="255" t="n"/>
      <c r="AG103" s="255" t="n"/>
      <c r="AH103" s="255" t="n"/>
      <c r="AI103" s="255" t="n"/>
      <c r="AJ103" s="257">
        <f>IF($A103="","",YEAR($A103)*100+MONTH($A103))</f>
        <v/>
      </c>
      <c r="AK103" s="257">
        <f>IF($A103="","",IF($N103="",0,1))</f>
        <v/>
      </c>
    </row>
    <row r="104">
      <c r="A104" s="247" t="n">
        <v>46147</v>
      </c>
      <c r="B104" s="248">
        <f>IF(V104&lt;&gt;"",V104-T104,IF(AF104&lt;&gt;"",AA104+AF104,""))</f>
        <v/>
      </c>
      <c r="C104" s="249">
        <f>IF(OR(B104="",B103=""),"",B104-B103)</f>
        <v/>
      </c>
      <c r="D104" s="248">
        <f>IF(OR(B104="",AA104=""),"",B104-AA104)</f>
        <v/>
      </c>
      <c r="E104" s="250">
        <f>IF(OR(B104="",AD104=0),"",MIN(0,B104/AD104-1))</f>
        <v/>
      </c>
      <c r="F104" s="250">
        <f>IF(OR(U104="",T104=0,T104=""),"",(P104-T104*1.4)/U104)</f>
        <v/>
      </c>
      <c r="G104" s="251">
        <f>IF(OR(AC104="",'09_CF_원금'!$B$108=0),"",AC104/'09_CF_원금'!$B$108)</f>
        <v/>
      </c>
      <c r="H104" s="250">
        <f>IF(OR(U104="",U104=0,AC104=""),"",AC104/U104)</f>
        <v/>
      </c>
      <c r="I104" s="250">
        <f>IF(OR(S104="",U104=""),"",S104/(U104+S104))</f>
        <v/>
      </c>
      <c r="J104" s="248">
        <f>IF(W104&lt;&gt;"",W104-X104,IF(AG104&lt;&gt;"",AG104,""))</f>
        <v/>
      </c>
      <c r="K104" s="248">
        <f>IF(Q104&lt;&gt;"",Q104-Y104,IF(AH104&lt;&gt;"",AH104,""))</f>
        <v/>
      </c>
      <c r="L104" s="248">
        <f>IF(R104&lt;&gt;"",R104-Z104,IF(AI104&lt;&gt;"",AI104,""))</f>
        <v/>
      </c>
      <c r="M104" s="252" t="n"/>
      <c r="N104" s="253" t="n"/>
      <c r="O104" s="254" t="n"/>
      <c r="P104" s="255" t="n"/>
      <c r="Q104" s="258">
        <f>IF($A104="","",IF(Q103="","",Q103))</f>
        <v/>
      </c>
      <c r="R104" s="258">
        <f>IF($A104="","",IF(R103="","",R103))</f>
        <v/>
      </c>
      <c r="S104" s="258">
        <f>IF($A104="","",IF(S103="","",S103))</f>
        <v/>
      </c>
      <c r="T104" s="249">
        <f>IF(OR(P104="",W104=""),"",P104-W104)</f>
        <v/>
      </c>
      <c r="U104" s="258">
        <f>IF($A104="","",IF(U103="","",U103))</f>
        <v/>
      </c>
      <c r="V104" s="249">
        <f>IF(P104="","",P104+IF(Q104="",0,Q104)+IF(R104="",0,R104))</f>
        <v/>
      </c>
      <c r="W104" s="255" t="n"/>
      <c r="X104" s="249">
        <f>SUMIFS('09_CF_원금'!$E$6:$E$92,'09_CF_원금'!$D$6:$D$92,"국장",'09_CF_원금'!$A$6:$A$92,"&lt;="&amp;$A104)-SUMIFS('09_CF_원금'!$E$6:$E$92,'09_CF_원금'!$C$6:$C$92,"국장",'09_CF_원금'!$A$6:$A$92,"&lt;="&amp;$A104)</f>
        <v/>
      </c>
      <c r="Y104" s="249">
        <f>SUMIFS('09_CF_원금'!$E$6:$E$92,'09_CF_원금'!$D$6:$D$92,"미장",'09_CF_원금'!$A$6:$A$92,"&lt;="&amp;$A104)-SUMIFS('09_CF_원금'!$E$6:$E$92,'09_CF_원금'!$C$6:$C$92,"미장",'09_CF_원금'!$A$6:$A$92,"&lt;="&amp;$A104)</f>
        <v/>
      </c>
      <c r="Z104" s="249">
        <f>SUMIFS('09_CF_원금'!$E$6:$E$92,'09_CF_원금'!$D$6:$D$92,"ISA",'09_CF_원금'!$A$6:$A$92,"&lt;="&amp;$A104)-SUMIFS('09_CF_원금'!$E$6:$E$92,'09_CF_원금'!$C$6:$C$92,"ISA",'09_CF_원금'!$A$6:$A$92,"&lt;="&amp;$A104)</f>
        <v/>
      </c>
      <c r="AA104" s="249">
        <f>IF($A104="","",X104+Y104+Z104+SUMIFS('09_CF_원금'!$E$6:$E$92,'09_CF_원금'!$D$6:$D$92,"중국",'09_CF_원금'!$A$6:$A$92,"&lt;="&amp;$A104)-SUMIFS('09_CF_원금'!$E$6:$E$92,'09_CF_원금'!$C$6:$C$92,"중국",'09_CF_원금'!$A$6:$A$92,"&lt;="&amp;$A104)+SUMIFS('09_CF_원금'!$E$6:$E$92,'09_CF_원금'!$D$6:$D$92,"업비트",'09_CF_원금'!$A$6:$A$92,"&lt;="&amp;$A104)-SUMIFS('09_CF_원금'!$E$6:$E$92,'09_CF_원금'!$C$6:$C$92,"업비트",'09_CF_원금'!$A$6:$A$92,"&lt;="&amp;$A104))</f>
        <v/>
      </c>
      <c r="AB104" s="249">
        <f>IF(OR(U104="",V104=""),"",U104-(V104-IF(S104="",0,S104)))</f>
        <v/>
      </c>
      <c r="AC104" s="249">
        <f>IF(AB104="","",T104+AB104)</f>
        <v/>
      </c>
      <c r="AD104" s="249">
        <f>IF(B104="","",MAX($B$5:B104))</f>
        <v/>
      </c>
      <c r="AE104" s="256" t="n"/>
      <c r="AF104" s="255" t="n"/>
      <c r="AG104" s="255" t="n"/>
      <c r="AH104" s="255" t="n"/>
      <c r="AI104" s="255" t="n"/>
      <c r="AJ104" s="257">
        <f>IF($A104="","",YEAR($A104)*100+MONTH($A104))</f>
        <v/>
      </c>
      <c r="AK104" s="257">
        <f>IF($A104="","",IF($N104="",0,1))</f>
        <v/>
      </c>
    </row>
    <row r="105">
      <c r="A105" s="247" t="n">
        <v>46148</v>
      </c>
      <c r="B105" s="248">
        <f>IF(V105&lt;&gt;"",V105-T105,IF(AF105&lt;&gt;"",AA105+AF105,""))</f>
        <v/>
      </c>
      <c r="C105" s="249">
        <f>IF(OR(B105="",B104=""),"",B105-B104)</f>
        <v/>
      </c>
      <c r="D105" s="248">
        <f>IF(OR(B105="",AA105=""),"",B105-AA105)</f>
        <v/>
      </c>
      <c r="E105" s="250">
        <f>IF(OR(B105="",AD105=0),"",MIN(0,B105/AD105-1))</f>
        <v/>
      </c>
      <c r="F105" s="250">
        <f>IF(OR(U105="",T105=0,T105=""),"",(P105-T105*1.4)/U105)</f>
        <v/>
      </c>
      <c r="G105" s="251">
        <f>IF(OR(AC105="",'09_CF_원금'!$B$108=0),"",AC105/'09_CF_원금'!$B$108)</f>
        <v/>
      </c>
      <c r="H105" s="250">
        <f>IF(OR(U105="",U105=0,AC105=""),"",AC105/U105)</f>
        <v/>
      </c>
      <c r="I105" s="250">
        <f>IF(OR(S105="",U105=""),"",S105/(U105+S105))</f>
        <v/>
      </c>
      <c r="J105" s="248">
        <f>IF(W105&lt;&gt;"",W105-X105,IF(AG105&lt;&gt;"",AG105,""))</f>
        <v/>
      </c>
      <c r="K105" s="248">
        <f>IF(Q105&lt;&gt;"",Q105-Y105,IF(AH105&lt;&gt;"",AH105,""))</f>
        <v/>
      </c>
      <c r="L105" s="248">
        <f>IF(R105&lt;&gt;"",R105-Z105,IF(AI105&lt;&gt;"",AI105,""))</f>
        <v/>
      </c>
      <c r="M105" s="252" t="n"/>
      <c r="N105" s="253" t="n"/>
      <c r="O105" s="254" t="n"/>
      <c r="P105" s="255" t="n"/>
      <c r="Q105" s="258">
        <f>IF($A105="","",IF(Q104="","",Q104))</f>
        <v/>
      </c>
      <c r="R105" s="258">
        <f>IF($A105="","",IF(R104="","",R104))</f>
        <v/>
      </c>
      <c r="S105" s="258">
        <f>IF($A105="","",IF(S104="","",S104))</f>
        <v/>
      </c>
      <c r="T105" s="249">
        <f>IF(OR(P105="",W105=""),"",P105-W105)</f>
        <v/>
      </c>
      <c r="U105" s="258">
        <f>IF($A105="","",IF(U104="","",U104))</f>
        <v/>
      </c>
      <c r="V105" s="249">
        <f>IF(P105="","",P105+IF(Q105="",0,Q105)+IF(R105="",0,R105))</f>
        <v/>
      </c>
      <c r="W105" s="255" t="n"/>
      <c r="X105" s="249">
        <f>SUMIFS('09_CF_원금'!$E$6:$E$92,'09_CF_원금'!$D$6:$D$92,"국장",'09_CF_원금'!$A$6:$A$92,"&lt;="&amp;$A105)-SUMIFS('09_CF_원금'!$E$6:$E$92,'09_CF_원금'!$C$6:$C$92,"국장",'09_CF_원금'!$A$6:$A$92,"&lt;="&amp;$A105)</f>
        <v/>
      </c>
      <c r="Y105" s="249">
        <f>SUMIFS('09_CF_원금'!$E$6:$E$92,'09_CF_원금'!$D$6:$D$92,"미장",'09_CF_원금'!$A$6:$A$92,"&lt;="&amp;$A105)-SUMIFS('09_CF_원금'!$E$6:$E$92,'09_CF_원금'!$C$6:$C$92,"미장",'09_CF_원금'!$A$6:$A$92,"&lt;="&amp;$A105)</f>
        <v/>
      </c>
      <c r="Z105" s="249">
        <f>SUMIFS('09_CF_원금'!$E$6:$E$92,'09_CF_원금'!$D$6:$D$92,"ISA",'09_CF_원금'!$A$6:$A$92,"&lt;="&amp;$A105)-SUMIFS('09_CF_원금'!$E$6:$E$92,'09_CF_원금'!$C$6:$C$92,"ISA",'09_CF_원금'!$A$6:$A$92,"&lt;="&amp;$A105)</f>
        <v/>
      </c>
      <c r="AA105" s="249">
        <f>IF($A105="","",X105+Y105+Z105+SUMIFS('09_CF_원금'!$E$6:$E$92,'09_CF_원금'!$D$6:$D$92,"중국",'09_CF_원금'!$A$6:$A$92,"&lt;="&amp;$A105)-SUMIFS('09_CF_원금'!$E$6:$E$92,'09_CF_원금'!$C$6:$C$92,"중국",'09_CF_원금'!$A$6:$A$92,"&lt;="&amp;$A105)+SUMIFS('09_CF_원금'!$E$6:$E$92,'09_CF_원금'!$D$6:$D$92,"업비트",'09_CF_원금'!$A$6:$A$92,"&lt;="&amp;$A105)-SUMIFS('09_CF_원금'!$E$6:$E$92,'09_CF_원금'!$C$6:$C$92,"업비트",'09_CF_원금'!$A$6:$A$92,"&lt;="&amp;$A105))</f>
        <v/>
      </c>
      <c r="AB105" s="249">
        <f>IF(OR(U105="",V105=""),"",U105-(V105-IF(S105="",0,S105)))</f>
        <v/>
      </c>
      <c r="AC105" s="249">
        <f>IF(AB105="","",T105+AB105)</f>
        <v/>
      </c>
      <c r="AD105" s="249">
        <f>IF(B105="","",MAX($B$5:B105))</f>
        <v/>
      </c>
      <c r="AE105" s="256" t="n"/>
      <c r="AF105" s="255" t="n"/>
      <c r="AG105" s="255" t="n"/>
      <c r="AH105" s="255" t="n"/>
      <c r="AI105" s="255" t="n"/>
      <c r="AJ105" s="257">
        <f>IF($A105="","",YEAR($A105)*100+MONTH($A105))</f>
        <v/>
      </c>
      <c r="AK105" s="257">
        <f>IF($A105="","",IF($N105="",0,1))</f>
        <v/>
      </c>
    </row>
    <row r="106">
      <c r="A106" s="247" t="n">
        <v>46149</v>
      </c>
      <c r="B106" s="248">
        <f>IF(V106&lt;&gt;"",V106-T106,IF(AF106&lt;&gt;"",AA106+AF106,""))</f>
        <v/>
      </c>
      <c r="C106" s="249">
        <f>IF(OR(B106="",B105=""),"",B106-B105)</f>
        <v/>
      </c>
      <c r="D106" s="248">
        <f>IF(OR(B106="",AA106=""),"",B106-AA106)</f>
        <v/>
      </c>
      <c r="E106" s="250">
        <f>IF(OR(B106="",AD106=0),"",MIN(0,B106/AD106-1))</f>
        <v/>
      </c>
      <c r="F106" s="250">
        <f>IF(OR(U106="",T106=0,T106=""),"",(P106-T106*1.4)/U106)</f>
        <v/>
      </c>
      <c r="G106" s="251">
        <f>IF(OR(AC106="",'09_CF_원금'!$B$108=0),"",AC106/'09_CF_원금'!$B$108)</f>
        <v/>
      </c>
      <c r="H106" s="250">
        <f>IF(OR(U106="",U106=0,AC106=""),"",AC106/U106)</f>
        <v/>
      </c>
      <c r="I106" s="250">
        <f>IF(OR(S106="",U106=""),"",S106/(U106+S106))</f>
        <v/>
      </c>
      <c r="J106" s="248">
        <f>IF(W106&lt;&gt;"",W106-X106,IF(AG106&lt;&gt;"",AG106,""))</f>
        <v/>
      </c>
      <c r="K106" s="248">
        <f>IF(Q106&lt;&gt;"",Q106-Y106,IF(AH106&lt;&gt;"",AH106,""))</f>
        <v/>
      </c>
      <c r="L106" s="248">
        <f>IF(R106&lt;&gt;"",R106-Z106,IF(AI106&lt;&gt;"",AI106,""))</f>
        <v/>
      </c>
      <c r="M106" s="252" t="n"/>
      <c r="N106" s="253" t="n"/>
      <c r="O106" s="254" t="n"/>
      <c r="P106" s="255" t="n"/>
      <c r="Q106" s="258">
        <f>IF($A106="","",IF(Q105="","",Q105))</f>
        <v/>
      </c>
      <c r="R106" s="258">
        <f>IF($A106="","",IF(R105="","",R105))</f>
        <v/>
      </c>
      <c r="S106" s="258">
        <f>IF($A106="","",IF(S105="","",S105))</f>
        <v/>
      </c>
      <c r="T106" s="249">
        <f>IF(OR(P106="",W106=""),"",P106-W106)</f>
        <v/>
      </c>
      <c r="U106" s="258">
        <f>IF($A106="","",IF(U105="","",U105))</f>
        <v/>
      </c>
      <c r="V106" s="249">
        <f>IF(P106="","",P106+IF(Q106="",0,Q106)+IF(R106="",0,R106))</f>
        <v/>
      </c>
      <c r="W106" s="255" t="n"/>
      <c r="X106" s="249">
        <f>SUMIFS('09_CF_원금'!$E$6:$E$92,'09_CF_원금'!$D$6:$D$92,"국장",'09_CF_원금'!$A$6:$A$92,"&lt;="&amp;$A106)-SUMIFS('09_CF_원금'!$E$6:$E$92,'09_CF_원금'!$C$6:$C$92,"국장",'09_CF_원금'!$A$6:$A$92,"&lt;="&amp;$A106)</f>
        <v/>
      </c>
      <c r="Y106" s="249">
        <f>SUMIFS('09_CF_원금'!$E$6:$E$92,'09_CF_원금'!$D$6:$D$92,"미장",'09_CF_원금'!$A$6:$A$92,"&lt;="&amp;$A106)-SUMIFS('09_CF_원금'!$E$6:$E$92,'09_CF_원금'!$C$6:$C$92,"미장",'09_CF_원금'!$A$6:$A$92,"&lt;="&amp;$A106)</f>
        <v/>
      </c>
      <c r="Z106" s="249">
        <f>SUMIFS('09_CF_원금'!$E$6:$E$92,'09_CF_원금'!$D$6:$D$92,"ISA",'09_CF_원금'!$A$6:$A$92,"&lt;="&amp;$A106)-SUMIFS('09_CF_원금'!$E$6:$E$92,'09_CF_원금'!$C$6:$C$92,"ISA",'09_CF_원금'!$A$6:$A$92,"&lt;="&amp;$A106)</f>
        <v/>
      </c>
      <c r="AA106" s="249">
        <f>IF($A106="","",X106+Y106+Z106+SUMIFS('09_CF_원금'!$E$6:$E$92,'09_CF_원금'!$D$6:$D$92,"중국",'09_CF_원금'!$A$6:$A$92,"&lt;="&amp;$A106)-SUMIFS('09_CF_원금'!$E$6:$E$92,'09_CF_원금'!$C$6:$C$92,"중국",'09_CF_원금'!$A$6:$A$92,"&lt;="&amp;$A106)+SUMIFS('09_CF_원금'!$E$6:$E$92,'09_CF_원금'!$D$6:$D$92,"업비트",'09_CF_원금'!$A$6:$A$92,"&lt;="&amp;$A106)-SUMIFS('09_CF_원금'!$E$6:$E$92,'09_CF_원금'!$C$6:$C$92,"업비트",'09_CF_원금'!$A$6:$A$92,"&lt;="&amp;$A106))</f>
        <v/>
      </c>
      <c r="AB106" s="249">
        <f>IF(OR(U106="",V106=""),"",U106-(V106-IF(S106="",0,S106)))</f>
        <v/>
      </c>
      <c r="AC106" s="249">
        <f>IF(AB106="","",T106+AB106)</f>
        <v/>
      </c>
      <c r="AD106" s="249">
        <f>IF(B106="","",MAX($B$5:B106))</f>
        <v/>
      </c>
      <c r="AE106" s="256" t="n"/>
      <c r="AF106" s="255" t="n"/>
      <c r="AG106" s="255" t="n"/>
      <c r="AH106" s="255" t="n"/>
      <c r="AI106" s="255" t="n"/>
      <c r="AJ106" s="257">
        <f>IF($A106="","",YEAR($A106)*100+MONTH($A106))</f>
        <v/>
      </c>
      <c r="AK106" s="257">
        <f>IF($A106="","",IF($N106="",0,1))</f>
        <v/>
      </c>
    </row>
    <row r="107">
      <c r="A107" s="247" t="n">
        <v>46150</v>
      </c>
      <c r="B107" s="248">
        <f>IF(V107&lt;&gt;"",V107-T107,IF(AF107&lt;&gt;"",AA107+AF107,""))</f>
        <v/>
      </c>
      <c r="C107" s="249">
        <f>IF(OR(B107="",B106=""),"",B107-B106)</f>
        <v/>
      </c>
      <c r="D107" s="248">
        <f>IF(OR(B107="",AA107=""),"",B107-AA107)</f>
        <v/>
      </c>
      <c r="E107" s="250">
        <f>IF(OR(B107="",AD107=0),"",MIN(0,B107/AD107-1))</f>
        <v/>
      </c>
      <c r="F107" s="250">
        <f>IF(OR(U107="",T107=0,T107=""),"",(P107-T107*1.4)/U107)</f>
        <v/>
      </c>
      <c r="G107" s="251">
        <f>IF(OR(AC107="",'09_CF_원금'!$B$108=0),"",AC107/'09_CF_원금'!$B$108)</f>
        <v/>
      </c>
      <c r="H107" s="250">
        <f>IF(OR(U107="",U107=0,AC107=""),"",AC107/U107)</f>
        <v/>
      </c>
      <c r="I107" s="250">
        <f>IF(OR(S107="",U107=""),"",S107/(U107+S107))</f>
        <v/>
      </c>
      <c r="J107" s="248">
        <f>IF(W107&lt;&gt;"",W107-X107,IF(AG107&lt;&gt;"",AG107,""))</f>
        <v/>
      </c>
      <c r="K107" s="248">
        <f>IF(Q107&lt;&gt;"",Q107-Y107,IF(AH107&lt;&gt;"",AH107,""))</f>
        <v/>
      </c>
      <c r="L107" s="248">
        <f>IF(R107&lt;&gt;"",R107-Z107,IF(AI107&lt;&gt;"",AI107,""))</f>
        <v/>
      </c>
      <c r="M107" s="252" t="n"/>
      <c r="N107" s="253" t="n"/>
      <c r="O107" s="254" t="n"/>
      <c r="P107" s="255" t="n"/>
      <c r="Q107" s="258">
        <f>IF($A107="","",IF(Q106="","",Q106))</f>
        <v/>
      </c>
      <c r="R107" s="258">
        <f>IF($A107="","",IF(R106="","",R106))</f>
        <v/>
      </c>
      <c r="S107" s="258">
        <f>IF($A107="","",IF(S106="","",S106))</f>
        <v/>
      </c>
      <c r="T107" s="249">
        <f>IF(OR(P107="",W107=""),"",P107-W107)</f>
        <v/>
      </c>
      <c r="U107" s="258">
        <f>IF($A107="","",IF(U106="","",U106))</f>
        <v/>
      </c>
      <c r="V107" s="249">
        <f>IF(P107="","",P107+IF(Q107="",0,Q107)+IF(R107="",0,R107))</f>
        <v/>
      </c>
      <c r="W107" s="255" t="n"/>
      <c r="X107" s="249">
        <f>SUMIFS('09_CF_원금'!$E$6:$E$92,'09_CF_원금'!$D$6:$D$92,"국장",'09_CF_원금'!$A$6:$A$92,"&lt;="&amp;$A107)-SUMIFS('09_CF_원금'!$E$6:$E$92,'09_CF_원금'!$C$6:$C$92,"국장",'09_CF_원금'!$A$6:$A$92,"&lt;="&amp;$A107)</f>
        <v/>
      </c>
      <c r="Y107" s="249">
        <f>SUMIFS('09_CF_원금'!$E$6:$E$92,'09_CF_원금'!$D$6:$D$92,"미장",'09_CF_원금'!$A$6:$A$92,"&lt;="&amp;$A107)-SUMIFS('09_CF_원금'!$E$6:$E$92,'09_CF_원금'!$C$6:$C$92,"미장",'09_CF_원금'!$A$6:$A$92,"&lt;="&amp;$A107)</f>
        <v/>
      </c>
      <c r="Z107" s="249">
        <f>SUMIFS('09_CF_원금'!$E$6:$E$92,'09_CF_원금'!$D$6:$D$92,"ISA",'09_CF_원금'!$A$6:$A$92,"&lt;="&amp;$A107)-SUMIFS('09_CF_원금'!$E$6:$E$92,'09_CF_원금'!$C$6:$C$92,"ISA",'09_CF_원금'!$A$6:$A$92,"&lt;="&amp;$A107)</f>
        <v/>
      </c>
      <c r="AA107" s="249">
        <f>IF($A107="","",X107+Y107+Z107+SUMIFS('09_CF_원금'!$E$6:$E$92,'09_CF_원금'!$D$6:$D$92,"중국",'09_CF_원금'!$A$6:$A$92,"&lt;="&amp;$A107)-SUMIFS('09_CF_원금'!$E$6:$E$92,'09_CF_원금'!$C$6:$C$92,"중국",'09_CF_원금'!$A$6:$A$92,"&lt;="&amp;$A107)+SUMIFS('09_CF_원금'!$E$6:$E$92,'09_CF_원금'!$D$6:$D$92,"업비트",'09_CF_원금'!$A$6:$A$92,"&lt;="&amp;$A107)-SUMIFS('09_CF_원금'!$E$6:$E$92,'09_CF_원금'!$C$6:$C$92,"업비트",'09_CF_원금'!$A$6:$A$92,"&lt;="&amp;$A107))</f>
        <v/>
      </c>
      <c r="AB107" s="249">
        <f>IF(OR(U107="",V107=""),"",U107-(V107-IF(S107="",0,S107)))</f>
        <v/>
      </c>
      <c r="AC107" s="249">
        <f>IF(AB107="","",T107+AB107)</f>
        <v/>
      </c>
      <c r="AD107" s="249">
        <f>IF(B107="","",MAX($B$5:B107))</f>
        <v/>
      </c>
      <c r="AE107" s="256" t="n"/>
      <c r="AF107" s="255" t="n"/>
      <c r="AG107" s="255" t="n"/>
      <c r="AH107" s="255" t="n"/>
      <c r="AI107" s="255" t="n"/>
      <c r="AJ107" s="257">
        <f>IF($A107="","",YEAR($A107)*100+MONTH($A107))</f>
        <v/>
      </c>
      <c r="AK107" s="257">
        <f>IF($A107="","",IF($N107="",0,1))</f>
        <v/>
      </c>
    </row>
    <row r="108">
      <c r="A108" s="247" t="n">
        <v>46153</v>
      </c>
      <c r="B108" s="248">
        <f>IF(V108&lt;&gt;"",V108-T108,IF(AF108&lt;&gt;"",AA108+AF108,""))</f>
        <v/>
      </c>
      <c r="C108" s="249">
        <f>IF(OR(B108="",B107=""),"",B108-B107)</f>
        <v/>
      </c>
      <c r="D108" s="248">
        <f>IF(OR(B108="",AA108=""),"",B108-AA108)</f>
        <v/>
      </c>
      <c r="E108" s="250">
        <f>IF(OR(B108="",AD108=0),"",MIN(0,B108/AD108-1))</f>
        <v/>
      </c>
      <c r="F108" s="250">
        <f>IF(OR(U108="",T108=0,T108=""),"",(P108-T108*1.4)/U108)</f>
        <v/>
      </c>
      <c r="G108" s="251">
        <f>IF(OR(AC108="",'09_CF_원금'!$B$108=0),"",AC108/'09_CF_원금'!$B$108)</f>
        <v/>
      </c>
      <c r="H108" s="250">
        <f>IF(OR(U108="",U108=0,AC108=""),"",AC108/U108)</f>
        <v/>
      </c>
      <c r="I108" s="250">
        <f>IF(OR(S108="",U108=""),"",S108/(U108+S108))</f>
        <v/>
      </c>
      <c r="J108" s="248">
        <f>IF(W108&lt;&gt;"",W108-X108,IF(AG108&lt;&gt;"",AG108,""))</f>
        <v/>
      </c>
      <c r="K108" s="248">
        <f>IF(Q108&lt;&gt;"",Q108-Y108,IF(AH108&lt;&gt;"",AH108,""))</f>
        <v/>
      </c>
      <c r="L108" s="248">
        <f>IF(R108&lt;&gt;"",R108-Z108,IF(AI108&lt;&gt;"",AI108,""))</f>
        <v/>
      </c>
      <c r="M108" s="252" t="n"/>
      <c r="N108" s="253" t="n"/>
      <c r="O108" s="254" t="n"/>
      <c r="P108" s="255" t="n"/>
      <c r="Q108" s="258">
        <f>IF($A108="","",IF(Q107="","",Q107))</f>
        <v/>
      </c>
      <c r="R108" s="258">
        <f>IF($A108="","",IF(R107="","",R107))</f>
        <v/>
      </c>
      <c r="S108" s="258">
        <f>IF($A108="","",IF(S107="","",S107))</f>
        <v/>
      </c>
      <c r="T108" s="249">
        <f>IF(OR(P108="",W108=""),"",P108-W108)</f>
        <v/>
      </c>
      <c r="U108" s="258">
        <f>IF($A108="","",IF(U107="","",U107))</f>
        <v/>
      </c>
      <c r="V108" s="249">
        <f>IF(P108="","",P108+IF(Q108="",0,Q108)+IF(R108="",0,R108))</f>
        <v/>
      </c>
      <c r="W108" s="255" t="n"/>
      <c r="X108" s="249">
        <f>SUMIFS('09_CF_원금'!$E$6:$E$92,'09_CF_원금'!$D$6:$D$92,"국장",'09_CF_원금'!$A$6:$A$92,"&lt;="&amp;$A108)-SUMIFS('09_CF_원금'!$E$6:$E$92,'09_CF_원금'!$C$6:$C$92,"국장",'09_CF_원금'!$A$6:$A$92,"&lt;="&amp;$A108)</f>
        <v/>
      </c>
      <c r="Y108" s="249">
        <f>SUMIFS('09_CF_원금'!$E$6:$E$92,'09_CF_원금'!$D$6:$D$92,"미장",'09_CF_원금'!$A$6:$A$92,"&lt;="&amp;$A108)-SUMIFS('09_CF_원금'!$E$6:$E$92,'09_CF_원금'!$C$6:$C$92,"미장",'09_CF_원금'!$A$6:$A$92,"&lt;="&amp;$A108)</f>
        <v/>
      </c>
      <c r="Z108" s="249">
        <f>SUMIFS('09_CF_원금'!$E$6:$E$92,'09_CF_원금'!$D$6:$D$92,"ISA",'09_CF_원금'!$A$6:$A$92,"&lt;="&amp;$A108)-SUMIFS('09_CF_원금'!$E$6:$E$92,'09_CF_원금'!$C$6:$C$92,"ISA",'09_CF_원금'!$A$6:$A$92,"&lt;="&amp;$A108)</f>
        <v/>
      </c>
      <c r="AA108" s="249">
        <f>IF($A108="","",X108+Y108+Z108+SUMIFS('09_CF_원금'!$E$6:$E$92,'09_CF_원금'!$D$6:$D$92,"중국",'09_CF_원금'!$A$6:$A$92,"&lt;="&amp;$A108)-SUMIFS('09_CF_원금'!$E$6:$E$92,'09_CF_원금'!$C$6:$C$92,"중국",'09_CF_원금'!$A$6:$A$92,"&lt;="&amp;$A108)+SUMIFS('09_CF_원금'!$E$6:$E$92,'09_CF_원금'!$D$6:$D$92,"업비트",'09_CF_원금'!$A$6:$A$92,"&lt;="&amp;$A108)-SUMIFS('09_CF_원금'!$E$6:$E$92,'09_CF_원금'!$C$6:$C$92,"업비트",'09_CF_원금'!$A$6:$A$92,"&lt;="&amp;$A108))</f>
        <v/>
      </c>
      <c r="AB108" s="249">
        <f>IF(OR(U108="",V108=""),"",U108-(V108-IF(S108="",0,S108)))</f>
        <v/>
      </c>
      <c r="AC108" s="249">
        <f>IF(AB108="","",T108+AB108)</f>
        <v/>
      </c>
      <c r="AD108" s="249">
        <f>IF(B108="","",MAX($B$5:B108))</f>
        <v/>
      </c>
      <c r="AE108" s="256" t="n"/>
      <c r="AF108" s="255" t="n"/>
      <c r="AG108" s="255" t="n"/>
      <c r="AH108" s="255" t="n"/>
      <c r="AI108" s="255" t="n"/>
      <c r="AJ108" s="257">
        <f>IF($A108="","",YEAR($A108)*100+MONTH($A108))</f>
        <v/>
      </c>
      <c r="AK108" s="257">
        <f>IF($A108="","",IF($N108="",0,1))</f>
        <v/>
      </c>
    </row>
    <row r="109">
      <c r="A109" s="247" t="n">
        <v>46154</v>
      </c>
      <c r="B109" s="248">
        <f>IF(V109&lt;&gt;"",V109-T109,IF(AF109&lt;&gt;"",AA109+AF109,""))</f>
        <v/>
      </c>
      <c r="C109" s="249">
        <f>IF(OR(B109="",B108=""),"",B109-B108)</f>
        <v/>
      </c>
      <c r="D109" s="248">
        <f>IF(OR(B109="",AA109=""),"",B109-AA109)</f>
        <v/>
      </c>
      <c r="E109" s="250">
        <f>IF(OR(B109="",AD109=0),"",MIN(0,B109/AD109-1))</f>
        <v/>
      </c>
      <c r="F109" s="250">
        <f>IF(OR(U109="",T109=0,T109=""),"",(P109-T109*1.4)/U109)</f>
        <v/>
      </c>
      <c r="G109" s="251">
        <f>IF(OR(AC109="",'09_CF_원금'!$B$108=0),"",AC109/'09_CF_원금'!$B$108)</f>
        <v/>
      </c>
      <c r="H109" s="250">
        <f>IF(OR(U109="",U109=0,AC109=""),"",AC109/U109)</f>
        <v/>
      </c>
      <c r="I109" s="250">
        <f>IF(OR(S109="",U109=""),"",S109/(U109+S109))</f>
        <v/>
      </c>
      <c r="J109" s="248">
        <f>IF(W109&lt;&gt;"",W109-X109,IF(AG109&lt;&gt;"",AG109,""))</f>
        <v/>
      </c>
      <c r="K109" s="248">
        <f>IF(Q109&lt;&gt;"",Q109-Y109,IF(AH109&lt;&gt;"",AH109,""))</f>
        <v/>
      </c>
      <c r="L109" s="248">
        <f>IF(R109&lt;&gt;"",R109-Z109,IF(AI109&lt;&gt;"",AI109,""))</f>
        <v/>
      </c>
      <c r="M109" s="252" t="n"/>
      <c r="N109" s="253" t="n"/>
      <c r="O109" s="254" t="n"/>
      <c r="P109" s="255" t="n"/>
      <c r="Q109" s="258">
        <f>IF($A109="","",IF(Q108="","",Q108))</f>
        <v/>
      </c>
      <c r="R109" s="258">
        <f>IF($A109="","",IF(R108="","",R108))</f>
        <v/>
      </c>
      <c r="S109" s="258">
        <f>IF($A109="","",IF(S108="","",S108))</f>
        <v/>
      </c>
      <c r="T109" s="249">
        <f>IF(OR(P109="",W109=""),"",P109-W109)</f>
        <v/>
      </c>
      <c r="U109" s="258">
        <f>IF($A109="","",IF(U108="","",U108))</f>
        <v/>
      </c>
      <c r="V109" s="249">
        <f>IF(P109="","",P109+IF(Q109="",0,Q109)+IF(R109="",0,R109))</f>
        <v/>
      </c>
      <c r="W109" s="255" t="n"/>
      <c r="X109" s="249">
        <f>SUMIFS('09_CF_원금'!$E$6:$E$92,'09_CF_원금'!$D$6:$D$92,"국장",'09_CF_원금'!$A$6:$A$92,"&lt;="&amp;$A109)-SUMIFS('09_CF_원금'!$E$6:$E$92,'09_CF_원금'!$C$6:$C$92,"국장",'09_CF_원금'!$A$6:$A$92,"&lt;="&amp;$A109)</f>
        <v/>
      </c>
      <c r="Y109" s="249">
        <f>SUMIFS('09_CF_원금'!$E$6:$E$92,'09_CF_원금'!$D$6:$D$92,"미장",'09_CF_원금'!$A$6:$A$92,"&lt;="&amp;$A109)-SUMIFS('09_CF_원금'!$E$6:$E$92,'09_CF_원금'!$C$6:$C$92,"미장",'09_CF_원금'!$A$6:$A$92,"&lt;="&amp;$A109)</f>
        <v/>
      </c>
      <c r="Z109" s="249">
        <f>SUMIFS('09_CF_원금'!$E$6:$E$92,'09_CF_원금'!$D$6:$D$92,"ISA",'09_CF_원금'!$A$6:$A$92,"&lt;="&amp;$A109)-SUMIFS('09_CF_원금'!$E$6:$E$92,'09_CF_원금'!$C$6:$C$92,"ISA",'09_CF_원금'!$A$6:$A$92,"&lt;="&amp;$A109)</f>
        <v/>
      </c>
      <c r="AA109" s="249">
        <f>IF($A109="","",X109+Y109+Z109+SUMIFS('09_CF_원금'!$E$6:$E$92,'09_CF_원금'!$D$6:$D$92,"중국",'09_CF_원금'!$A$6:$A$92,"&lt;="&amp;$A109)-SUMIFS('09_CF_원금'!$E$6:$E$92,'09_CF_원금'!$C$6:$C$92,"중국",'09_CF_원금'!$A$6:$A$92,"&lt;="&amp;$A109)+SUMIFS('09_CF_원금'!$E$6:$E$92,'09_CF_원금'!$D$6:$D$92,"업비트",'09_CF_원금'!$A$6:$A$92,"&lt;="&amp;$A109)-SUMIFS('09_CF_원금'!$E$6:$E$92,'09_CF_원금'!$C$6:$C$92,"업비트",'09_CF_원금'!$A$6:$A$92,"&lt;="&amp;$A109))</f>
        <v/>
      </c>
      <c r="AB109" s="249">
        <f>IF(OR(U109="",V109=""),"",U109-(V109-IF(S109="",0,S109)))</f>
        <v/>
      </c>
      <c r="AC109" s="249">
        <f>IF(AB109="","",T109+AB109)</f>
        <v/>
      </c>
      <c r="AD109" s="249">
        <f>IF(B109="","",MAX($B$5:B109))</f>
        <v/>
      </c>
      <c r="AE109" s="256" t="n"/>
      <c r="AF109" s="255" t="n"/>
      <c r="AG109" s="255" t="n"/>
      <c r="AH109" s="255" t="n"/>
      <c r="AI109" s="255" t="n"/>
      <c r="AJ109" s="257">
        <f>IF($A109="","",YEAR($A109)*100+MONTH($A109))</f>
        <v/>
      </c>
      <c r="AK109" s="257">
        <f>IF($A109="","",IF($N109="",0,1))</f>
        <v/>
      </c>
    </row>
    <row r="110">
      <c r="A110" s="247" t="n">
        <v>46155</v>
      </c>
      <c r="B110" s="248">
        <f>IF(V110&lt;&gt;"",V110-T110,IF(AF110&lt;&gt;"",AA110+AF110,""))</f>
        <v/>
      </c>
      <c r="C110" s="249">
        <f>IF(OR(B110="",B109=""),"",B110-B109)</f>
        <v/>
      </c>
      <c r="D110" s="248">
        <f>IF(OR(B110="",AA110=""),"",B110-AA110)</f>
        <v/>
      </c>
      <c r="E110" s="250">
        <f>IF(OR(B110="",AD110=0),"",MIN(0,B110/AD110-1))</f>
        <v/>
      </c>
      <c r="F110" s="250">
        <f>IF(OR(U110="",T110=0,T110=""),"",(P110-T110*1.4)/U110)</f>
        <v/>
      </c>
      <c r="G110" s="251">
        <f>IF(OR(AC110="",'09_CF_원금'!$B$108=0),"",AC110/'09_CF_원금'!$B$108)</f>
        <v/>
      </c>
      <c r="H110" s="250">
        <f>IF(OR(U110="",U110=0,AC110=""),"",AC110/U110)</f>
        <v/>
      </c>
      <c r="I110" s="250">
        <f>IF(OR(S110="",U110=""),"",S110/(U110+S110))</f>
        <v/>
      </c>
      <c r="J110" s="248">
        <f>IF(W110&lt;&gt;"",W110-X110,IF(AG110&lt;&gt;"",AG110,""))</f>
        <v/>
      </c>
      <c r="K110" s="248">
        <f>IF(Q110&lt;&gt;"",Q110-Y110,IF(AH110&lt;&gt;"",AH110,""))</f>
        <v/>
      </c>
      <c r="L110" s="248">
        <f>IF(R110&lt;&gt;"",R110-Z110,IF(AI110&lt;&gt;"",AI110,""))</f>
        <v/>
      </c>
      <c r="M110" s="252" t="n"/>
      <c r="N110" s="253" t="n"/>
      <c r="O110" s="254" t="n"/>
      <c r="P110" s="255" t="n"/>
      <c r="Q110" s="258">
        <f>IF($A110="","",IF(Q109="","",Q109))</f>
        <v/>
      </c>
      <c r="R110" s="258">
        <f>IF($A110="","",IF(R109="","",R109))</f>
        <v/>
      </c>
      <c r="S110" s="258">
        <f>IF($A110="","",IF(S109="","",S109))</f>
        <v/>
      </c>
      <c r="T110" s="249">
        <f>IF(OR(P110="",W110=""),"",P110-W110)</f>
        <v/>
      </c>
      <c r="U110" s="258">
        <f>IF($A110="","",IF(U109="","",U109))</f>
        <v/>
      </c>
      <c r="V110" s="249">
        <f>IF(P110="","",P110+IF(Q110="",0,Q110)+IF(R110="",0,R110))</f>
        <v/>
      </c>
      <c r="W110" s="255" t="n"/>
      <c r="X110" s="249">
        <f>SUMIFS('09_CF_원금'!$E$6:$E$92,'09_CF_원금'!$D$6:$D$92,"국장",'09_CF_원금'!$A$6:$A$92,"&lt;="&amp;$A110)-SUMIFS('09_CF_원금'!$E$6:$E$92,'09_CF_원금'!$C$6:$C$92,"국장",'09_CF_원금'!$A$6:$A$92,"&lt;="&amp;$A110)</f>
        <v/>
      </c>
      <c r="Y110" s="249">
        <f>SUMIFS('09_CF_원금'!$E$6:$E$92,'09_CF_원금'!$D$6:$D$92,"미장",'09_CF_원금'!$A$6:$A$92,"&lt;="&amp;$A110)-SUMIFS('09_CF_원금'!$E$6:$E$92,'09_CF_원금'!$C$6:$C$92,"미장",'09_CF_원금'!$A$6:$A$92,"&lt;="&amp;$A110)</f>
        <v/>
      </c>
      <c r="Z110" s="249">
        <f>SUMIFS('09_CF_원금'!$E$6:$E$92,'09_CF_원금'!$D$6:$D$92,"ISA",'09_CF_원금'!$A$6:$A$92,"&lt;="&amp;$A110)-SUMIFS('09_CF_원금'!$E$6:$E$92,'09_CF_원금'!$C$6:$C$92,"ISA",'09_CF_원금'!$A$6:$A$92,"&lt;="&amp;$A110)</f>
        <v/>
      </c>
      <c r="AA110" s="249">
        <f>IF($A110="","",X110+Y110+Z110+SUMIFS('09_CF_원금'!$E$6:$E$92,'09_CF_원금'!$D$6:$D$92,"중국",'09_CF_원금'!$A$6:$A$92,"&lt;="&amp;$A110)-SUMIFS('09_CF_원금'!$E$6:$E$92,'09_CF_원금'!$C$6:$C$92,"중국",'09_CF_원금'!$A$6:$A$92,"&lt;="&amp;$A110)+SUMIFS('09_CF_원금'!$E$6:$E$92,'09_CF_원금'!$D$6:$D$92,"업비트",'09_CF_원금'!$A$6:$A$92,"&lt;="&amp;$A110)-SUMIFS('09_CF_원금'!$E$6:$E$92,'09_CF_원금'!$C$6:$C$92,"업비트",'09_CF_원금'!$A$6:$A$92,"&lt;="&amp;$A110))</f>
        <v/>
      </c>
      <c r="AB110" s="249">
        <f>IF(OR(U110="",V110=""),"",U110-(V110-IF(S110="",0,S110)))</f>
        <v/>
      </c>
      <c r="AC110" s="249">
        <f>IF(AB110="","",T110+AB110)</f>
        <v/>
      </c>
      <c r="AD110" s="249">
        <f>IF(B110="","",MAX($B$5:B110))</f>
        <v/>
      </c>
      <c r="AE110" s="256" t="n"/>
      <c r="AF110" s="255" t="n"/>
      <c r="AG110" s="255" t="n"/>
      <c r="AH110" s="255" t="n"/>
      <c r="AI110" s="255" t="n"/>
      <c r="AJ110" s="257">
        <f>IF($A110="","",YEAR($A110)*100+MONTH($A110))</f>
        <v/>
      </c>
      <c r="AK110" s="257">
        <f>IF($A110="","",IF($N110="",0,1))</f>
        <v/>
      </c>
    </row>
    <row r="111">
      <c r="A111" s="247" t="n">
        <v>46156</v>
      </c>
      <c r="B111" s="248">
        <f>IF(V111&lt;&gt;"",V111-T111,IF(AF111&lt;&gt;"",AA111+AF111,""))</f>
        <v/>
      </c>
      <c r="C111" s="249">
        <f>IF(OR(B111="",B110=""),"",B111-B110)</f>
        <v/>
      </c>
      <c r="D111" s="248">
        <f>IF(OR(B111="",AA111=""),"",B111-AA111)</f>
        <v/>
      </c>
      <c r="E111" s="250">
        <f>IF(OR(B111="",AD111=0),"",MIN(0,B111/AD111-1))</f>
        <v/>
      </c>
      <c r="F111" s="250">
        <f>IF(OR(U111="",T111=0,T111=""),"",(P111-T111*1.4)/U111)</f>
        <v/>
      </c>
      <c r="G111" s="251">
        <f>IF(OR(AC111="",'09_CF_원금'!$B$108=0),"",AC111/'09_CF_원금'!$B$108)</f>
        <v/>
      </c>
      <c r="H111" s="250">
        <f>IF(OR(U111="",U111=0,AC111=""),"",AC111/U111)</f>
        <v/>
      </c>
      <c r="I111" s="250">
        <f>IF(OR(S111="",U111=""),"",S111/(U111+S111))</f>
        <v/>
      </c>
      <c r="J111" s="248">
        <f>IF(W111&lt;&gt;"",W111-X111,IF(AG111&lt;&gt;"",AG111,""))</f>
        <v/>
      </c>
      <c r="K111" s="248">
        <f>IF(Q111&lt;&gt;"",Q111-Y111,IF(AH111&lt;&gt;"",AH111,""))</f>
        <v/>
      </c>
      <c r="L111" s="248">
        <f>IF(R111&lt;&gt;"",R111-Z111,IF(AI111&lt;&gt;"",AI111,""))</f>
        <v/>
      </c>
      <c r="M111" s="252" t="n"/>
      <c r="N111" s="253" t="n"/>
      <c r="O111" s="254" t="n"/>
      <c r="P111" s="255" t="n"/>
      <c r="Q111" s="258">
        <f>IF($A111="","",IF(Q110="","",Q110))</f>
        <v/>
      </c>
      <c r="R111" s="258">
        <f>IF($A111="","",IF(R110="","",R110))</f>
        <v/>
      </c>
      <c r="S111" s="258">
        <f>IF($A111="","",IF(S110="","",S110))</f>
        <v/>
      </c>
      <c r="T111" s="249">
        <f>IF(OR(P111="",W111=""),"",P111-W111)</f>
        <v/>
      </c>
      <c r="U111" s="258">
        <f>IF($A111="","",IF(U110="","",U110))</f>
        <v/>
      </c>
      <c r="V111" s="249">
        <f>IF(P111="","",P111+IF(Q111="",0,Q111)+IF(R111="",0,R111))</f>
        <v/>
      </c>
      <c r="W111" s="255" t="n"/>
      <c r="X111" s="249">
        <f>SUMIFS('09_CF_원금'!$E$6:$E$92,'09_CF_원금'!$D$6:$D$92,"국장",'09_CF_원금'!$A$6:$A$92,"&lt;="&amp;$A111)-SUMIFS('09_CF_원금'!$E$6:$E$92,'09_CF_원금'!$C$6:$C$92,"국장",'09_CF_원금'!$A$6:$A$92,"&lt;="&amp;$A111)</f>
        <v/>
      </c>
      <c r="Y111" s="249">
        <f>SUMIFS('09_CF_원금'!$E$6:$E$92,'09_CF_원금'!$D$6:$D$92,"미장",'09_CF_원금'!$A$6:$A$92,"&lt;="&amp;$A111)-SUMIFS('09_CF_원금'!$E$6:$E$92,'09_CF_원금'!$C$6:$C$92,"미장",'09_CF_원금'!$A$6:$A$92,"&lt;="&amp;$A111)</f>
        <v/>
      </c>
      <c r="Z111" s="249">
        <f>SUMIFS('09_CF_원금'!$E$6:$E$92,'09_CF_원금'!$D$6:$D$92,"ISA",'09_CF_원금'!$A$6:$A$92,"&lt;="&amp;$A111)-SUMIFS('09_CF_원금'!$E$6:$E$92,'09_CF_원금'!$C$6:$C$92,"ISA",'09_CF_원금'!$A$6:$A$92,"&lt;="&amp;$A111)</f>
        <v/>
      </c>
      <c r="AA111" s="249">
        <f>IF($A111="","",X111+Y111+Z111+SUMIFS('09_CF_원금'!$E$6:$E$92,'09_CF_원금'!$D$6:$D$92,"중국",'09_CF_원금'!$A$6:$A$92,"&lt;="&amp;$A111)-SUMIFS('09_CF_원금'!$E$6:$E$92,'09_CF_원금'!$C$6:$C$92,"중국",'09_CF_원금'!$A$6:$A$92,"&lt;="&amp;$A111)+SUMIFS('09_CF_원금'!$E$6:$E$92,'09_CF_원금'!$D$6:$D$92,"업비트",'09_CF_원금'!$A$6:$A$92,"&lt;="&amp;$A111)-SUMIFS('09_CF_원금'!$E$6:$E$92,'09_CF_원금'!$C$6:$C$92,"업비트",'09_CF_원금'!$A$6:$A$92,"&lt;="&amp;$A111))</f>
        <v/>
      </c>
      <c r="AB111" s="249">
        <f>IF(OR(U111="",V111=""),"",U111-(V111-IF(S111="",0,S111)))</f>
        <v/>
      </c>
      <c r="AC111" s="249">
        <f>IF(AB111="","",T111+AB111)</f>
        <v/>
      </c>
      <c r="AD111" s="249">
        <f>IF(B111="","",MAX($B$5:B111))</f>
        <v/>
      </c>
      <c r="AE111" s="256" t="n"/>
      <c r="AF111" s="255" t="n"/>
      <c r="AG111" s="255" t="n"/>
      <c r="AH111" s="255" t="n"/>
      <c r="AI111" s="255" t="n"/>
      <c r="AJ111" s="257">
        <f>IF($A111="","",YEAR($A111)*100+MONTH($A111))</f>
        <v/>
      </c>
      <c r="AK111" s="257">
        <f>IF($A111="","",IF($N111="",0,1))</f>
        <v/>
      </c>
    </row>
    <row r="112">
      <c r="A112" s="247" t="n">
        <v>46157</v>
      </c>
      <c r="B112" s="248">
        <f>IF(V112&lt;&gt;"",V112-T112,IF(AF112&lt;&gt;"",AA112+AF112,""))</f>
        <v/>
      </c>
      <c r="C112" s="249">
        <f>IF(OR(B112="",B111=""),"",B112-B111)</f>
        <v/>
      </c>
      <c r="D112" s="248">
        <f>IF(OR(B112="",AA112=""),"",B112-AA112)</f>
        <v/>
      </c>
      <c r="E112" s="250">
        <f>IF(OR(B112="",AD112=0),"",MIN(0,B112/AD112-1))</f>
        <v/>
      </c>
      <c r="F112" s="250">
        <f>IF(OR(U112="",T112=0,T112=""),"",(P112-T112*1.4)/U112)</f>
        <v/>
      </c>
      <c r="G112" s="251">
        <f>IF(OR(AC112="",'09_CF_원금'!$B$108=0),"",AC112/'09_CF_원금'!$B$108)</f>
        <v/>
      </c>
      <c r="H112" s="250">
        <f>IF(OR(U112="",U112=0,AC112=""),"",AC112/U112)</f>
        <v/>
      </c>
      <c r="I112" s="250">
        <f>IF(OR(S112="",U112=""),"",S112/(U112+S112))</f>
        <v/>
      </c>
      <c r="J112" s="248">
        <f>IF(W112&lt;&gt;"",W112-X112,IF(AG112&lt;&gt;"",AG112,""))</f>
        <v/>
      </c>
      <c r="K112" s="248">
        <f>IF(Q112&lt;&gt;"",Q112-Y112,IF(AH112&lt;&gt;"",AH112,""))</f>
        <v/>
      </c>
      <c r="L112" s="248">
        <f>IF(R112&lt;&gt;"",R112-Z112,IF(AI112&lt;&gt;"",AI112,""))</f>
        <v/>
      </c>
      <c r="M112" s="252" t="n"/>
      <c r="N112" s="253" t="n"/>
      <c r="O112" s="254" t="n"/>
      <c r="P112" s="255" t="n"/>
      <c r="Q112" s="258">
        <f>IF($A112="","",IF(Q111="","",Q111))</f>
        <v/>
      </c>
      <c r="R112" s="258">
        <f>IF($A112="","",IF(R111="","",R111))</f>
        <v/>
      </c>
      <c r="S112" s="258">
        <f>IF($A112="","",IF(S111="","",S111))</f>
        <v/>
      </c>
      <c r="T112" s="249">
        <f>IF(OR(P112="",W112=""),"",P112-W112)</f>
        <v/>
      </c>
      <c r="U112" s="258">
        <f>IF($A112="","",IF(U111="","",U111))</f>
        <v/>
      </c>
      <c r="V112" s="249">
        <f>IF(P112="","",P112+IF(Q112="",0,Q112)+IF(R112="",0,R112))</f>
        <v/>
      </c>
      <c r="W112" s="255" t="n"/>
      <c r="X112" s="249">
        <f>SUMIFS('09_CF_원금'!$E$6:$E$92,'09_CF_원금'!$D$6:$D$92,"국장",'09_CF_원금'!$A$6:$A$92,"&lt;="&amp;$A112)-SUMIFS('09_CF_원금'!$E$6:$E$92,'09_CF_원금'!$C$6:$C$92,"국장",'09_CF_원금'!$A$6:$A$92,"&lt;="&amp;$A112)</f>
        <v/>
      </c>
      <c r="Y112" s="249">
        <f>SUMIFS('09_CF_원금'!$E$6:$E$92,'09_CF_원금'!$D$6:$D$92,"미장",'09_CF_원금'!$A$6:$A$92,"&lt;="&amp;$A112)-SUMIFS('09_CF_원금'!$E$6:$E$92,'09_CF_원금'!$C$6:$C$92,"미장",'09_CF_원금'!$A$6:$A$92,"&lt;="&amp;$A112)</f>
        <v/>
      </c>
      <c r="Z112" s="249">
        <f>SUMIFS('09_CF_원금'!$E$6:$E$92,'09_CF_원금'!$D$6:$D$92,"ISA",'09_CF_원금'!$A$6:$A$92,"&lt;="&amp;$A112)-SUMIFS('09_CF_원금'!$E$6:$E$92,'09_CF_원금'!$C$6:$C$92,"ISA",'09_CF_원금'!$A$6:$A$92,"&lt;="&amp;$A112)</f>
        <v/>
      </c>
      <c r="AA112" s="249">
        <f>IF($A112="","",X112+Y112+Z112+SUMIFS('09_CF_원금'!$E$6:$E$92,'09_CF_원금'!$D$6:$D$92,"중국",'09_CF_원금'!$A$6:$A$92,"&lt;="&amp;$A112)-SUMIFS('09_CF_원금'!$E$6:$E$92,'09_CF_원금'!$C$6:$C$92,"중국",'09_CF_원금'!$A$6:$A$92,"&lt;="&amp;$A112)+SUMIFS('09_CF_원금'!$E$6:$E$92,'09_CF_원금'!$D$6:$D$92,"업비트",'09_CF_원금'!$A$6:$A$92,"&lt;="&amp;$A112)-SUMIFS('09_CF_원금'!$E$6:$E$92,'09_CF_원금'!$C$6:$C$92,"업비트",'09_CF_원금'!$A$6:$A$92,"&lt;="&amp;$A112))</f>
        <v/>
      </c>
      <c r="AB112" s="249">
        <f>IF(OR(U112="",V112=""),"",U112-(V112-IF(S112="",0,S112)))</f>
        <v/>
      </c>
      <c r="AC112" s="249">
        <f>IF(AB112="","",T112+AB112)</f>
        <v/>
      </c>
      <c r="AD112" s="249">
        <f>IF(B112="","",MAX($B$5:B112))</f>
        <v/>
      </c>
      <c r="AE112" s="256" t="n"/>
      <c r="AF112" s="255" t="n"/>
      <c r="AG112" s="255" t="n"/>
      <c r="AH112" s="255" t="n"/>
      <c r="AI112" s="255" t="n"/>
      <c r="AJ112" s="257">
        <f>IF($A112="","",YEAR($A112)*100+MONTH($A112))</f>
        <v/>
      </c>
      <c r="AK112" s="257">
        <f>IF($A112="","",IF($N112="",0,1))</f>
        <v/>
      </c>
    </row>
    <row r="113">
      <c r="A113" s="247" t="n">
        <v>46160</v>
      </c>
      <c r="B113" s="248">
        <f>IF(V113&lt;&gt;"",V113-T113,IF(AF113&lt;&gt;"",AA113+AF113,""))</f>
        <v/>
      </c>
      <c r="C113" s="249">
        <f>IF(OR(B113="",B112=""),"",B113-B112)</f>
        <v/>
      </c>
      <c r="D113" s="248">
        <f>IF(OR(B113="",AA113=""),"",B113-AA113)</f>
        <v/>
      </c>
      <c r="E113" s="250">
        <f>IF(OR(B113="",AD113=0),"",MIN(0,B113/AD113-1))</f>
        <v/>
      </c>
      <c r="F113" s="250">
        <f>IF(OR(U113="",T113=0,T113=""),"",(P113-T113*1.4)/U113)</f>
        <v/>
      </c>
      <c r="G113" s="251">
        <f>IF(OR(AC113="",'09_CF_원금'!$B$108=0),"",AC113/'09_CF_원금'!$B$108)</f>
        <v/>
      </c>
      <c r="H113" s="250">
        <f>IF(OR(U113="",U113=0,AC113=""),"",AC113/U113)</f>
        <v/>
      </c>
      <c r="I113" s="250">
        <f>IF(OR(S113="",U113=""),"",S113/(U113+S113))</f>
        <v/>
      </c>
      <c r="J113" s="248">
        <f>IF(W113&lt;&gt;"",W113-X113,IF(AG113&lt;&gt;"",AG113,""))</f>
        <v/>
      </c>
      <c r="K113" s="248">
        <f>IF(Q113&lt;&gt;"",Q113-Y113,IF(AH113&lt;&gt;"",AH113,""))</f>
        <v/>
      </c>
      <c r="L113" s="248">
        <f>IF(R113&lt;&gt;"",R113-Z113,IF(AI113&lt;&gt;"",AI113,""))</f>
        <v/>
      </c>
      <c r="M113" s="252" t="n"/>
      <c r="N113" s="253" t="n"/>
      <c r="O113" s="254" t="n"/>
      <c r="P113" s="255" t="n"/>
      <c r="Q113" s="258">
        <f>IF($A113="","",IF(Q112="","",Q112))</f>
        <v/>
      </c>
      <c r="R113" s="258">
        <f>IF($A113="","",IF(R112="","",R112))</f>
        <v/>
      </c>
      <c r="S113" s="258">
        <f>IF($A113="","",IF(S112="","",S112))</f>
        <v/>
      </c>
      <c r="T113" s="249">
        <f>IF(OR(P113="",W113=""),"",P113-W113)</f>
        <v/>
      </c>
      <c r="U113" s="258">
        <f>IF($A113="","",IF(U112="","",U112))</f>
        <v/>
      </c>
      <c r="V113" s="249">
        <f>IF(P113="","",P113+IF(Q113="",0,Q113)+IF(R113="",0,R113))</f>
        <v/>
      </c>
      <c r="W113" s="255" t="n"/>
      <c r="X113" s="249">
        <f>SUMIFS('09_CF_원금'!$E$6:$E$92,'09_CF_원금'!$D$6:$D$92,"국장",'09_CF_원금'!$A$6:$A$92,"&lt;="&amp;$A113)-SUMIFS('09_CF_원금'!$E$6:$E$92,'09_CF_원금'!$C$6:$C$92,"국장",'09_CF_원금'!$A$6:$A$92,"&lt;="&amp;$A113)</f>
        <v/>
      </c>
      <c r="Y113" s="249">
        <f>SUMIFS('09_CF_원금'!$E$6:$E$92,'09_CF_원금'!$D$6:$D$92,"미장",'09_CF_원금'!$A$6:$A$92,"&lt;="&amp;$A113)-SUMIFS('09_CF_원금'!$E$6:$E$92,'09_CF_원금'!$C$6:$C$92,"미장",'09_CF_원금'!$A$6:$A$92,"&lt;="&amp;$A113)</f>
        <v/>
      </c>
      <c r="Z113" s="249">
        <f>SUMIFS('09_CF_원금'!$E$6:$E$92,'09_CF_원금'!$D$6:$D$92,"ISA",'09_CF_원금'!$A$6:$A$92,"&lt;="&amp;$A113)-SUMIFS('09_CF_원금'!$E$6:$E$92,'09_CF_원금'!$C$6:$C$92,"ISA",'09_CF_원금'!$A$6:$A$92,"&lt;="&amp;$A113)</f>
        <v/>
      </c>
      <c r="AA113" s="249">
        <f>IF($A113="","",X113+Y113+Z113+SUMIFS('09_CF_원금'!$E$6:$E$92,'09_CF_원금'!$D$6:$D$92,"중국",'09_CF_원금'!$A$6:$A$92,"&lt;="&amp;$A113)-SUMIFS('09_CF_원금'!$E$6:$E$92,'09_CF_원금'!$C$6:$C$92,"중국",'09_CF_원금'!$A$6:$A$92,"&lt;="&amp;$A113)+SUMIFS('09_CF_원금'!$E$6:$E$92,'09_CF_원금'!$D$6:$D$92,"업비트",'09_CF_원금'!$A$6:$A$92,"&lt;="&amp;$A113)-SUMIFS('09_CF_원금'!$E$6:$E$92,'09_CF_원금'!$C$6:$C$92,"업비트",'09_CF_원금'!$A$6:$A$92,"&lt;="&amp;$A113))</f>
        <v/>
      </c>
      <c r="AB113" s="249">
        <f>IF(OR(U113="",V113=""),"",U113-(V113-IF(S113="",0,S113)))</f>
        <v/>
      </c>
      <c r="AC113" s="249">
        <f>IF(AB113="","",T113+AB113)</f>
        <v/>
      </c>
      <c r="AD113" s="249">
        <f>IF(B113="","",MAX($B$5:B113))</f>
        <v/>
      </c>
      <c r="AE113" s="256" t="n"/>
      <c r="AF113" s="255" t="n"/>
      <c r="AG113" s="255" t="n"/>
      <c r="AH113" s="255" t="n"/>
      <c r="AI113" s="255" t="n"/>
      <c r="AJ113" s="257">
        <f>IF($A113="","",YEAR($A113)*100+MONTH($A113))</f>
        <v/>
      </c>
      <c r="AK113" s="257">
        <f>IF($A113="","",IF($N113="",0,1))</f>
        <v/>
      </c>
    </row>
    <row r="114">
      <c r="A114" s="247" t="n">
        <v>46161</v>
      </c>
      <c r="B114" s="248">
        <f>IF(V114&lt;&gt;"",V114-T114,IF(AF114&lt;&gt;"",AA114+AF114,""))</f>
        <v/>
      </c>
      <c r="C114" s="249">
        <f>IF(OR(B114="",B113=""),"",B114-B113)</f>
        <v/>
      </c>
      <c r="D114" s="248">
        <f>IF(OR(B114="",AA114=""),"",B114-AA114)</f>
        <v/>
      </c>
      <c r="E114" s="250">
        <f>IF(OR(B114="",AD114=0),"",MIN(0,B114/AD114-1))</f>
        <v/>
      </c>
      <c r="F114" s="250">
        <f>IF(OR(U114="",T114=0,T114=""),"",(P114-T114*1.4)/U114)</f>
        <v/>
      </c>
      <c r="G114" s="251">
        <f>IF(OR(AC114="",'09_CF_원금'!$B$108=0),"",AC114/'09_CF_원금'!$B$108)</f>
        <v/>
      </c>
      <c r="H114" s="250">
        <f>IF(OR(U114="",U114=0,AC114=""),"",AC114/U114)</f>
        <v/>
      </c>
      <c r="I114" s="250">
        <f>IF(OR(S114="",U114=""),"",S114/(U114+S114))</f>
        <v/>
      </c>
      <c r="J114" s="248">
        <f>IF(W114&lt;&gt;"",W114-X114,IF(AG114&lt;&gt;"",AG114,""))</f>
        <v/>
      </c>
      <c r="K114" s="248">
        <f>IF(Q114&lt;&gt;"",Q114-Y114,IF(AH114&lt;&gt;"",AH114,""))</f>
        <v/>
      </c>
      <c r="L114" s="248">
        <f>IF(R114&lt;&gt;"",R114-Z114,IF(AI114&lt;&gt;"",AI114,""))</f>
        <v/>
      </c>
      <c r="M114" s="252" t="n"/>
      <c r="N114" s="253" t="n"/>
      <c r="O114" s="254" t="n"/>
      <c r="P114" s="255" t="n"/>
      <c r="Q114" s="258">
        <f>IF($A114="","",IF(Q113="","",Q113))</f>
        <v/>
      </c>
      <c r="R114" s="258">
        <f>IF($A114="","",IF(R113="","",R113))</f>
        <v/>
      </c>
      <c r="S114" s="258">
        <f>IF($A114="","",IF(S113="","",S113))</f>
        <v/>
      </c>
      <c r="T114" s="249">
        <f>IF(OR(P114="",W114=""),"",P114-W114)</f>
        <v/>
      </c>
      <c r="U114" s="258">
        <f>IF($A114="","",IF(U113="","",U113))</f>
        <v/>
      </c>
      <c r="V114" s="249">
        <f>IF(P114="","",P114+IF(Q114="",0,Q114)+IF(R114="",0,R114))</f>
        <v/>
      </c>
      <c r="W114" s="255" t="n"/>
      <c r="X114" s="249">
        <f>SUMIFS('09_CF_원금'!$E$6:$E$92,'09_CF_원금'!$D$6:$D$92,"국장",'09_CF_원금'!$A$6:$A$92,"&lt;="&amp;$A114)-SUMIFS('09_CF_원금'!$E$6:$E$92,'09_CF_원금'!$C$6:$C$92,"국장",'09_CF_원금'!$A$6:$A$92,"&lt;="&amp;$A114)</f>
        <v/>
      </c>
      <c r="Y114" s="249">
        <f>SUMIFS('09_CF_원금'!$E$6:$E$92,'09_CF_원금'!$D$6:$D$92,"미장",'09_CF_원금'!$A$6:$A$92,"&lt;="&amp;$A114)-SUMIFS('09_CF_원금'!$E$6:$E$92,'09_CF_원금'!$C$6:$C$92,"미장",'09_CF_원금'!$A$6:$A$92,"&lt;="&amp;$A114)</f>
        <v/>
      </c>
      <c r="Z114" s="249">
        <f>SUMIFS('09_CF_원금'!$E$6:$E$92,'09_CF_원금'!$D$6:$D$92,"ISA",'09_CF_원금'!$A$6:$A$92,"&lt;="&amp;$A114)-SUMIFS('09_CF_원금'!$E$6:$E$92,'09_CF_원금'!$C$6:$C$92,"ISA",'09_CF_원금'!$A$6:$A$92,"&lt;="&amp;$A114)</f>
        <v/>
      </c>
      <c r="AA114" s="249">
        <f>IF($A114="","",X114+Y114+Z114+SUMIFS('09_CF_원금'!$E$6:$E$92,'09_CF_원금'!$D$6:$D$92,"중국",'09_CF_원금'!$A$6:$A$92,"&lt;="&amp;$A114)-SUMIFS('09_CF_원금'!$E$6:$E$92,'09_CF_원금'!$C$6:$C$92,"중국",'09_CF_원금'!$A$6:$A$92,"&lt;="&amp;$A114)+SUMIFS('09_CF_원금'!$E$6:$E$92,'09_CF_원금'!$D$6:$D$92,"업비트",'09_CF_원금'!$A$6:$A$92,"&lt;="&amp;$A114)-SUMIFS('09_CF_원금'!$E$6:$E$92,'09_CF_원금'!$C$6:$C$92,"업비트",'09_CF_원금'!$A$6:$A$92,"&lt;="&amp;$A114))</f>
        <v/>
      </c>
      <c r="AB114" s="249">
        <f>IF(OR(U114="",V114=""),"",U114-(V114-IF(S114="",0,S114)))</f>
        <v/>
      </c>
      <c r="AC114" s="249">
        <f>IF(AB114="","",T114+AB114)</f>
        <v/>
      </c>
      <c r="AD114" s="249">
        <f>IF(B114="","",MAX($B$5:B114))</f>
        <v/>
      </c>
      <c r="AE114" s="256" t="n"/>
      <c r="AF114" s="255" t="n"/>
      <c r="AG114" s="255" t="n"/>
      <c r="AH114" s="255" t="n"/>
      <c r="AI114" s="255" t="n"/>
      <c r="AJ114" s="257">
        <f>IF($A114="","",YEAR($A114)*100+MONTH($A114))</f>
        <v/>
      </c>
      <c r="AK114" s="257">
        <f>IF($A114="","",IF($N114="",0,1))</f>
        <v/>
      </c>
    </row>
    <row r="115">
      <c r="A115" s="247" t="n">
        <v>46162</v>
      </c>
      <c r="B115" s="248">
        <f>IF(V115&lt;&gt;"",V115-T115,IF(AF115&lt;&gt;"",AA115+AF115,""))</f>
        <v/>
      </c>
      <c r="C115" s="249">
        <f>IF(OR(B115="",B114=""),"",B115-B114)</f>
        <v/>
      </c>
      <c r="D115" s="248">
        <f>IF(OR(B115="",AA115=""),"",B115-AA115)</f>
        <v/>
      </c>
      <c r="E115" s="250">
        <f>IF(OR(B115="",AD115=0),"",MIN(0,B115/AD115-1))</f>
        <v/>
      </c>
      <c r="F115" s="250">
        <f>IF(OR(U115="",T115=0,T115=""),"",(P115-T115*1.4)/U115)</f>
        <v/>
      </c>
      <c r="G115" s="251">
        <f>IF(OR(AC115="",'09_CF_원금'!$B$108=0),"",AC115/'09_CF_원금'!$B$108)</f>
        <v/>
      </c>
      <c r="H115" s="250">
        <f>IF(OR(U115="",U115=0,AC115=""),"",AC115/U115)</f>
        <v/>
      </c>
      <c r="I115" s="250">
        <f>IF(OR(S115="",U115=""),"",S115/(U115+S115))</f>
        <v/>
      </c>
      <c r="J115" s="248">
        <f>IF(W115&lt;&gt;"",W115-X115,IF(AG115&lt;&gt;"",AG115,""))</f>
        <v/>
      </c>
      <c r="K115" s="248">
        <f>IF(Q115&lt;&gt;"",Q115-Y115,IF(AH115&lt;&gt;"",AH115,""))</f>
        <v/>
      </c>
      <c r="L115" s="248">
        <f>IF(R115&lt;&gt;"",R115-Z115,IF(AI115&lt;&gt;"",AI115,""))</f>
        <v/>
      </c>
      <c r="M115" s="252" t="n"/>
      <c r="N115" s="253" t="n"/>
      <c r="O115" s="254" t="n"/>
      <c r="P115" s="255" t="n"/>
      <c r="Q115" s="258">
        <f>IF($A115="","",IF(Q114="","",Q114))</f>
        <v/>
      </c>
      <c r="R115" s="258">
        <f>IF($A115="","",IF(R114="","",R114))</f>
        <v/>
      </c>
      <c r="S115" s="258">
        <f>IF($A115="","",IF(S114="","",S114))</f>
        <v/>
      </c>
      <c r="T115" s="249">
        <f>IF(OR(P115="",W115=""),"",P115-W115)</f>
        <v/>
      </c>
      <c r="U115" s="258">
        <f>IF($A115="","",IF(U114="","",U114))</f>
        <v/>
      </c>
      <c r="V115" s="249">
        <f>IF(P115="","",P115+IF(Q115="",0,Q115)+IF(R115="",0,R115))</f>
        <v/>
      </c>
      <c r="W115" s="255" t="n"/>
      <c r="X115" s="249">
        <f>SUMIFS('09_CF_원금'!$E$6:$E$92,'09_CF_원금'!$D$6:$D$92,"국장",'09_CF_원금'!$A$6:$A$92,"&lt;="&amp;$A115)-SUMIFS('09_CF_원금'!$E$6:$E$92,'09_CF_원금'!$C$6:$C$92,"국장",'09_CF_원금'!$A$6:$A$92,"&lt;="&amp;$A115)</f>
        <v/>
      </c>
      <c r="Y115" s="249">
        <f>SUMIFS('09_CF_원금'!$E$6:$E$92,'09_CF_원금'!$D$6:$D$92,"미장",'09_CF_원금'!$A$6:$A$92,"&lt;="&amp;$A115)-SUMIFS('09_CF_원금'!$E$6:$E$92,'09_CF_원금'!$C$6:$C$92,"미장",'09_CF_원금'!$A$6:$A$92,"&lt;="&amp;$A115)</f>
        <v/>
      </c>
      <c r="Z115" s="249">
        <f>SUMIFS('09_CF_원금'!$E$6:$E$92,'09_CF_원금'!$D$6:$D$92,"ISA",'09_CF_원금'!$A$6:$A$92,"&lt;="&amp;$A115)-SUMIFS('09_CF_원금'!$E$6:$E$92,'09_CF_원금'!$C$6:$C$92,"ISA",'09_CF_원금'!$A$6:$A$92,"&lt;="&amp;$A115)</f>
        <v/>
      </c>
      <c r="AA115" s="249">
        <f>IF($A115="","",X115+Y115+Z115+SUMIFS('09_CF_원금'!$E$6:$E$92,'09_CF_원금'!$D$6:$D$92,"중국",'09_CF_원금'!$A$6:$A$92,"&lt;="&amp;$A115)-SUMIFS('09_CF_원금'!$E$6:$E$92,'09_CF_원금'!$C$6:$C$92,"중국",'09_CF_원금'!$A$6:$A$92,"&lt;="&amp;$A115)+SUMIFS('09_CF_원금'!$E$6:$E$92,'09_CF_원금'!$D$6:$D$92,"업비트",'09_CF_원금'!$A$6:$A$92,"&lt;="&amp;$A115)-SUMIFS('09_CF_원금'!$E$6:$E$92,'09_CF_원금'!$C$6:$C$92,"업비트",'09_CF_원금'!$A$6:$A$92,"&lt;="&amp;$A115))</f>
        <v/>
      </c>
      <c r="AB115" s="249">
        <f>IF(OR(U115="",V115=""),"",U115-(V115-IF(S115="",0,S115)))</f>
        <v/>
      </c>
      <c r="AC115" s="249">
        <f>IF(AB115="","",T115+AB115)</f>
        <v/>
      </c>
      <c r="AD115" s="249">
        <f>IF(B115="","",MAX($B$5:B115))</f>
        <v/>
      </c>
      <c r="AE115" s="256" t="n"/>
      <c r="AF115" s="255" t="n"/>
      <c r="AG115" s="255" t="n"/>
      <c r="AH115" s="255" t="n"/>
      <c r="AI115" s="255" t="n"/>
      <c r="AJ115" s="257">
        <f>IF($A115="","",YEAR($A115)*100+MONTH($A115))</f>
        <v/>
      </c>
      <c r="AK115" s="257">
        <f>IF($A115="","",IF($N115="",0,1))</f>
        <v/>
      </c>
    </row>
    <row r="116">
      <c r="A116" s="247" t="n">
        <v>46163</v>
      </c>
      <c r="B116" s="248">
        <f>IF(V116&lt;&gt;"",V116-T116,IF(AF116&lt;&gt;"",AA116+AF116,""))</f>
        <v/>
      </c>
      <c r="C116" s="249">
        <f>IF(OR(B116="",B115=""),"",B116-B115)</f>
        <v/>
      </c>
      <c r="D116" s="248">
        <f>IF(OR(B116="",AA116=""),"",B116-AA116)</f>
        <v/>
      </c>
      <c r="E116" s="250">
        <f>IF(OR(B116="",AD116=0),"",MIN(0,B116/AD116-1))</f>
        <v/>
      </c>
      <c r="F116" s="250">
        <f>IF(OR(U116="",T116=0,T116=""),"",(P116-T116*1.4)/U116)</f>
        <v/>
      </c>
      <c r="G116" s="251">
        <f>IF(OR(AC116="",'09_CF_원금'!$B$108=0),"",AC116/'09_CF_원금'!$B$108)</f>
        <v/>
      </c>
      <c r="H116" s="250">
        <f>IF(OR(U116="",U116=0,AC116=""),"",AC116/U116)</f>
        <v/>
      </c>
      <c r="I116" s="250">
        <f>IF(OR(S116="",U116=""),"",S116/(U116+S116))</f>
        <v/>
      </c>
      <c r="J116" s="248">
        <f>IF(W116&lt;&gt;"",W116-X116,IF(AG116&lt;&gt;"",AG116,""))</f>
        <v/>
      </c>
      <c r="K116" s="248">
        <f>IF(Q116&lt;&gt;"",Q116-Y116,IF(AH116&lt;&gt;"",AH116,""))</f>
        <v/>
      </c>
      <c r="L116" s="248">
        <f>IF(R116&lt;&gt;"",R116-Z116,IF(AI116&lt;&gt;"",AI116,""))</f>
        <v/>
      </c>
      <c r="M116" s="252" t="n"/>
      <c r="N116" s="253" t="n"/>
      <c r="O116" s="254" t="n"/>
      <c r="P116" s="255" t="n"/>
      <c r="Q116" s="258">
        <f>IF($A116="","",IF(Q115="","",Q115))</f>
        <v/>
      </c>
      <c r="R116" s="258">
        <f>IF($A116="","",IF(R115="","",R115))</f>
        <v/>
      </c>
      <c r="S116" s="258">
        <f>IF($A116="","",IF(S115="","",S115))</f>
        <v/>
      </c>
      <c r="T116" s="249">
        <f>IF(OR(P116="",W116=""),"",P116-W116)</f>
        <v/>
      </c>
      <c r="U116" s="258">
        <f>IF($A116="","",IF(U115="","",U115))</f>
        <v/>
      </c>
      <c r="V116" s="249">
        <f>IF(P116="","",P116+IF(Q116="",0,Q116)+IF(R116="",0,R116))</f>
        <v/>
      </c>
      <c r="W116" s="255" t="n"/>
      <c r="X116" s="249">
        <f>SUMIFS('09_CF_원금'!$E$6:$E$92,'09_CF_원금'!$D$6:$D$92,"국장",'09_CF_원금'!$A$6:$A$92,"&lt;="&amp;$A116)-SUMIFS('09_CF_원금'!$E$6:$E$92,'09_CF_원금'!$C$6:$C$92,"국장",'09_CF_원금'!$A$6:$A$92,"&lt;="&amp;$A116)</f>
        <v/>
      </c>
      <c r="Y116" s="249">
        <f>SUMIFS('09_CF_원금'!$E$6:$E$92,'09_CF_원금'!$D$6:$D$92,"미장",'09_CF_원금'!$A$6:$A$92,"&lt;="&amp;$A116)-SUMIFS('09_CF_원금'!$E$6:$E$92,'09_CF_원금'!$C$6:$C$92,"미장",'09_CF_원금'!$A$6:$A$92,"&lt;="&amp;$A116)</f>
        <v/>
      </c>
      <c r="Z116" s="249">
        <f>SUMIFS('09_CF_원금'!$E$6:$E$92,'09_CF_원금'!$D$6:$D$92,"ISA",'09_CF_원금'!$A$6:$A$92,"&lt;="&amp;$A116)-SUMIFS('09_CF_원금'!$E$6:$E$92,'09_CF_원금'!$C$6:$C$92,"ISA",'09_CF_원금'!$A$6:$A$92,"&lt;="&amp;$A116)</f>
        <v/>
      </c>
      <c r="AA116" s="249">
        <f>IF($A116="","",X116+Y116+Z116+SUMIFS('09_CF_원금'!$E$6:$E$92,'09_CF_원금'!$D$6:$D$92,"중국",'09_CF_원금'!$A$6:$A$92,"&lt;="&amp;$A116)-SUMIFS('09_CF_원금'!$E$6:$E$92,'09_CF_원금'!$C$6:$C$92,"중국",'09_CF_원금'!$A$6:$A$92,"&lt;="&amp;$A116)+SUMIFS('09_CF_원금'!$E$6:$E$92,'09_CF_원금'!$D$6:$D$92,"업비트",'09_CF_원금'!$A$6:$A$92,"&lt;="&amp;$A116)-SUMIFS('09_CF_원금'!$E$6:$E$92,'09_CF_원금'!$C$6:$C$92,"업비트",'09_CF_원금'!$A$6:$A$92,"&lt;="&amp;$A116))</f>
        <v/>
      </c>
      <c r="AB116" s="249">
        <f>IF(OR(U116="",V116=""),"",U116-(V116-IF(S116="",0,S116)))</f>
        <v/>
      </c>
      <c r="AC116" s="249">
        <f>IF(AB116="","",T116+AB116)</f>
        <v/>
      </c>
      <c r="AD116" s="249">
        <f>IF(B116="","",MAX($B$5:B116))</f>
        <v/>
      </c>
      <c r="AE116" s="256" t="n"/>
      <c r="AF116" s="255" t="n"/>
      <c r="AG116" s="255" t="n"/>
      <c r="AH116" s="255" t="n"/>
      <c r="AI116" s="255" t="n"/>
      <c r="AJ116" s="257">
        <f>IF($A116="","",YEAR($A116)*100+MONTH($A116))</f>
        <v/>
      </c>
      <c r="AK116" s="257">
        <f>IF($A116="","",IF($N116="",0,1))</f>
        <v/>
      </c>
    </row>
    <row r="117">
      <c r="A117" s="247" t="n">
        <v>46164</v>
      </c>
      <c r="B117" s="248">
        <f>IF(V117&lt;&gt;"",V117-T117,IF(AF117&lt;&gt;"",AA117+AF117,""))</f>
        <v/>
      </c>
      <c r="C117" s="249">
        <f>IF(OR(B117="",B116=""),"",B117-B116)</f>
        <v/>
      </c>
      <c r="D117" s="248">
        <f>IF(OR(B117="",AA117=""),"",B117-AA117)</f>
        <v/>
      </c>
      <c r="E117" s="250">
        <f>IF(OR(B117="",AD117=0),"",MIN(0,B117/AD117-1))</f>
        <v/>
      </c>
      <c r="F117" s="250">
        <f>IF(OR(U117="",T117=0,T117=""),"",(P117-T117*1.4)/U117)</f>
        <v/>
      </c>
      <c r="G117" s="251">
        <f>IF(OR(AC117="",'09_CF_원금'!$B$108=0),"",AC117/'09_CF_원금'!$B$108)</f>
        <v/>
      </c>
      <c r="H117" s="250">
        <f>IF(OR(U117="",U117=0,AC117=""),"",AC117/U117)</f>
        <v/>
      </c>
      <c r="I117" s="250">
        <f>IF(OR(S117="",U117=""),"",S117/(U117+S117))</f>
        <v/>
      </c>
      <c r="J117" s="248">
        <f>IF(W117&lt;&gt;"",W117-X117,IF(AG117&lt;&gt;"",AG117,""))</f>
        <v/>
      </c>
      <c r="K117" s="248">
        <f>IF(Q117&lt;&gt;"",Q117-Y117,IF(AH117&lt;&gt;"",AH117,""))</f>
        <v/>
      </c>
      <c r="L117" s="248">
        <f>IF(R117&lt;&gt;"",R117-Z117,IF(AI117&lt;&gt;"",AI117,""))</f>
        <v/>
      </c>
      <c r="M117" s="252" t="n"/>
      <c r="N117" s="253" t="n"/>
      <c r="O117" s="254" t="n"/>
      <c r="P117" s="255" t="n"/>
      <c r="Q117" s="258">
        <f>IF($A117="","",IF(Q116="","",Q116))</f>
        <v/>
      </c>
      <c r="R117" s="258">
        <f>IF($A117="","",IF(R116="","",R116))</f>
        <v/>
      </c>
      <c r="S117" s="258">
        <f>IF($A117="","",IF(S116="","",S116))</f>
        <v/>
      </c>
      <c r="T117" s="249">
        <f>IF(OR(P117="",W117=""),"",P117-W117)</f>
        <v/>
      </c>
      <c r="U117" s="258">
        <f>IF($A117="","",IF(U116="","",U116))</f>
        <v/>
      </c>
      <c r="V117" s="249">
        <f>IF(P117="","",P117+IF(Q117="",0,Q117)+IF(R117="",0,R117))</f>
        <v/>
      </c>
      <c r="W117" s="255" t="n"/>
      <c r="X117" s="249">
        <f>SUMIFS('09_CF_원금'!$E$6:$E$92,'09_CF_원금'!$D$6:$D$92,"국장",'09_CF_원금'!$A$6:$A$92,"&lt;="&amp;$A117)-SUMIFS('09_CF_원금'!$E$6:$E$92,'09_CF_원금'!$C$6:$C$92,"국장",'09_CF_원금'!$A$6:$A$92,"&lt;="&amp;$A117)</f>
        <v/>
      </c>
      <c r="Y117" s="249">
        <f>SUMIFS('09_CF_원금'!$E$6:$E$92,'09_CF_원금'!$D$6:$D$92,"미장",'09_CF_원금'!$A$6:$A$92,"&lt;="&amp;$A117)-SUMIFS('09_CF_원금'!$E$6:$E$92,'09_CF_원금'!$C$6:$C$92,"미장",'09_CF_원금'!$A$6:$A$92,"&lt;="&amp;$A117)</f>
        <v/>
      </c>
      <c r="Z117" s="249">
        <f>SUMIFS('09_CF_원금'!$E$6:$E$92,'09_CF_원금'!$D$6:$D$92,"ISA",'09_CF_원금'!$A$6:$A$92,"&lt;="&amp;$A117)-SUMIFS('09_CF_원금'!$E$6:$E$92,'09_CF_원금'!$C$6:$C$92,"ISA",'09_CF_원금'!$A$6:$A$92,"&lt;="&amp;$A117)</f>
        <v/>
      </c>
      <c r="AA117" s="249">
        <f>IF($A117="","",X117+Y117+Z117+SUMIFS('09_CF_원금'!$E$6:$E$92,'09_CF_원금'!$D$6:$D$92,"중국",'09_CF_원금'!$A$6:$A$92,"&lt;="&amp;$A117)-SUMIFS('09_CF_원금'!$E$6:$E$92,'09_CF_원금'!$C$6:$C$92,"중국",'09_CF_원금'!$A$6:$A$92,"&lt;="&amp;$A117)+SUMIFS('09_CF_원금'!$E$6:$E$92,'09_CF_원금'!$D$6:$D$92,"업비트",'09_CF_원금'!$A$6:$A$92,"&lt;="&amp;$A117)-SUMIFS('09_CF_원금'!$E$6:$E$92,'09_CF_원금'!$C$6:$C$92,"업비트",'09_CF_원금'!$A$6:$A$92,"&lt;="&amp;$A117))</f>
        <v/>
      </c>
      <c r="AB117" s="249">
        <f>IF(OR(U117="",V117=""),"",U117-(V117-IF(S117="",0,S117)))</f>
        <v/>
      </c>
      <c r="AC117" s="249">
        <f>IF(AB117="","",T117+AB117)</f>
        <v/>
      </c>
      <c r="AD117" s="249">
        <f>IF(B117="","",MAX($B$5:B117))</f>
        <v/>
      </c>
      <c r="AE117" s="256" t="n"/>
      <c r="AF117" s="255" t="n"/>
      <c r="AG117" s="255" t="n"/>
      <c r="AH117" s="255" t="n"/>
      <c r="AI117" s="255" t="n"/>
      <c r="AJ117" s="257">
        <f>IF($A117="","",YEAR($A117)*100+MONTH($A117))</f>
        <v/>
      </c>
      <c r="AK117" s="257">
        <f>IF($A117="","",IF($N117="",0,1))</f>
        <v/>
      </c>
    </row>
    <row r="118">
      <c r="A118" s="247" t="n">
        <v>46167</v>
      </c>
      <c r="B118" s="248">
        <f>IF(V118&lt;&gt;"",V118-T118,IF(AF118&lt;&gt;"",AA118+AF118,""))</f>
        <v/>
      </c>
      <c r="C118" s="249">
        <f>IF(OR(B118="",B117=""),"",B118-B117)</f>
        <v/>
      </c>
      <c r="D118" s="248">
        <f>IF(OR(B118="",AA118=""),"",B118-AA118)</f>
        <v/>
      </c>
      <c r="E118" s="250">
        <f>IF(OR(B118="",AD118=0),"",MIN(0,B118/AD118-1))</f>
        <v/>
      </c>
      <c r="F118" s="250">
        <f>IF(OR(U118="",T118=0,T118=""),"",(P118-T118*1.4)/U118)</f>
        <v/>
      </c>
      <c r="G118" s="251">
        <f>IF(OR(AC118="",'09_CF_원금'!$B$108=0),"",AC118/'09_CF_원금'!$B$108)</f>
        <v/>
      </c>
      <c r="H118" s="250">
        <f>IF(OR(U118="",U118=0,AC118=""),"",AC118/U118)</f>
        <v/>
      </c>
      <c r="I118" s="250">
        <f>IF(OR(S118="",U118=""),"",S118/(U118+S118))</f>
        <v/>
      </c>
      <c r="J118" s="248">
        <f>IF(W118&lt;&gt;"",W118-X118,IF(AG118&lt;&gt;"",AG118,""))</f>
        <v/>
      </c>
      <c r="K118" s="248">
        <f>IF(Q118&lt;&gt;"",Q118-Y118,IF(AH118&lt;&gt;"",AH118,""))</f>
        <v/>
      </c>
      <c r="L118" s="248">
        <f>IF(R118&lt;&gt;"",R118-Z118,IF(AI118&lt;&gt;"",AI118,""))</f>
        <v/>
      </c>
      <c r="M118" s="252" t="n"/>
      <c r="N118" s="253" t="n"/>
      <c r="O118" s="254" t="n"/>
      <c r="P118" s="255" t="n"/>
      <c r="Q118" s="258">
        <f>IF($A118="","",IF(Q117="","",Q117))</f>
        <v/>
      </c>
      <c r="R118" s="258">
        <f>IF($A118="","",IF(R117="","",R117))</f>
        <v/>
      </c>
      <c r="S118" s="258">
        <f>IF($A118="","",IF(S117="","",S117))</f>
        <v/>
      </c>
      <c r="T118" s="249">
        <f>IF(OR(P118="",W118=""),"",P118-W118)</f>
        <v/>
      </c>
      <c r="U118" s="258">
        <f>IF($A118="","",IF(U117="","",U117))</f>
        <v/>
      </c>
      <c r="V118" s="249">
        <f>IF(P118="","",P118+IF(Q118="",0,Q118)+IF(R118="",0,R118))</f>
        <v/>
      </c>
      <c r="W118" s="255" t="n"/>
      <c r="X118" s="249">
        <f>SUMIFS('09_CF_원금'!$E$6:$E$92,'09_CF_원금'!$D$6:$D$92,"국장",'09_CF_원금'!$A$6:$A$92,"&lt;="&amp;$A118)-SUMIFS('09_CF_원금'!$E$6:$E$92,'09_CF_원금'!$C$6:$C$92,"국장",'09_CF_원금'!$A$6:$A$92,"&lt;="&amp;$A118)</f>
        <v/>
      </c>
      <c r="Y118" s="249">
        <f>SUMIFS('09_CF_원금'!$E$6:$E$92,'09_CF_원금'!$D$6:$D$92,"미장",'09_CF_원금'!$A$6:$A$92,"&lt;="&amp;$A118)-SUMIFS('09_CF_원금'!$E$6:$E$92,'09_CF_원금'!$C$6:$C$92,"미장",'09_CF_원금'!$A$6:$A$92,"&lt;="&amp;$A118)</f>
        <v/>
      </c>
      <c r="Z118" s="249">
        <f>SUMIFS('09_CF_원금'!$E$6:$E$92,'09_CF_원금'!$D$6:$D$92,"ISA",'09_CF_원금'!$A$6:$A$92,"&lt;="&amp;$A118)-SUMIFS('09_CF_원금'!$E$6:$E$92,'09_CF_원금'!$C$6:$C$92,"ISA",'09_CF_원금'!$A$6:$A$92,"&lt;="&amp;$A118)</f>
        <v/>
      </c>
      <c r="AA118" s="249">
        <f>IF($A118="","",X118+Y118+Z118+SUMIFS('09_CF_원금'!$E$6:$E$92,'09_CF_원금'!$D$6:$D$92,"중국",'09_CF_원금'!$A$6:$A$92,"&lt;="&amp;$A118)-SUMIFS('09_CF_원금'!$E$6:$E$92,'09_CF_원금'!$C$6:$C$92,"중국",'09_CF_원금'!$A$6:$A$92,"&lt;="&amp;$A118)+SUMIFS('09_CF_원금'!$E$6:$E$92,'09_CF_원금'!$D$6:$D$92,"업비트",'09_CF_원금'!$A$6:$A$92,"&lt;="&amp;$A118)-SUMIFS('09_CF_원금'!$E$6:$E$92,'09_CF_원금'!$C$6:$C$92,"업비트",'09_CF_원금'!$A$6:$A$92,"&lt;="&amp;$A118))</f>
        <v/>
      </c>
      <c r="AB118" s="249">
        <f>IF(OR(U118="",V118=""),"",U118-(V118-IF(S118="",0,S118)))</f>
        <v/>
      </c>
      <c r="AC118" s="249">
        <f>IF(AB118="","",T118+AB118)</f>
        <v/>
      </c>
      <c r="AD118" s="249">
        <f>IF(B118="","",MAX($B$5:B118))</f>
        <v/>
      </c>
      <c r="AE118" s="256" t="n"/>
      <c r="AF118" s="255" t="n"/>
      <c r="AG118" s="255" t="n"/>
      <c r="AH118" s="255" t="n"/>
      <c r="AI118" s="255" t="n"/>
      <c r="AJ118" s="257">
        <f>IF($A118="","",YEAR($A118)*100+MONTH($A118))</f>
        <v/>
      </c>
      <c r="AK118" s="257">
        <f>IF($A118="","",IF($N118="",0,1))</f>
        <v/>
      </c>
    </row>
    <row r="119">
      <c r="A119" s="247" t="n">
        <v>46168</v>
      </c>
      <c r="B119" s="248">
        <f>IF(V119&lt;&gt;"",V119-T119,IF(AF119&lt;&gt;"",AA119+AF119,""))</f>
        <v/>
      </c>
      <c r="C119" s="249">
        <f>IF(OR(B119="",B118=""),"",B119-B118)</f>
        <v/>
      </c>
      <c r="D119" s="248">
        <f>IF(OR(B119="",AA119=""),"",B119-AA119)</f>
        <v/>
      </c>
      <c r="E119" s="250">
        <f>IF(OR(B119="",AD119=0),"",MIN(0,B119/AD119-1))</f>
        <v/>
      </c>
      <c r="F119" s="250">
        <f>IF(OR(U119="",T119=0,T119=""),"",(P119-T119*1.4)/U119)</f>
        <v/>
      </c>
      <c r="G119" s="251">
        <f>IF(OR(AC119="",'09_CF_원금'!$B$108=0),"",AC119/'09_CF_원금'!$B$108)</f>
        <v/>
      </c>
      <c r="H119" s="250">
        <f>IF(OR(U119="",U119=0,AC119=""),"",AC119/U119)</f>
        <v/>
      </c>
      <c r="I119" s="250">
        <f>IF(OR(S119="",U119=""),"",S119/(U119+S119))</f>
        <v/>
      </c>
      <c r="J119" s="248">
        <f>IF(W119&lt;&gt;"",W119-X119,IF(AG119&lt;&gt;"",AG119,""))</f>
        <v/>
      </c>
      <c r="K119" s="248">
        <f>IF(Q119&lt;&gt;"",Q119-Y119,IF(AH119&lt;&gt;"",AH119,""))</f>
        <v/>
      </c>
      <c r="L119" s="248">
        <f>IF(R119&lt;&gt;"",R119-Z119,IF(AI119&lt;&gt;"",AI119,""))</f>
        <v/>
      </c>
      <c r="M119" s="252" t="n"/>
      <c r="N119" s="253" t="n"/>
      <c r="O119" s="254" t="n"/>
      <c r="P119" s="255" t="n"/>
      <c r="Q119" s="258">
        <f>IF($A119="","",IF(Q118="","",Q118))</f>
        <v/>
      </c>
      <c r="R119" s="258">
        <f>IF($A119="","",IF(R118="","",R118))</f>
        <v/>
      </c>
      <c r="S119" s="258">
        <f>IF($A119="","",IF(S118="","",S118))</f>
        <v/>
      </c>
      <c r="T119" s="249">
        <f>IF(OR(P119="",W119=""),"",P119-W119)</f>
        <v/>
      </c>
      <c r="U119" s="258">
        <f>IF($A119="","",IF(U118="","",U118))</f>
        <v/>
      </c>
      <c r="V119" s="249">
        <f>IF(P119="","",P119+IF(Q119="",0,Q119)+IF(R119="",0,R119))</f>
        <v/>
      </c>
      <c r="W119" s="255" t="n"/>
      <c r="X119" s="249">
        <f>SUMIFS('09_CF_원금'!$E$6:$E$92,'09_CF_원금'!$D$6:$D$92,"국장",'09_CF_원금'!$A$6:$A$92,"&lt;="&amp;$A119)-SUMIFS('09_CF_원금'!$E$6:$E$92,'09_CF_원금'!$C$6:$C$92,"국장",'09_CF_원금'!$A$6:$A$92,"&lt;="&amp;$A119)</f>
        <v/>
      </c>
      <c r="Y119" s="249">
        <f>SUMIFS('09_CF_원금'!$E$6:$E$92,'09_CF_원금'!$D$6:$D$92,"미장",'09_CF_원금'!$A$6:$A$92,"&lt;="&amp;$A119)-SUMIFS('09_CF_원금'!$E$6:$E$92,'09_CF_원금'!$C$6:$C$92,"미장",'09_CF_원금'!$A$6:$A$92,"&lt;="&amp;$A119)</f>
        <v/>
      </c>
      <c r="Z119" s="249">
        <f>SUMIFS('09_CF_원금'!$E$6:$E$92,'09_CF_원금'!$D$6:$D$92,"ISA",'09_CF_원금'!$A$6:$A$92,"&lt;="&amp;$A119)-SUMIFS('09_CF_원금'!$E$6:$E$92,'09_CF_원금'!$C$6:$C$92,"ISA",'09_CF_원금'!$A$6:$A$92,"&lt;="&amp;$A119)</f>
        <v/>
      </c>
      <c r="AA119" s="249">
        <f>IF($A119="","",X119+Y119+Z119+SUMIFS('09_CF_원금'!$E$6:$E$92,'09_CF_원금'!$D$6:$D$92,"중국",'09_CF_원금'!$A$6:$A$92,"&lt;="&amp;$A119)-SUMIFS('09_CF_원금'!$E$6:$E$92,'09_CF_원금'!$C$6:$C$92,"중국",'09_CF_원금'!$A$6:$A$92,"&lt;="&amp;$A119)+SUMIFS('09_CF_원금'!$E$6:$E$92,'09_CF_원금'!$D$6:$D$92,"업비트",'09_CF_원금'!$A$6:$A$92,"&lt;="&amp;$A119)-SUMIFS('09_CF_원금'!$E$6:$E$92,'09_CF_원금'!$C$6:$C$92,"업비트",'09_CF_원금'!$A$6:$A$92,"&lt;="&amp;$A119))</f>
        <v/>
      </c>
      <c r="AB119" s="249">
        <f>IF(OR(U119="",V119=""),"",U119-(V119-IF(S119="",0,S119)))</f>
        <v/>
      </c>
      <c r="AC119" s="249">
        <f>IF(AB119="","",T119+AB119)</f>
        <v/>
      </c>
      <c r="AD119" s="249">
        <f>IF(B119="","",MAX($B$5:B119))</f>
        <v/>
      </c>
      <c r="AE119" s="256" t="n"/>
      <c r="AF119" s="255" t="n"/>
      <c r="AG119" s="255" t="n"/>
      <c r="AH119" s="255" t="n"/>
      <c r="AI119" s="255" t="n"/>
      <c r="AJ119" s="257">
        <f>IF($A119="","",YEAR($A119)*100+MONTH($A119))</f>
        <v/>
      </c>
      <c r="AK119" s="257">
        <f>IF($A119="","",IF($N119="",0,1))</f>
        <v/>
      </c>
    </row>
    <row r="120">
      <c r="A120" s="247" t="n">
        <v>46169</v>
      </c>
      <c r="B120" s="248">
        <f>IF(V120&lt;&gt;"",V120-T120,IF(AF120&lt;&gt;"",AA120+AF120,""))</f>
        <v/>
      </c>
      <c r="C120" s="249">
        <f>IF(OR(B120="",B119=""),"",B120-B119)</f>
        <v/>
      </c>
      <c r="D120" s="248">
        <f>IF(OR(B120="",AA120=""),"",B120-AA120)</f>
        <v/>
      </c>
      <c r="E120" s="250">
        <f>IF(OR(B120="",AD120=0),"",MIN(0,B120/AD120-1))</f>
        <v/>
      </c>
      <c r="F120" s="250">
        <f>IF(OR(U120="",T120=0,T120=""),"",(P120-T120*1.4)/U120)</f>
        <v/>
      </c>
      <c r="G120" s="251">
        <f>IF(OR(AC120="",'09_CF_원금'!$B$108=0),"",AC120/'09_CF_원금'!$B$108)</f>
        <v/>
      </c>
      <c r="H120" s="250">
        <f>IF(OR(U120="",U120=0,AC120=""),"",AC120/U120)</f>
        <v/>
      </c>
      <c r="I120" s="250">
        <f>IF(OR(S120="",U120=""),"",S120/(U120+S120))</f>
        <v/>
      </c>
      <c r="J120" s="248">
        <f>IF(W120&lt;&gt;"",W120-X120,IF(AG120&lt;&gt;"",AG120,""))</f>
        <v/>
      </c>
      <c r="K120" s="248">
        <f>IF(Q120&lt;&gt;"",Q120-Y120,IF(AH120&lt;&gt;"",AH120,""))</f>
        <v/>
      </c>
      <c r="L120" s="248">
        <f>IF(R120&lt;&gt;"",R120-Z120,IF(AI120&lt;&gt;"",AI120,""))</f>
        <v/>
      </c>
      <c r="M120" s="252" t="n"/>
      <c r="N120" s="253" t="n"/>
      <c r="O120" s="254" t="n"/>
      <c r="P120" s="255" t="n"/>
      <c r="Q120" s="258">
        <f>IF($A120="","",IF(Q119="","",Q119))</f>
        <v/>
      </c>
      <c r="R120" s="258">
        <f>IF($A120="","",IF(R119="","",R119))</f>
        <v/>
      </c>
      <c r="S120" s="258">
        <f>IF($A120="","",IF(S119="","",S119))</f>
        <v/>
      </c>
      <c r="T120" s="249">
        <f>IF(OR(P120="",W120=""),"",P120-W120)</f>
        <v/>
      </c>
      <c r="U120" s="258">
        <f>IF($A120="","",IF(U119="","",U119))</f>
        <v/>
      </c>
      <c r="V120" s="249">
        <f>IF(P120="","",P120+IF(Q120="",0,Q120)+IF(R120="",0,R120))</f>
        <v/>
      </c>
      <c r="W120" s="255" t="n"/>
      <c r="X120" s="249">
        <f>SUMIFS('09_CF_원금'!$E$6:$E$92,'09_CF_원금'!$D$6:$D$92,"국장",'09_CF_원금'!$A$6:$A$92,"&lt;="&amp;$A120)-SUMIFS('09_CF_원금'!$E$6:$E$92,'09_CF_원금'!$C$6:$C$92,"국장",'09_CF_원금'!$A$6:$A$92,"&lt;="&amp;$A120)</f>
        <v/>
      </c>
      <c r="Y120" s="249">
        <f>SUMIFS('09_CF_원금'!$E$6:$E$92,'09_CF_원금'!$D$6:$D$92,"미장",'09_CF_원금'!$A$6:$A$92,"&lt;="&amp;$A120)-SUMIFS('09_CF_원금'!$E$6:$E$92,'09_CF_원금'!$C$6:$C$92,"미장",'09_CF_원금'!$A$6:$A$92,"&lt;="&amp;$A120)</f>
        <v/>
      </c>
      <c r="Z120" s="249">
        <f>SUMIFS('09_CF_원금'!$E$6:$E$92,'09_CF_원금'!$D$6:$D$92,"ISA",'09_CF_원금'!$A$6:$A$92,"&lt;="&amp;$A120)-SUMIFS('09_CF_원금'!$E$6:$E$92,'09_CF_원금'!$C$6:$C$92,"ISA",'09_CF_원금'!$A$6:$A$92,"&lt;="&amp;$A120)</f>
        <v/>
      </c>
      <c r="AA120" s="249">
        <f>IF($A120="","",X120+Y120+Z120+SUMIFS('09_CF_원금'!$E$6:$E$92,'09_CF_원금'!$D$6:$D$92,"중국",'09_CF_원금'!$A$6:$A$92,"&lt;="&amp;$A120)-SUMIFS('09_CF_원금'!$E$6:$E$92,'09_CF_원금'!$C$6:$C$92,"중국",'09_CF_원금'!$A$6:$A$92,"&lt;="&amp;$A120)+SUMIFS('09_CF_원금'!$E$6:$E$92,'09_CF_원금'!$D$6:$D$92,"업비트",'09_CF_원금'!$A$6:$A$92,"&lt;="&amp;$A120)-SUMIFS('09_CF_원금'!$E$6:$E$92,'09_CF_원금'!$C$6:$C$92,"업비트",'09_CF_원금'!$A$6:$A$92,"&lt;="&amp;$A120))</f>
        <v/>
      </c>
      <c r="AB120" s="249">
        <f>IF(OR(U120="",V120=""),"",U120-(V120-IF(S120="",0,S120)))</f>
        <v/>
      </c>
      <c r="AC120" s="249">
        <f>IF(AB120="","",T120+AB120)</f>
        <v/>
      </c>
      <c r="AD120" s="249">
        <f>IF(B120="","",MAX($B$5:B120))</f>
        <v/>
      </c>
      <c r="AE120" s="256" t="n"/>
      <c r="AF120" s="255" t="n"/>
      <c r="AG120" s="255" t="n"/>
      <c r="AH120" s="255" t="n"/>
      <c r="AI120" s="255" t="n"/>
      <c r="AJ120" s="257">
        <f>IF($A120="","",YEAR($A120)*100+MONTH($A120))</f>
        <v/>
      </c>
      <c r="AK120" s="257">
        <f>IF($A120="","",IF($N120="",0,1))</f>
        <v/>
      </c>
    </row>
    <row r="121">
      <c r="A121" s="247" t="n">
        <v>46170</v>
      </c>
      <c r="B121" s="248">
        <f>IF(V121&lt;&gt;"",V121-T121,IF(AF121&lt;&gt;"",AA121+AF121,""))</f>
        <v/>
      </c>
      <c r="C121" s="249">
        <f>IF(OR(B121="",B120=""),"",B121-B120)</f>
        <v/>
      </c>
      <c r="D121" s="248">
        <f>IF(OR(B121="",AA121=""),"",B121-AA121)</f>
        <v/>
      </c>
      <c r="E121" s="250">
        <f>IF(OR(B121="",AD121=0),"",MIN(0,B121/AD121-1))</f>
        <v/>
      </c>
      <c r="F121" s="250">
        <f>IF(OR(U121="",T121=0,T121=""),"",(P121-T121*1.4)/U121)</f>
        <v/>
      </c>
      <c r="G121" s="251">
        <f>IF(OR(AC121="",'09_CF_원금'!$B$108=0),"",AC121/'09_CF_원금'!$B$108)</f>
        <v/>
      </c>
      <c r="H121" s="250">
        <f>IF(OR(U121="",U121=0,AC121=""),"",AC121/U121)</f>
        <v/>
      </c>
      <c r="I121" s="250">
        <f>IF(OR(S121="",U121=""),"",S121/(U121+S121))</f>
        <v/>
      </c>
      <c r="J121" s="248">
        <f>IF(W121&lt;&gt;"",W121-X121,IF(AG121&lt;&gt;"",AG121,""))</f>
        <v/>
      </c>
      <c r="K121" s="248">
        <f>IF(Q121&lt;&gt;"",Q121-Y121,IF(AH121&lt;&gt;"",AH121,""))</f>
        <v/>
      </c>
      <c r="L121" s="248">
        <f>IF(R121&lt;&gt;"",R121-Z121,IF(AI121&lt;&gt;"",AI121,""))</f>
        <v/>
      </c>
      <c r="M121" s="252" t="n"/>
      <c r="N121" s="253" t="n"/>
      <c r="O121" s="254" t="n"/>
      <c r="P121" s="255" t="n"/>
      <c r="Q121" s="258">
        <f>IF($A121="","",IF(Q120="","",Q120))</f>
        <v/>
      </c>
      <c r="R121" s="258">
        <f>IF($A121="","",IF(R120="","",R120))</f>
        <v/>
      </c>
      <c r="S121" s="258">
        <f>IF($A121="","",IF(S120="","",S120))</f>
        <v/>
      </c>
      <c r="T121" s="249">
        <f>IF(OR(P121="",W121=""),"",P121-W121)</f>
        <v/>
      </c>
      <c r="U121" s="258">
        <f>IF($A121="","",IF(U120="","",U120))</f>
        <v/>
      </c>
      <c r="V121" s="249">
        <f>IF(P121="","",P121+IF(Q121="",0,Q121)+IF(R121="",0,R121))</f>
        <v/>
      </c>
      <c r="W121" s="255" t="n"/>
      <c r="X121" s="249">
        <f>SUMIFS('09_CF_원금'!$E$6:$E$92,'09_CF_원금'!$D$6:$D$92,"국장",'09_CF_원금'!$A$6:$A$92,"&lt;="&amp;$A121)-SUMIFS('09_CF_원금'!$E$6:$E$92,'09_CF_원금'!$C$6:$C$92,"국장",'09_CF_원금'!$A$6:$A$92,"&lt;="&amp;$A121)</f>
        <v/>
      </c>
      <c r="Y121" s="249">
        <f>SUMIFS('09_CF_원금'!$E$6:$E$92,'09_CF_원금'!$D$6:$D$92,"미장",'09_CF_원금'!$A$6:$A$92,"&lt;="&amp;$A121)-SUMIFS('09_CF_원금'!$E$6:$E$92,'09_CF_원금'!$C$6:$C$92,"미장",'09_CF_원금'!$A$6:$A$92,"&lt;="&amp;$A121)</f>
        <v/>
      </c>
      <c r="Z121" s="249">
        <f>SUMIFS('09_CF_원금'!$E$6:$E$92,'09_CF_원금'!$D$6:$D$92,"ISA",'09_CF_원금'!$A$6:$A$92,"&lt;="&amp;$A121)-SUMIFS('09_CF_원금'!$E$6:$E$92,'09_CF_원금'!$C$6:$C$92,"ISA",'09_CF_원금'!$A$6:$A$92,"&lt;="&amp;$A121)</f>
        <v/>
      </c>
      <c r="AA121" s="249">
        <f>IF($A121="","",X121+Y121+Z121+SUMIFS('09_CF_원금'!$E$6:$E$92,'09_CF_원금'!$D$6:$D$92,"중국",'09_CF_원금'!$A$6:$A$92,"&lt;="&amp;$A121)-SUMIFS('09_CF_원금'!$E$6:$E$92,'09_CF_원금'!$C$6:$C$92,"중국",'09_CF_원금'!$A$6:$A$92,"&lt;="&amp;$A121)+SUMIFS('09_CF_원금'!$E$6:$E$92,'09_CF_원금'!$D$6:$D$92,"업비트",'09_CF_원금'!$A$6:$A$92,"&lt;="&amp;$A121)-SUMIFS('09_CF_원금'!$E$6:$E$92,'09_CF_원금'!$C$6:$C$92,"업비트",'09_CF_원금'!$A$6:$A$92,"&lt;="&amp;$A121))</f>
        <v/>
      </c>
      <c r="AB121" s="249">
        <f>IF(OR(U121="",V121=""),"",U121-(V121-IF(S121="",0,S121)))</f>
        <v/>
      </c>
      <c r="AC121" s="249">
        <f>IF(AB121="","",T121+AB121)</f>
        <v/>
      </c>
      <c r="AD121" s="249">
        <f>IF(B121="","",MAX($B$5:B121))</f>
        <v/>
      </c>
      <c r="AE121" s="256" t="n"/>
      <c r="AF121" s="255" t="n"/>
      <c r="AG121" s="255" t="n"/>
      <c r="AH121" s="255" t="n"/>
      <c r="AI121" s="255" t="n"/>
      <c r="AJ121" s="257">
        <f>IF($A121="","",YEAR($A121)*100+MONTH($A121))</f>
        <v/>
      </c>
      <c r="AK121" s="257">
        <f>IF($A121="","",IF($N121="",0,1))</f>
        <v/>
      </c>
    </row>
    <row r="122">
      <c r="A122" s="247" t="n">
        <v>46171</v>
      </c>
      <c r="B122" s="248">
        <f>IF(V122&lt;&gt;"",V122-T122,IF(AF122&lt;&gt;"",AA122+AF122,""))</f>
        <v/>
      </c>
      <c r="C122" s="249">
        <f>IF(OR(B122="",B121=""),"",B122-B121)</f>
        <v/>
      </c>
      <c r="D122" s="248">
        <f>IF(OR(B122="",AA122=""),"",B122-AA122)</f>
        <v/>
      </c>
      <c r="E122" s="250">
        <f>IF(OR(B122="",AD122=0),"",MIN(0,B122/AD122-1))</f>
        <v/>
      </c>
      <c r="F122" s="250">
        <f>IF(OR(U122="",T122=0,T122=""),"",(P122-T122*1.4)/U122)</f>
        <v/>
      </c>
      <c r="G122" s="251">
        <f>IF(OR(AC122="",'09_CF_원금'!$B$108=0),"",AC122/'09_CF_원금'!$B$108)</f>
        <v/>
      </c>
      <c r="H122" s="250">
        <f>IF(OR(U122="",U122=0,AC122=""),"",AC122/U122)</f>
        <v/>
      </c>
      <c r="I122" s="250">
        <f>IF(OR(S122="",U122=""),"",S122/(U122+S122))</f>
        <v/>
      </c>
      <c r="J122" s="248">
        <f>IF(W122&lt;&gt;"",W122-X122,IF(AG122&lt;&gt;"",AG122,""))</f>
        <v/>
      </c>
      <c r="K122" s="248">
        <f>IF(Q122&lt;&gt;"",Q122-Y122,IF(AH122&lt;&gt;"",AH122,""))</f>
        <v/>
      </c>
      <c r="L122" s="248">
        <f>IF(R122&lt;&gt;"",R122-Z122,IF(AI122&lt;&gt;"",AI122,""))</f>
        <v/>
      </c>
      <c r="M122" s="252" t="n"/>
      <c r="N122" s="253" t="n"/>
      <c r="O122" s="254" t="n"/>
      <c r="P122" s="255" t="n"/>
      <c r="Q122" s="258">
        <f>IF($A122="","",IF(Q121="","",Q121))</f>
        <v/>
      </c>
      <c r="R122" s="258">
        <f>IF($A122="","",IF(R121="","",R121))</f>
        <v/>
      </c>
      <c r="S122" s="258">
        <f>IF($A122="","",IF(S121="","",S121))</f>
        <v/>
      </c>
      <c r="T122" s="249">
        <f>IF(OR(P122="",W122=""),"",P122-W122)</f>
        <v/>
      </c>
      <c r="U122" s="258">
        <f>IF($A122="","",IF(U121="","",U121))</f>
        <v/>
      </c>
      <c r="V122" s="249">
        <f>IF(P122="","",P122+IF(Q122="",0,Q122)+IF(R122="",0,R122))</f>
        <v/>
      </c>
      <c r="W122" s="255" t="n"/>
      <c r="X122" s="249">
        <f>SUMIFS('09_CF_원금'!$E$6:$E$92,'09_CF_원금'!$D$6:$D$92,"국장",'09_CF_원금'!$A$6:$A$92,"&lt;="&amp;$A122)-SUMIFS('09_CF_원금'!$E$6:$E$92,'09_CF_원금'!$C$6:$C$92,"국장",'09_CF_원금'!$A$6:$A$92,"&lt;="&amp;$A122)</f>
        <v/>
      </c>
      <c r="Y122" s="249">
        <f>SUMIFS('09_CF_원금'!$E$6:$E$92,'09_CF_원금'!$D$6:$D$92,"미장",'09_CF_원금'!$A$6:$A$92,"&lt;="&amp;$A122)-SUMIFS('09_CF_원금'!$E$6:$E$92,'09_CF_원금'!$C$6:$C$92,"미장",'09_CF_원금'!$A$6:$A$92,"&lt;="&amp;$A122)</f>
        <v/>
      </c>
      <c r="Z122" s="249">
        <f>SUMIFS('09_CF_원금'!$E$6:$E$92,'09_CF_원금'!$D$6:$D$92,"ISA",'09_CF_원금'!$A$6:$A$92,"&lt;="&amp;$A122)-SUMIFS('09_CF_원금'!$E$6:$E$92,'09_CF_원금'!$C$6:$C$92,"ISA",'09_CF_원금'!$A$6:$A$92,"&lt;="&amp;$A122)</f>
        <v/>
      </c>
      <c r="AA122" s="249">
        <f>IF($A122="","",X122+Y122+Z122+SUMIFS('09_CF_원금'!$E$6:$E$92,'09_CF_원금'!$D$6:$D$92,"중국",'09_CF_원금'!$A$6:$A$92,"&lt;="&amp;$A122)-SUMIFS('09_CF_원금'!$E$6:$E$92,'09_CF_원금'!$C$6:$C$92,"중국",'09_CF_원금'!$A$6:$A$92,"&lt;="&amp;$A122)+SUMIFS('09_CF_원금'!$E$6:$E$92,'09_CF_원금'!$D$6:$D$92,"업비트",'09_CF_원금'!$A$6:$A$92,"&lt;="&amp;$A122)-SUMIFS('09_CF_원금'!$E$6:$E$92,'09_CF_원금'!$C$6:$C$92,"업비트",'09_CF_원금'!$A$6:$A$92,"&lt;="&amp;$A122))</f>
        <v/>
      </c>
      <c r="AB122" s="249">
        <f>IF(OR(U122="",V122=""),"",U122-(V122-IF(S122="",0,S122)))</f>
        <v/>
      </c>
      <c r="AC122" s="249">
        <f>IF(AB122="","",T122+AB122)</f>
        <v/>
      </c>
      <c r="AD122" s="249">
        <f>IF(B122="","",MAX($B$5:B122))</f>
        <v/>
      </c>
      <c r="AE122" s="256" t="n"/>
      <c r="AF122" s="255" t="n"/>
      <c r="AG122" s="255" t="n"/>
      <c r="AH122" s="255" t="n"/>
      <c r="AI122" s="255" t="n"/>
      <c r="AJ122" s="257">
        <f>IF($A122="","",YEAR($A122)*100+MONTH($A122))</f>
        <v/>
      </c>
      <c r="AK122" s="257">
        <f>IF($A122="","",IF($N122="",0,1))</f>
        <v/>
      </c>
    </row>
    <row r="123">
      <c r="A123" s="247" t="n">
        <v>46174</v>
      </c>
      <c r="B123" s="248">
        <f>IF(V123&lt;&gt;"",V123-T123,IF(AF123&lt;&gt;"",AA123+AF123,""))</f>
        <v/>
      </c>
      <c r="C123" s="249">
        <f>IF(OR(B123="",B122=""),"",B123-B122)</f>
        <v/>
      </c>
      <c r="D123" s="248">
        <f>IF(OR(B123="",AA123=""),"",B123-AA123)</f>
        <v/>
      </c>
      <c r="E123" s="250">
        <f>IF(OR(B123="",AD123=0),"",MIN(0,B123/AD123-1))</f>
        <v/>
      </c>
      <c r="F123" s="250">
        <f>IF(OR(U123="",T123=0,T123=""),"",(P123-T123*1.4)/U123)</f>
        <v/>
      </c>
      <c r="G123" s="251">
        <f>IF(OR(AC123="",'09_CF_원금'!$B$108=0),"",AC123/'09_CF_원금'!$B$108)</f>
        <v/>
      </c>
      <c r="H123" s="250">
        <f>IF(OR(U123="",U123=0,AC123=""),"",AC123/U123)</f>
        <v/>
      </c>
      <c r="I123" s="250">
        <f>IF(OR(S123="",U123=""),"",S123/(U123+S123))</f>
        <v/>
      </c>
      <c r="J123" s="248">
        <f>IF(W123&lt;&gt;"",W123-X123,IF(AG123&lt;&gt;"",AG123,""))</f>
        <v/>
      </c>
      <c r="K123" s="248">
        <f>IF(Q123&lt;&gt;"",Q123-Y123,IF(AH123&lt;&gt;"",AH123,""))</f>
        <v/>
      </c>
      <c r="L123" s="248">
        <f>IF(R123&lt;&gt;"",R123-Z123,IF(AI123&lt;&gt;"",AI123,""))</f>
        <v/>
      </c>
      <c r="M123" s="252" t="n"/>
      <c r="N123" s="253" t="n"/>
      <c r="O123" s="254" t="n"/>
      <c r="P123" s="255" t="n">
        <v>1084975500</v>
      </c>
      <c r="Q123" s="258">
        <f>IF($A123="","",IF(Q122="","",Q122))</f>
        <v/>
      </c>
      <c r="R123" s="258">
        <f>IF($A123="","",IF(R122="","",R122))</f>
        <v/>
      </c>
      <c r="S123" s="258">
        <f>IF($A123="","",IF(S122="","",S122))</f>
        <v/>
      </c>
      <c r="T123" s="249">
        <f>IF(OR(P123="",W123=""),"",P123-W123)</f>
        <v/>
      </c>
      <c r="U123" s="258">
        <f>IF($A123="","",IF(U122="","",U122))</f>
        <v/>
      </c>
      <c r="V123" s="249">
        <f>IF(P123="","",P123+IF(Q123="",0,Q123)+IF(R123="",0,R123))</f>
        <v/>
      </c>
      <c r="W123" s="255" t="n">
        <v>809140626</v>
      </c>
      <c r="X123" s="249">
        <f>SUMIFS('09_CF_원금'!$E$6:$E$92,'09_CF_원금'!$D$6:$D$92,"국장",'09_CF_원금'!$A$6:$A$92,"&lt;="&amp;$A123)-SUMIFS('09_CF_원금'!$E$6:$E$92,'09_CF_원금'!$C$6:$C$92,"국장",'09_CF_원금'!$A$6:$A$92,"&lt;="&amp;$A123)</f>
        <v/>
      </c>
      <c r="Y123" s="249">
        <f>SUMIFS('09_CF_원금'!$E$6:$E$92,'09_CF_원금'!$D$6:$D$92,"미장",'09_CF_원금'!$A$6:$A$92,"&lt;="&amp;$A123)-SUMIFS('09_CF_원금'!$E$6:$E$92,'09_CF_원금'!$C$6:$C$92,"미장",'09_CF_원금'!$A$6:$A$92,"&lt;="&amp;$A123)</f>
        <v/>
      </c>
      <c r="Z123" s="249">
        <f>SUMIFS('09_CF_원금'!$E$6:$E$92,'09_CF_원금'!$D$6:$D$92,"ISA",'09_CF_원금'!$A$6:$A$92,"&lt;="&amp;$A123)-SUMIFS('09_CF_원금'!$E$6:$E$92,'09_CF_원금'!$C$6:$C$92,"ISA",'09_CF_원금'!$A$6:$A$92,"&lt;="&amp;$A123)</f>
        <v/>
      </c>
      <c r="AA123" s="249">
        <f>IF($A123="","",X123+Y123+Z123+SUMIFS('09_CF_원금'!$E$6:$E$92,'09_CF_원금'!$D$6:$D$92,"중국",'09_CF_원금'!$A$6:$A$92,"&lt;="&amp;$A123)-SUMIFS('09_CF_원금'!$E$6:$E$92,'09_CF_원금'!$C$6:$C$92,"중국",'09_CF_원금'!$A$6:$A$92,"&lt;="&amp;$A123)+SUMIFS('09_CF_원금'!$E$6:$E$92,'09_CF_원금'!$D$6:$D$92,"업비트",'09_CF_원금'!$A$6:$A$92,"&lt;="&amp;$A123)-SUMIFS('09_CF_원금'!$E$6:$E$92,'09_CF_원금'!$C$6:$C$92,"업비트",'09_CF_원금'!$A$6:$A$92,"&lt;="&amp;$A123))</f>
        <v/>
      </c>
      <c r="AB123" s="249">
        <f>IF(OR(U123="",V123=""),"",U123-(V123-IF(S123="",0,S123)))</f>
        <v/>
      </c>
      <c r="AC123" s="249">
        <f>IF(AB123="","",T123+AB123)</f>
        <v/>
      </c>
      <c r="AD123" s="249">
        <f>IF(B123="","",MAX($B$5:B123))</f>
        <v/>
      </c>
      <c r="AE123" s="256" t="n"/>
      <c r="AF123" s="255" t="n"/>
      <c r="AG123" s="255" t="n"/>
      <c r="AH123" s="255" t="n"/>
      <c r="AI123" s="255" t="n"/>
      <c r="AJ123" s="257">
        <f>IF($A123="","",YEAR($A123)*100+MONTH($A123))</f>
        <v/>
      </c>
      <c r="AK123" s="257">
        <f>IF($A123="","",IF($N123="",0,1))</f>
        <v/>
      </c>
    </row>
    <row r="124">
      <c r="A124" s="247" t="n">
        <v>46175</v>
      </c>
      <c r="B124" s="248">
        <f>IF(V124&lt;&gt;"",V124-T124,IF(AF124&lt;&gt;"",AA124+AF124,""))</f>
        <v/>
      </c>
      <c r="C124" s="249">
        <f>IF(OR(B124="",B123=""),"",B124-B123)</f>
        <v/>
      </c>
      <c r="D124" s="248">
        <f>IF(OR(B124="",AA124=""),"",B124-AA124)</f>
        <v/>
      </c>
      <c r="E124" s="250">
        <f>IF(OR(B124="",AD124=0),"",MIN(0,B124/AD124-1))</f>
        <v/>
      </c>
      <c r="F124" s="250">
        <f>IF(OR(U124="",T124=0,T124=""),"",(P124-T124*1.4)/U124)</f>
        <v/>
      </c>
      <c r="G124" s="251">
        <f>IF(OR(AC124="",'09_CF_원금'!$B$108=0),"",AC124/'09_CF_원금'!$B$108)</f>
        <v/>
      </c>
      <c r="H124" s="250">
        <f>IF(OR(U124="",U124=0,AC124=""),"",AC124/U124)</f>
        <v/>
      </c>
      <c r="I124" s="250">
        <f>IF(OR(S124="",U124=""),"",S124/(U124+S124))</f>
        <v/>
      </c>
      <c r="J124" s="248">
        <f>IF(W124&lt;&gt;"",W124-X124,IF(AG124&lt;&gt;"",AG124,""))</f>
        <v/>
      </c>
      <c r="K124" s="248">
        <f>IF(Q124&lt;&gt;"",Q124-Y124,IF(AH124&lt;&gt;"",AH124,""))</f>
        <v/>
      </c>
      <c r="L124" s="248">
        <f>IF(R124&lt;&gt;"",R124-Z124,IF(AI124&lt;&gt;"",AI124,""))</f>
        <v/>
      </c>
      <c r="M124" s="252" t="n"/>
      <c r="N124" s="253" t="n"/>
      <c r="O124" s="254" t="n"/>
      <c r="P124" s="255" t="n">
        <v>1151168000</v>
      </c>
      <c r="Q124" s="258">
        <f>IF($A124="","",IF(Q123="","",Q123))</f>
        <v/>
      </c>
      <c r="R124" s="258">
        <f>IF($A124="","",IF(R123="","",R123))</f>
        <v/>
      </c>
      <c r="S124" s="258">
        <f>IF($A124="","",IF(S123="","",S123))</f>
        <v/>
      </c>
      <c r="T124" s="249">
        <f>IF(OR(P124="",W124=""),"",P124-W124)</f>
        <v/>
      </c>
      <c r="U124" s="258">
        <f>IF($A124="","",IF(U123="","",U123))</f>
        <v/>
      </c>
      <c r="V124" s="249">
        <f>IF(P124="","",P124+IF(Q124="",0,Q124)+IF(R124="",0,R124))</f>
        <v/>
      </c>
      <c r="W124" s="255" t="n">
        <v>827126651</v>
      </c>
      <c r="X124" s="249">
        <f>SUMIFS('09_CF_원금'!$E$6:$E$92,'09_CF_원금'!$D$6:$D$92,"국장",'09_CF_원금'!$A$6:$A$92,"&lt;="&amp;$A124)-SUMIFS('09_CF_원금'!$E$6:$E$92,'09_CF_원금'!$C$6:$C$92,"국장",'09_CF_원금'!$A$6:$A$92,"&lt;="&amp;$A124)</f>
        <v/>
      </c>
      <c r="Y124" s="249">
        <f>SUMIFS('09_CF_원금'!$E$6:$E$92,'09_CF_원금'!$D$6:$D$92,"미장",'09_CF_원금'!$A$6:$A$92,"&lt;="&amp;$A124)-SUMIFS('09_CF_원금'!$E$6:$E$92,'09_CF_원금'!$C$6:$C$92,"미장",'09_CF_원금'!$A$6:$A$92,"&lt;="&amp;$A124)</f>
        <v/>
      </c>
      <c r="Z124" s="249">
        <f>SUMIFS('09_CF_원금'!$E$6:$E$92,'09_CF_원금'!$D$6:$D$92,"ISA",'09_CF_원금'!$A$6:$A$92,"&lt;="&amp;$A124)-SUMIFS('09_CF_원금'!$E$6:$E$92,'09_CF_원금'!$C$6:$C$92,"ISA",'09_CF_원금'!$A$6:$A$92,"&lt;="&amp;$A124)</f>
        <v/>
      </c>
      <c r="AA124" s="249">
        <f>IF($A124="","",X124+Y124+Z124+SUMIFS('09_CF_원금'!$E$6:$E$92,'09_CF_원금'!$D$6:$D$92,"중국",'09_CF_원금'!$A$6:$A$92,"&lt;="&amp;$A124)-SUMIFS('09_CF_원금'!$E$6:$E$92,'09_CF_원금'!$C$6:$C$92,"중국",'09_CF_원금'!$A$6:$A$92,"&lt;="&amp;$A124)+SUMIFS('09_CF_원금'!$E$6:$E$92,'09_CF_원금'!$D$6:$D$92,"업비트",'09_CF_원금'!$A$6:$A$92,"&lt;="&amp;$A124)-SUMIFS('09_CF_원금'!$E$6:$E$92,'09_CF_원금'!$C$6:$C$92,"업비트",'09_CF_원금'!$A$6:$A$92,"&lt;="&amp;$A124))</f>
        <v/>
      </c>
      <c r="AB124" s="249">
        <f>IF(OR(U124="",V124=""),"",U124-(V124-IF(S124="",0,S124)))</f>
        <v/>
      </c>
      <c r="AC124" s="249">
        <f>IF(AB124="","",T124+AB124)</f>
        <v/>
      </c>
      <c r="AD124" s="249">
        <f>IF(B124="","",MAX($B$5:B124))</f>
        <v/>
      </c>
      <c r="AE124" s="256" t="n"/>
      <c r="AF124" s="255" t="n"/>
      <c r="AG124" s="255" t="n"/>
      <c r="AH124" s="255" t="n"/>
      <c r="AI124" s="255" t="n"/>
      <c r="AJ124" s="257">
        <f>IF($A124="","",YEAR($A124)*100+MONTH($A124))</f>
        <v/>
      </c>
      <c r="AK124" s="257">
        <f>IF($A124="","",IF($N124="",0,1))</f>
        <v/>
      </c>
    </row>
    <row r="125">
      <c r="A125" s="247" t="n">
        <v>46176</v>
      </c>
      <c r="B125" s="248">
        <f>IF(V125&lt;&gt;"",V125-T125,IF(AF125&lt;&gt;"",AA125+AF125,""))</f>
        <v/>
      </c>
      <c r="C125" s="249">
        <f>IF(OR(B125="",B124=""),"",B125-B124)</f>
        <v/>
      </c>
      <c r="D125" s="248">
        <f>IF(OR(B125="",AA125=""),"",B125-AA125)</f>
        <v/>
      </c>
      <c r="E125" s="250">
        <f>IF(OR(B125="",AD125=0),"",MIN(0,B125/AD125-1))</f>
        <v/>
      </c>
      <c r="F125" s="250">
        <f>IF(OR(U125="",T125=0,T125=""),"",(P125-T125*1.4)/U125)</f>
        <v/>
      </c>
      <c r="G125" s="251">
        <f>IF(OR(AC125="",'09_CF_원금'!$B$108=0),"",AC125/'09_CF_원금'!$B$108)</f>
        <v/>
      </c>
      <c r="H125" s="250">
        <f>IF(OR(U125="",U125=0,AC125=""),"",AC125/U125)</f>
        <v/>
      </c>
      <c r="I125" s="250">
        <f>IF(OR(S125="",U125=""),"",S125/(U125+S125))</f>
        <v/>
      </c>
      <c r="J125" s="248">
        <f>IF(W125&lt;&gt;"",W125-X125,IF(AG125&lt;&gt;"",AG125,""))</f>
        <v/>
      </c>
      <c r="K125" s="248">
        <f>IF(Q125&lt;&gt;"",Q125-Y125,IF(AH125&lt;&gt;"",AH125,""))</f>
        <v/>
      </c>
      <c r="L125" s="248">
        <f>IF(R125&lt;&gt;"",R125-Z125,IF(AI125&lt;&gt;"",AI125,""))</f>
        <v/>
      </c>
      <c r="M125" s="252" t="n"/>
      <c r="N125" s="253" t="n"/>
      <c r="O125" s="254" t="n"/>
      <c r="P125" s="255" t="n">
        <v>1151168000</v>
      </c>
      <c r="Q125" s="258">
        <f>IF($A125="","",IF(Q124="","",Q124))</f>
        <v/>
      </c>
      <c r="R125" s="258">
        <f>IF($A125="","",IF(R124="","",R124))</f>
        <v/>
      </c>
      <c r="S125" s="258">
        <f>IF($A125="","",IF(S124="","",S124))</f>
        <v/>
      </c>
      <c r="T125" s="249">
        <f>IF(OR(P125="",W125=""),"",P125-W125)</f>
        <v/>
      </c>
      <c r="U125" s="258">
        <f>IF($A125="","",IF(U124="","",U124))</f>
        <v/>
      </c>
      <c r="V125" s="249">
        <f>IF(P125="","",P125+IF(Q125="",0,Q125)+IF(R125="",0,R125))</f>
        <v/>
      </c>
      <c r="W125" s="255" t="n">
        <v>827126651</v>
      </c>
      <c r="X125" s="249">
        <f>SUMIFS('09_CF_원금'!$E$6:$E$92,'09_CF_원금'!$D$6:$D$92,"국장",'09_CF_원금'!$A$6:$A$92,"&lt;="&amp;$A125)-SUMIFS('09_CF_원금'!$E$6:$E$92,'09_CF_원금'!$C$6:$C$92,"국장",'09_CF_원금'!$A$6:$A$92,"&lt;="&amp;$A125)</f>
        <v/>
      </c>
      <c r="Y125" s="249">
        <f>SUMIFS('09_CF_원금'!$E$6:$E$92,'09_CF_원금'!$D$6:$D$92,"미장",'09_CF_원금'!$A$6:$A$92,"&lt;="&amp;$A125)-SUMIFS('09_CF_원금'!$E$6:$E$92,'09_CF_원금'!$C$6:$C$92,"미장",'09_CF_원금'!$A$6:$A$92,"&lt;="&amp;$A125)</f>
        <v/>
      </c>
      <c r="Z125" s="249">
        <f>SUMIFS('09_CF_원금'!$E$6:$E$92,'09_CF_원금'!$D$6:$D$92,"ISA",'09_CF_원금'!$A$6:$A$92,"&lt;="&amp;$A125)-SUMIFS('09_CF_원금'!$E$6:$E$92,'09_CF_원금'!$C$6:$C$92,"ISA",'09_CF_원금'!$A$6:$A$92,"&lt;="&amp;$A125)</f>
        <v/>
      </c>
      <c r="AA125" s="249">
        <f>IF($A125="","",X125+Y125+Z125+SUMIFS('09_CF_원금'!$E$6:$E$92,'09_CF_원금'!$D$6:$D$92,"중국",'09_CF_원금'!$A$6:$A$92,"&lt;="&amp;$A125)-SUMIFS('09_CF_원금'!$E$6:$E$92,'09_CF_원금'!$C$6:$C$92,"중국",'09_CF_원금'!$A$6:$A$92,"&lt;="&amp;$A125)+SUMIFS('09_CF_원금'!$E$6:$E$92,'09_CF_원금'!$D$6:$D$92,"업비트",'09_CF_원금'!$A$6:$A$92,"&lt;="&amp;$A125)-SUMIFS('09_CF_원금'!$E$6:$E$92,'09_CF_원금'!$C$6:$C$92,"업비트",'09_CF_원금'!$A$6:$A$92,"&lt;="&amp;$A125))</f>
        <v/>
      </c>
      <c r="AB125" s="249">
        <f>IF(OR(U125="",V125=""),"",U125-(V125-IF(S125="",0,S125)))</f>
        <v/>
      </c>
      <c r="AC125" s="249">
        <f>IF(AB125="","",T125+AB125)</f>
        <v/>
      </c>
      <c r="AD125" s="249">
        <f>IF(B125="","",MAX($B$5:B125))</f>
        <v/>
      </c>
      <c r="AE125" s="256" t="n"/>
      <c r="AF125" s="255" t="n"/>
      <c r="AG125" s="255" t="n"/>
      <c r="AH125" s="255" t="n"/>
      <c r="AI125" s="255" t="n"/>
      <c r="AJ125" s="257">
        <f>IF($A125="","",YEAR($A125)*100+MONTH($A125))</f>
        <v/>
      </c>
      <c r="AK125" s="257">
        <f>IF($A125="","",IF($N125="",0,1))</f>
        <v/>
      </c>
    </row>
    <row r="126">
      <c r="A126" s="247" t="n">
        <v>46177</v>
      </c>
      <c r="B126" s="248">
        <f>IF(V126&lt;&gt;"",V126-T126,IF(AF126&lt;&gt;"",AA126+AF126,""))</f>
        <v/>
      </c>
      <c r="C126" s="249">
        <f>IF(OR(B126="",B125=""),"",B126-B125)</f>
        <v/>
      </c>
      <c r="D126" s="248">
        <f>IF(OR(B126="",AA126=""),"",B126-AA126)</f>
        <v/>
      </c>
      <c r="E126" s="250">
        <f>IF(OR(B126="",AD126=0),"",MIN(0,B126/AD126-1))</f>
        <v/>
      </c>
      <c r="F126" s="250">
        <f>IF(OR(U126="",T126=0,T126=""),"",(P126-T126*1.4)/U126)</f>
        <v/>
      </c>
      <c r="G126" s="251">
        <f>IF(OR(AC126="",'09_CF_원금'!$B$108=0),"",AC126/'09_CF_원금'!$B$108)</f>
        <v/>
      </c>
      <c r="H126" s="250">
        <f>IF(OR(U126="",U126=0,AC126=""),"",AC126/U126)</f>
        <v/>
      </c>
      <c r="I126" s="250">
        <f>IF(OR(S126="",U126=""),"",S126/(U126+S126))</f>
        <v/>
      </c>
      <c r="J126" s="248">
        <f>IF(W126&lt;&gt;"",W126-X126,IF(AG126&lt;&gt;"",AG126,""))</f>
        <v/>
      </c>
      <c r="K126" s="248">
        <f>IF(Q126&lt;&gt;"",Q126-Y126,IF(AH126&lt;&gt;"",AH126,""))</f>
        <v/>
      </c>
      <c r="L126" s="248">
        <f>IF(R126&lt;&gt;"",R126-Z126,IF(AI126&lt;&gt;"",AI126,""))</f>
        <v/>
      </c>
      <c r="M126" s="252" t="n"/>
      <c r="N126" s="253" t="n"/>
      <c r="O126" s="254" t="n"/>
      <c r="P126" s="255" t="n">
        <v>1208876985</v>
      </c>
      <c r="Q126" s="258">
        <f>IF($A126="","",IF(Q125="","",Q125))</f>
        <v/>
      </c>
      <c r="R126" s="258">
        <f>IF($A126="","",IF(R125="","",R125))</f>
        <v/>
      </c>
      <c r="S126" s="258">
        <f>IF($A126="","",IF(S125="","",S125))</f>
        <v/>
      </c>
      <c r="T126" s="249">
        <f>IF(OR(P126="",W126=""),"",P126-W126)</f>
        <v/>
      </c>
      <c r="U126" s="258">
        <f>IF($A126="","",IF(U125="","",U125))</f>
        <v/>
      </c>
      <c r="V126" s="249">
        <f>IF(P126="","",P126+IF(Q126="",0,Q126)+IF(R126="",0,R126))</f>
        <v/>
      </c>
      <c r="W126" s="255" t="n">
        <v>786958358</v>
      </c>
      <c r="X126" s="249">
        <f>SUMIFS('09_CF_원금'!$E$6:$E$92,'09_CF_원금'!$D$6:$D$92,"국장",'09_CF_원금'!$A$6:$A$92,"&lt;="&amp;$A126)-SUMIFS('09_CF_원금'!$E$6:$E$92,'09_CF_원금'!$C$6:$C$92,"국장",'09_CF_원금'!$A$6:$A$92,"&lt;="&amp;$A126)</f>
        <v/>
      </c>
      <c r="Y126" s="249">
        <f>SUMIFS('09_CF_원금'!$E$6:$E$92,'09_CF_원금'!$D$6:$D$92,"미장",'09_CF_원금'!$A$6:$A$92,"&lt;="&amp;$A126)-SUMIFS('09_CF_원금'!$E$6:$E$92,'09_CF_원금'!$C$6:$C$92,"미장",'09_CF_원금'!$A$6:$A$92,"&lt;="&amp;$A126)</f>
        <v/>
      </c>
      <c r="Z126" s="249">
        <f>SUMIFS('09_CF_원금'!$E$6:$E$92,'09_CF_원금'!$D$6:$D$92,"ISA",'09_CF_원금'!$A$6:$A$92,"&lt;="&amp;$A126)-SUMIFS('09_CF_원금'!$E$6:$E$92,'09_CF_원금'!$C$6:$C$92,"ISA",'09_CF_원금'!$A$6:$A$92,"&lt;="&amp;$A126)</f>
        <v/>
      </c>
      <c r="AA126" s="249">
        <f>IF($A126="","",X126+Y126+Z126+SUMIFS('09_CF_원금'!$E$6:$E$92,'09_CF_원금'!$D$6:$D$92,"중국",'09_CF_원금'!$A$6:$A$92,"&lt;="&amp;$A126)-SUMIFS('09_CF_원금'!$E$6:$E$92,'09_CF_원금'!$C$6:$C$92,"중국",'09_CF_원금'!$A$6:$A$92,"&lt;="&amp;$A126)+SUMIFS('09_CF_원금'!$E$6:$E$92,'09_CF_원금'!$D$6:$D$92,"업비트",'09_CF_원금'!$A$6:$A$92,"&lt;="&amp;$A126)-SUMIFS('09_CF_원금'!$E$6:$E$92,'09_CF_원금'!$C$6:$C$92,"업비트",'09_CF_원금'!$A$6:$A$92,"&lt;="&amp;$A126))</f>
        <v/>
      </c>
      <c r="AB126" s="249">
        <f>IF(OR(U126="",V126=""),"",U126-(V126-IF(S126="",0,S126)))</f>
        <v/>
      </c>
      <c r="AC126" s="249">
        <f>IF(AB126="","",T126+AB126)</f>
        <v/>
      </c>
      <c r="AD126" s="249">
        <f>IF(B126="","",MAX($B$5:B126))</f>
        <v/>
      </c>
      <c r="AE126" s="256" t="n"/>
      <c r="AF126" s="255" t="n"/>
      <c r="AG126" s="255" t="n"/>
      <c r="AH126" s="255" t="n"/>
      <c r="AI126" s="255" t="n"/>
      <c r="AJ126" s="257">
        <f>IF($A126="","",YEAR($A126)*100+MONTH($A126))</f>
        <v/>
      </c>
      <c r="AK126" s="257">
        <f>IF($A126="","",IF($N126="",0,1))</f>
        <v/>
      </c>
    </row>
    <row r="127">
      <c r="A127" s="247" t="n">
        <v>46178</v>
      </c>
      <c r="B127" s="248">
        <f>IF(V127&lt;&gt;"",V127-T127,IF(AF127&lt;&gt;"",AA127+AF127,""))</f>
        <v/>
      </c>
      <c r="C127" s="249">
        <f>IF(OR(B127="",B126=""),"",B127-B126)</f>
        <v/>
      </c>
      <c r="D127" s="248">
        <f>IF(OR(B127="",AA127=""),"",B127-AA127)</f>
        <v/>
      </c>
      <c r="E127" s="250">
        <f>IF(OR(B127="",AD127=0),"",MIN(0,B127/AD127-1))</f>
        <v/>
      </c>
      <c r="F127" s="250">
        <f>IF(OR(U127="",T127=0,T127=""),"",(P127-T127*1.4)/U127)</f>
        <v/>
      </c>
      <c r="G127" s="251">
        <f>IF(OR(AC127="",'09_CF_원금'!$B$108=0),"",AC127/'09_CF_원금'!$B$108)</f>
        <v/>
      </c>
      <c r="H127" s="250">
        <f>IF(OR(U127="",U127=0,AC127=""),"",AC127/U127)</f>
        <v/>
      </c>
      <c r="I127" s="250">
        <f>IF(OR(S127="",U127=""),"",S127/(U127+S127))</f>
        <v/>
      </c>
      <c r="J127" s="248">
        <f>IF(W127&lt;&gt;"",W127-X127,IF(AG127&lt;&gt;"",AG127,""))</f>
        <v/>
      </c>
      <c r="K127" s="248">
        <f>IF(Q127&lt;&gt;"",Q127-Y127,IF(AH127&lt;&gt;"",AH127,""))</f>
        <v/>
      </c>
      <c r="L127" s="248">
        <f>IF(R127&lt;&gt;"",R127-Z127,IF(AI127&lt;&gt;"",AI127,""))</f>
        <v/>
      </c>
      <c r="M127" s="252" t="n"/>
      <c r="N127" s="253" t="n"/>
      <c r="O127" s="254" t="n"/>
      <c r="P127" s="255" t="n">
        <v>1008570000</v>
      </c>
      <c r="Q127" s="258">
        <f>IF($A127="","",IF(Q126="","",Q126))</f>
        <v/>
      </c>
      <c r="R127" s="258">
        <f>IF($A127="","",IF(R126="","",R126))</f>
        <v/>
      </c>
      <c r="S127" s="258">
        <f>IF($A127="","",IF(S126="","",S126))</f>
        <v/>
      </c>
      <c r="T127" s="249">
        <f>IF(OR(P127="",W127=""),"",P127-W127)</f>
        <v/>
      </c>
      <c r="U127" s="258">
        <f>IF($A127="","",IF(U126="","",U126))</f>
        <v/>
      </c>
      <c r="V127" s="249">
        <f>IF(P127="","",P127+IF(Q127="",0,Q127)+IF(R127="",0,R127))</f>
        <v/>
      </c>
      <c r="W127" s="255" t="n">
        <v>685415234</v>
      </c>
      <c r="X127" s="249">
        <f>SUMIFS('09_CF_원금'!$E$6:$E$92,'09_CF_원금'!$D$6:$D$92,"국장",'09_CF_원금'!$A$6:$A$92,"&lt;="&amp;$A127)-SUMIFS('09_CF_원금'!$E$6:$E$92,'09_CF_원금'!$C$6:$C$92,"국장",'09_CF_원금'!$A$6:$A$92,"&lt;="&amp;$A127)</f>
        <v/>
      </c>
      <c r="Y127" s="249">
        <f>SUMIFS('09_CF_원금'!$E$6:$E$92,'09_CF_원금'!$D$6:$D$92,"미장",'09_CF_원금'!$A$6:$A$92,"&lt;="&amp;$A127)-SUMIFS('09_CF_원금'!$E$6:$E$92,'09_CF_원금'!$C$6:$C$92,"미장",'09_CF_원금'!$A$6:$A$92,"&lt;="&amp;$A127)</f>
        <v/>
      </c>
      <c r="Z127" s="249">
        <f>SUMIFS('09_CF_원금'!$E$6:$E$92,'09_CF_원금'!$D$6:$D$92,"ISA",'09_CF_원금'!$A$6:$A$92,"&lt;="&amp;$A127)-SUMIFS('09_CF_원금'!$E$6:$E$92,'09_CF_원금'!$C$6:$C$92,"ISA",'09_CF_원금'!$A$6:$A$92,"&lt;="&amp;$A127)</f>
        <v/>
      </c>
      <c r="AA127" s="249">
        <f>IF($A127="","",X127+Y127+Z127+SUMIFS('09_CF_원금'!$E$6:$E$92,'09_CF_원금'!$D$6:$D$92,"중국",'09_CF_원금'!$A$6:$A$92,"&lt;="&amp;$A127)-SUMIFS('09_CF_원금'!$E$6:$E$92,'09_CF_원금'!$C$6:$C$92,"중국",'09_CF_원금'!$A$6:$A$92,"&lt;="&amp;$A127)+SUMIFS('09_CF_원금'!$E$6:$E$92,'09_CF_원금'!$D$6:$D$92,"업비트",'09_CF_원금'!$A$6:$A$92,"&lt;="&amp;$A127)-SUMIFS('09_CF_원금'!$E$6:$E$92,'09_CF_원금'!$C$6:$C$92,"업비트",'09_CF_원금'!$A$6:$A$92,"&lt;="&amp;$A127))</f>
        <v/>
      </c>
      <c r="AB127" s="249">
        <f>IF(OR(U127="",V127=""),"",U127-(V127-IF(S127="",0,S127)))</f>
        <v/>
      </c>
      <c r="AC127" s="249">
        <f>IF(AB127="","",T127+AB127)</f>
        <v/>
      </c>
      <c r="AD127" s="249">
        <f>IF(B127="","",MAX($B$5:B127))</f>
        <v/>
      </c>
      <c r="AE127" s="256" t="n"/>
      <c r="AF127" s="255" t="n"/>
      <c r="AG127" s="255" t="n"/>
      <c r="AH127" s="255" t="n"/>
      <c r="AI127" s="255" t="n"/>
      <c r="AJ127" s="257">
        <f>IF($A127="","",YEAR($A127)*100+MONTH($A127))</f>
        <v/>
      </c>
      <c r="AK127" s="257">
        <f>IF($A127="","",IF($N127="",0,1))</f>
        <v/>
      </c>
    </row>
    <row r="128">
      <c r="A128" s="247" t="n">
        <v>46181</v>
      </c>
      <c r="B128" s="248">
        <f>IF(V128&lt;&gt;"",V128-T128,IF(AF128&lt;&gt;"",AA128+AF128,""))</f>
        <v/>
      </c>
      <c r="C128" s="249">
        <f>IF(OR(B128="",B127=""),"",B128-B127)</f>
        <v/>
      </c>
      <c r="D128" s="248">
        <f>IF(OR(B128="",AA128=""),"",B128-AA128)</f>
        <v/>
      </c>
      <c r="E128" s="250">
        <f>IF(OR(B128="",AD128=0),"",MIN(0,B128/AD128-1))</f>
        <v/>
      </c>
      <c r="F128" s="250">
        <f>IF(OR(U128="",T128=0,T128=""),"",(P128-T128*1.4)/U128)</f>
        <v/>
      </c>
      <c r="G128" s="251">
        <f>IF(OR(AC128="",'09_CF_원금'!$B$108=0),"",AC128/'09_CF_원금'!$B$108)</f>
        <v/>
      </c>
      <c r="H128" s="250">
        <f>IF(OR(U128="",U128=0,AC128=""),"",AC128/U128)</f>
        <v/>
      </c>
      <c r="I128" s="250">
        <f>IF(OR(S128="",U128=""),"",S128/(U128+S128))</f>
        <v/>
      </c>
      <c r="J128" s="248">
        <f>IF(W128&lt;&gt;"",W128-X128,IF(AG128&lt;&gt;"",AG128,""))</f>
        <v/>
      </c>
      <c r="K128" s="248">
        <f>IF(Q128&lt;&gt;"",Q128-Y128,IF(AH128&lt;&gt;"",AH128,""))</f>
        <v/>
      </c>
      <c r="L128" s="248">
        <f>IF(R128&lt;&gt;"",R128-Z128,IF(AI128&lt;&gt;"",AI128,""))</f>
        <v/>
      </c>
      <c r="M128" s="252" t="n"/>
      <c r="N128" s="253" t="n"/>
      <c r="O128" s="254" t="n"/>
      <c r="P128" s="255" t="n">
        <v>908402135</v>
      </c>
      <c r="Q128" s="258">
        <f>IF($A128="","",IF(Q127="","",Q127))</f>
        <v/>
      </c>
      <c r="R128" s="258">
        <f>IF($A128="","",IF(R127="","",R127))</f>
        <v/>
      </c>
      <c r="S128" s="258">
        <f>IF($A128="","",IF(S127="","",S127))</f>
        <v/>
      </c>
      <c r="T128" s="249">
        <f>IF(OR(P128="",W128=""),"",P128-W128)</f>
        <v/>
      </c>
      <c r="U128" s="258">
        <f>IF($A128="","",IF(U127="","",U127))</f>
        <v/>
      </c>
      <c r="V128" s="249">
        <f>IF(P128="","",P128+IF(Q128="",0,Q128)+IF(R128="",0,R128))</f>
        <v/>
      </c>
      <c r="W128" s="255" t="n">
        <v>567891222</v>
      </c>
      <c r="X128" s="249">
        <f>SUMIFS('09_CF_원금'!$E$6:$E$92,'09_CF_원금'!$D$6:$D$92,"국장",'09_CF_원금'!$A$6:$A$92,"&lt;="&amp;$A128)-SUMIFS('09_CF_원금'!$E$6:$E$92,'09_CF_원금'!$C$6:$C$92,"국장",'09_CF_원금'!$A$6:$A$92,"&lt;="&amp;$A128)</f>
        <v/>
      </c>
      <c r="Y128" s="249">
        <f>SUMIFS('09_CF_원금'!$E$6:$E$92,'09_CF_원금'!$D$6:$D$92,"미장",'09_CF_원금'!$A$6:$A$92,"&lt;="&amp;$A128)-SUMIFS('09_CF_원금'!$E$6:$E$92,'09_CF_원금'!$C$6:$C$92,"미장",'09_CF_원금'!$A$6:$A$92,"&lt;="&amp;$A128)</f>
        <v/>
      </c>
      <c r="Z128" s="249">
        <f>SUMIFS('09_CF_원금'!$E$6:$E$92,'09_CF_원금'!$D$6:$D$92,"ISA",'09_CF_원금'!$A$6:$A$92,"&lt;="&amp;$A128)-SUMIFS('09_CF_원금'!$E$6:$E$92,'09_CF_원금'!$C$6:$C$92,"ISA",'09_CF_원금'!$A$6:$A$92,"&lt;="&amp;$A128)</f>
        <v/>
      </c>
      <c r="AA128" s="249">
        <f>IF($A128="","",X128+Y128+Z128+SUMIFS('09_CF_원금'!$E$6:$E$92,'09_CF_원금'!$D$6:$D$92,"중국",'09_CF_원금'!$A$6:$A$92,"&lt;="&amp;$A128)-SUMIFS('09_CF_원금'!$E$6:$E$92,'09_CF_원금'!$C$6:$C$92,"중국",'09_CF_원금'!$A$6:$A$92,"&lt;="&amp;$A128)+SUMIFS('09_CF_원금'!$E$6:$E$92,'09_CF_원금'!$D$6:$D$92,"업비트",'09_CF_원금'!$A$6:$A$92,"&lt;="&amp;$A128)-SUMIFS('09_CF_원금'!$E$6:$E$92,'09_CF_원금'!$C$6:$C$92,"업비트",'09_CF_원금'!$A$6:$A$92,"&lt;="&amp;$A128))</f>
        <v/>
      </c>
      <c r="AB128" s="249">
        <f>IF(OR(U128="",V128=""),"",U128-(V128-IF(S128="",0,S128)))</f>
        <v/>
      </c>
      <c r="AC128" s="249">
        <f>IF(AB128="","",T128+AB128)</f>
        <v/>
      </c>
      <c r="AD128" s="249">
        <f>IF(B128="","",MAX($B$5:B128))</f>
        <v/>
      </c>
      <c r="AE128" s="256" t="n"/>
      <c r="AF128" s="255" t="n"/>
      <c r="AG128" s="255" t="n"/>
      <c r="AH128" s="255" t="n"/>
      <c r="AI128" s="255" t="n"/>
      <c r="AJ128" s="257">
        <f>IF($A128="","",YEAR($A128)*100+MONTH($A128))</f>
        <v/>
      </c>
      <c r="AK128" s="257">
        <f>IF($A128="","",IF($N128="",0,1))</f>
        <v/>
      </c>
    </row>
    <row r="129">
      <c r="A129" s="247" t="n">
        <v>46182</v>
      </c>
      <c r="B129" s="248">
        <f>IF(V129&lt;&gt;"",V129-T129,IF(AF129&lt;&gt;"",AA129+AF129,""))</f>
        <v/>
      </c>
      <c r="C129" s="249">
        <f>IF(OR(B129="",B128=""),"",B129-B128)</f>
        <v/>
      </c>
      <c r="D129" s="248">
        <f>IF(OR(B129="",AA129=""),"",B129-AA129)</f>
        <v/>
      </c>
      <c r="E129" s="250">
        <f>IF(OR(B129="",AD129=0),"",MIN(0,B129/AD129-1))</f>
        <v/>
      </c>
      <c r="F129" s="250">
        <f>IF(OR(U129="",T129=0,T129=""),"",(P129-T129*1.4)/U129)</f>
        <v/>
      </c>
      <c r="G129" s="251">
        <f>IF(OR(AC129="",'09_CF_원금'!$B$108=0),"",AC129/'09_CF_원금'!$B$108)</f>
        <v/>
      </c>
      <c r="H129" s="250">
        <f>IF(OR(U129="",U129=0,AC129=""),"",AC129/U129)</f>
        <v/>
      </c>
      <c r="I129" s="250">
        <f>IF(OR(S129="",U129=""),"",S129/(U129+S129))</f>
        <v/>
      </c>
      <c r="J129" s="248">
        <f>IF(W129&lt;&gt;"",W129-X129,IF(AG129&lt;&gt;"",AG129,""))</f>
        <v/>
      </c>
      <c r="K129" s="248">
        <f>IF(Q129&lt;&gt;"",Q129-Y129,IF(AH129&lt;&gt;"",AH129,""))</f>
        <v/>
      </c>
      <c r="L129" s="248">
        <f>IF(R129&lt;&gt;"",R129-Z129,IF(AI129&lt;&gt;"",AI129,""))</f>
        <v/>
      </c>
      <c r="M129" s="252" t="n"/>
      <c r="N129" s="253" t="n"/>
      <c r="O129" s="254" t="n"/>
      <c r="P129" s="255" t="n">
        <v>1116456000</v>
      </c>
      <c r="Q129" s="258">
        <f>IF($A129="","",IF(Q128="","",Q128))</f>
        <v/>
      </c>
      <c r="R129" s="258">
        <f>IF($A129="","",IF(R128="","",R128))</f>
        <v/>
      </c>
      <c r="S129" s="258">
        <f>IF($A129="","",IF(S128="","",S128))</f>
        <v/>
      </c>
      <c r="T129" s="249">
        <f>IF(OR(P129="",W129=""),"",P129-W129)</f>
        <v/>
      </c>
      <c r="U129" s="258">
        <f>IF($A129="","",IF(U128="","",U128))</f>
        <v/>
      </c>
      <c r="V129" s="249">
        <f>IF(P129="","",P129+IF(Q129="",0,Q129)+IF(R129="",0,R129))</f>
        <v/>
      </c>
      <c r="W129" s="255" t="n">
        <v>694048032</v>
      </c>
      <c r="X129" s="249">
        <f>SUMIFS('09_CF_원금'!$E$6:$E$92,'09_CF_원금'!$D$6:$D$92,"국장",'09_CF_원금'!$A$6:$A$92,"&lt;="&amp;$A129)-SUMIFS('09_CF_원금'!$E$6:$E$92,'09_CF_원금'!$C$6:$C$92,"국장",'09_CF_원금'!$A$6:$A$92,"&lt;="&amp;$A129)</f>
        <v/>
      </c>
      <c r="Y129" s="249">
        <f>SUMIFS('09_CF_원금'!$E$6:$E$92,'09_CF_원금'!$D$6:$D$92,"미장",'09_CF_원금'!$A$6:$A$92,"&lt;="&amp;$A129)-SUMIFS('09_CF_원금'!$E$6:$E$92,'09_CF_원금'!$C$6:$C$92,"미장",'09_CF_원금'!$A$6:$A$92,"&lt;="&amp;$A129)</f>
        <v/>
      </c>
      <c r="Z129" s="249">
        <f>SUMIFS('09_CF_원금'!$E$6:$E$92,'09_CF_원금'!$D$6:$D$92,"ISA",'09_CF_원금'!$A$6:$A$92,"&lt;="&amp;$A129)-SUMIFS('09_CF_원금'!$E$6:$E$92,'09_CF_원금'!$C$6:$C$92,"ISA",'09_CF_원금'!$A$6:$A$92,"&lt;="&amp;$A129)</f>
        <v/>
      </c>
      <c r="AA129" s="249">
        <f>IF($A129="","",X129+Y129+Z129+SUMIFS('09_CF_원금'!$E$6:$E$92,'09_CF_원금'!$D$6:$D$92,"중국",'09_CF_원금'!$A$6:$A$92,"&lt;="&amp;$A129)-SUMIFS('09_CF_원금'!$E$6:$E$92,'09_CF_원금'!$C$6:$C$92,"중국",'09_CF_원금'!$A$6:$A$92,"&lt;="&amp;$A129)+SUMIFS('09_CF_원금'!$E$6:$E$92,'09_CF_원금'!$D$6:$D$92,"업비트",'09_CF_원금'!$A$6:$A$92,"&lt;="&amp;$A129)-SUMIFS('09_CF_원금'!$E$6:$E$92,'09_CF_원금'!$C$6:$C$92,"업비트",'09_CF_원금'!$A$6:$A$92,"&lt;="&amp;$A129))</f>
        <v/>
      </c>
      <c r="AB129" s="249">
        <f>IF(OR(U129="",V129=""),"",U129-(V129-IF(S129="",0,S129)))</f>
        <v/>
      </c>
      <c r="AC129" s="249">
        <f>IF(AB129="","",T129+AB129)</f>
        <v/>
      </c>
      <c r="AD129" s="249">
        <f>IF(B129="","",MAX($B$5:B129))</f>
        <v/>
      </c>
      <c r="AE129" s="256" t="n"/>
      <c r="AF129" s="255" t="n"/>
      <c r="AG129" s="255" t="n"/>
      <c r="AH129" s="255" t="n"/>
      <c r="AI129" s="255" t="n"/>
      <c r="AJ129" s="257">
        <f>IF($A129="","",YEAR($A129)*100+MONTH($A129))</f>
        <v/>
      </c>
      <c r="AK129" s="257">
        <f>IF($A129="","",IF($N129="",0,1))</f>
        <v/>
      </c>
    </row>
    <row r="130">
      <c r="A130" s="247" t="n">
        <v>46183</v>
      </c>
      <c r="B130" s="248">
        <f>IF(V130&lt;&gt;"",V130-T130,IF(AF130&lt;&gt;"",AA130+AF130,""))</f>
        <v/>
      </c>
      <c r="C130" s="249">
        <f>IF(OR(B130="",B129=""),"",B130-B129)</f>
        <v/>
      </c>
      <c r="D130" s="248">
        <f>IF(OR(B130="",AA130=""),"",B130-AA130)</f>
        <v/>
      </c>
      <c r="E130" s="250">
        <f>IF(OR(B130="",AD130=0),"",MIN(0,B130/AD130-1))</f>
        <v/>
      </c>
      <c r="F130" s="250">
        <f>IF(OR(U130="",T130=0,T130=""),"",(P130-T130*1.4)/U130)</f>
        <v/>
      </c>
      <c r="G130" s="251">
        <f>IF(OR(AC130="",'09_CF_원금'!$B$108=0),"",AC130/'09_CF_원금'!$B$108)</f>
        <v/>
      </c>
      <c r="H130" s="250">
        <f>IF(OR(U130="",U130=0,AC130=""),"",AC130/U130)</f>
        <v/>
      </c>
      <c r="I130" s="250">
        <f>IF(OR(S130="",U130=""),"",S130/(U130+S130))</f>
        <v/>
      </c>
      <c r="J130" s="248">
        <f>IF(W130&lt;&gt;"",W130-X130,IF(AG130&lt;&gt;"",AG130,""))</f>
        <v/>
      </c>
      <c r="K130" s="248">
        <f>IF(Q130&lt;&gt;"",Q130-Y130,IF(AH130&lt;&gt;"",AH130,""))</f>
        <v/>
      </c>
      <c r="L130" s="248">
        <f>IF(R130&lt;&gt;"",R130-Z130,IF(AI130&lt;&gt;"",AI130,""))</f>
        <v/>
      </c>
      <c r="M130" s="252" t="n"/>
      <c r="N130" s="253" t="n"/>
      <c r="O130" s="254" t="n"/>
      <c r="P130" s="255" t="n">
        <v>1026547300</v>
      </c>
      <c r="Q130" s="258">
        <f>IF($A130="","",IF(Q129="","",Q129))</f>
        <v/>
      </c>
      <c r="R130" s="258">
        <f>IF($A130="","",IF(R129="","",R129))</f>
        <v/>
      </c>
      <c r="S130" s="258">
        <f>IF($A130="","",IF(S129="","",S129))</f>
        <v/>
      </c>
      <c r="T130" s="249">
        <f>IF(OR(P130="",W130=""),"",P130-W130)</f>
        <v/>
      </c>
      <c r="U130" s="258">
        <f>IF($A130="","",IF(U129="","",U129))</f>
        <v/>
      </c>
      <c r="V130" s="249">
        <f>IF(P130="","",P130+IF(Q130="",0,Q130)+IF(R130="",0,R130))</f>
        <v/>
      </c>
      <c r="W130" s="255" t="n">
        <v>603794412</v>
      </c>
      <c r="X130" s="249">
        <f>SUMIFS('09_CF_원금'!$E$6:$E$92,'09_CF_원금'!$D$6:$D$92,"국장",'09_CF_원금'!$A$6:$A$92,"&lt;="&amp;$A130)-SUMIFS('09_CF_원금'!$E$6:$E$92,'09_CF_원금'!$C$6:$C$92,"국장",'09_CF_원금'!$A$6:$A$92,"&lt;="&amp;$A130)</f>
        <v/>
      </c>
      <c r="Y130" s="249">
        <f>SUMIFS('09_CF_원금'!$E$6:$E$92,'09_CF_원금'!$D$6:$D$92,"미장",'09_CF_원금'!$A$6:$A$92,"&lt;="&amp;$A130)-SUMIFS('09_CF_원금'!$E$6:$E$92,'09_CF_원금'!$C$6:$C$92,"미장",'09_CF_원금'!$A$6:$A$92,"&lt;="&amp;$A130)</f>
        <v/>
      </c>
      <c r="Z130" s="249">
        <f>SUMIFS('09_CF_원금'!$E$6:$E$92,'09_CF_원금'!$D$6:$D$92,"ISA",'09_CF_원금'!$A$6:$A$92,"&lt;="&amp;$A130)-SUMIFS('09_CF_원금'!$E$6:$E$92,'09_CF_원금'!$C$6:$C$92,"ISA",'09_CF_원금'!$A$6:$A$92,"&lt;="&amp;$A130)</f>
        <v/>
      </c>
      <c r="AA130" s="249">
        <f>IF($A130="","",X130+Y130+Z130+SUMIFS('09_CF_원금'!$E$6:$E$92,'09_CF_원금'!$D$6:$D$92,"중국",'09_CF_원금'!$A$6:$A$92,"&lt;="&amp;$A130)-SUMIFS('09_CF_원금'!$E$6:$E$92,'09_CF_원금'!$C$6:$C$92,"중국",'09_CF_원금'!$A$6:$A$92,"&lt;="&amp;$A130)+SUMIFS('09_CF_원금'!$E$6:$E$92,'09_CF_원금'!$D$6:$D$92,"업비트",'09_CF_원금'!$A$6:$A$92,"&lt;="&amp;$A130)-SUMIFS('09_CF_원금'!$E$6:$E$92,'09_CF_원금'!$C$6:$C$92,"업비트",'09_CF_원금'!$A$6:$A$92,"&lt;="&amp;$A130))</f>
        <v/>
      </c>
      <c r="AB130" s="249">
        <f>IF(OR(U130="",V130=""),"",U130-(V130-IF(S130="",0,S130)))</f>
        <v/>
      </c>
      <c r="AC130" s="249">
        <f>IF(AB130="","",T130+AB130)</f>
        <v/>
      </c>
      <c r="AD130" s="249">
        <f>IF(B130="","",MAX($B$5:B130))</f>
        <v/>
      </c>
      <c r="AE130" s="256" t="n"/>
      <c r="AF130" s="255" t="n"/>
      <c r="AG130" s="255" t="n"/>
      <c r="AH130" s="255" t="n"/>
      <c r="AI130" s="255" t="n"/>
      <c r="AJ130" s="257">
        <f>IF($A130="","",YEAR($A130)*100+MONTH($A130))</f>
        <v/>
      </c>
      <c r="AK130" s="257">
        <f>IF($A130="","",IF($N130="",0,1))</f>
        <v/>
      </c>
    </row>
    <row r="131">
      <c r="A131" s="247" t="n">
        <v>46184</v>
      </c>
      <c r="B131" s="248">
        <f>IF(V131&lt;&gt;"",V131-T131,IF(AF131&lt;&gt;"",AA131+AF131,""))</f>
        <v/>
      </c>
      <c r="C131" s="249">
        <f>IF(OR(B131="",B130=""),"",B131-B130)</f>
        <v/>
      </c>
      <c r="D131" s="248">
        <f>IF(OR(B131="",AA131=""),"",B131-AA131)</f>
        <v/>
      </c>
      <c r="E131" s="250">
        <f>IF(OR(B131="",AD131=0),"",MIN(0,B131/AD131-1))</f>
        <v/>
      </c>
      <c r="F131" s="250">
        <f>IF(OR(U131="",T131=0,T131=""),"",(P131-T131*1.4)/U131)</f>
        <v/>
      </c>
      <c r="G131" s="251">
        <f>IF(OR(AC131="",'09_CF_원금'!$B$108=0),"",AC131/'09_CF_원금'!$B$108)</f>
        <v/>
      </c>
      <c r="H131" s="250">
        <f>IF(OR(U131="",U131=0,AC131=""),"",AC131/U131)</f>
        <v/>
      </c>
      <c r="I131" s="250">
        <f>IF(OR(S131="",U131=""),"",S131/(U131+S131))</f>
        <v/>
      </c>
      <c r="J131" s="248">
        <f>IF(W131&lt;&gt;"",W131-X131,IF(AG131&lt;&gt;"",AG131,""))</f>
        <v/>
      </c>
      <c r="K131" s="248">
        <f>IF(Q131&lt;&gt;"",Q131-Y131,IF(AH131&lt;&gt;"",AH131,""))</f>
        <v/>
      </c>
      <c r="L131" s="248">
        <f>IF(R131&lt;&gt;"",R131-Z131,IF(AI131&lt;&gt;"",AI131,""))</f>
        <v/>
      </c>
      <c r="M131" s="252" t="n"/>
      <c r="N131" s="253" t="n"/>
      <c r="O131" s="254" t="n"/>
      <c r="P131" s="255" t="n">
        <v>1113962400</v>
      </c>
      <c r="Q131" s="258">
        <f>IF($A131="","",IF(Q130="","",Q130))</f>
        <v/>
      </c>
      <c r="R131" s="258">
        <f>IF($A131="","",IF(R130="","",R130))</f>
        <v/>
      </c>
      <c r="S131" s="258">
        <f>IF($A131="","",IF(S130="","",S130))</f>
        <v/>
      </c>
      <c r="T131" s="249">
        <f>IF(OR(P131="",W131=""),"",P131-W131)</f>
        <v/>
      </c>
      <c r="U131" s="258">
        <f>IF($A131="","",IF(U130="","",U130))</f>
        <v/>
      </c>
      <c r="V131" s="249">
        <f>IF(P131="","",P131+IF(Q131="",0,Q131)+IF(R131="",0,R131))</f>
        <v/>
      </c>
      <c r="W131" s="255" t="n">
        <v>606280733</v>
      </c>
      <c r="X131" s="249">
        <f>SUMIFS('09_CF_원금'!$E$6:$E$92,'09_CF_원금'!$D$6:$D$92,"국장",'09_CF_원금'!$A$6:$A$92,"&lt;="&amp;$A131)-SUMIFS('09_CF_원금'!$E$6:$E$92,'09_CF_원금'!$C$6:$C$92,"국장",'09_CF_원금'!$A$6:$A$92,"&lt;="&amp;$A131)</f>
        <v/>
      </c>
      <c r="Y131" s="249">
        <f>SUMIFS('09_CF_원금'!$E$6:$E$92,'09_CF_원금'!$D$6:$D$92,"미장",'09_CF_원금'!$A$6:$A$92,"&lt;="&amp;$A131)-SUMIFS('09_CF_원금'!$E$6:$E$92,'09_CF_원금'!$C$6:$C$92,"미장",'09_CF_원금'!$A$6:$A$92,"&lt;="&amp;$A131)</f>
        <v/>
      </c>
      <c r="Z131" s="249">
        <f>SUMIFS('09_CF_원금'!$E$6:$E$92,'09_CF_원금'!$D$6:$D$92,"ISA",'09_CF_원금'!$A$6:$A$92,"&lt;="&amp;$A131)-SUMIFS('09_CF_원금'!$E$6:$E$92,'09_CF_원금'!$C$6:$C$92,"ISA",'09_CF_원금'!$A$6:$A$92,"&lt;="&amp;$A131)</f>
        <v/>
      </c>
      <c r="AA131" s="249">
        <f>IF($A131="","",X131+Y131+Z131+SUMIFS('09_CF_원금'!$E$6:$E$92,'09_CF_원금'!$D$6:$D$92,"중국",'09_CF_원금'!$A$6:$A$92,"&lt;="&amp;$A131)-SUMIFS('09_CF_원금'!$E$6:$E$92,'09_CF_원금'!$C$6:$C$92,"중국",'09_CF_원금'!$A$6:$A$92,"&lt;="&amp;$A131)+SUMIFS('09_CF_원금'!$E$6:$E$92,'09_CF_원금'!$D$6:$D$92,"업비트",'09_CF_원금'!$A$6:$A$92,"&lt;="&amp;$A131)-SUMIFS('09_CF_원금'!$E$6:$E$92,'09_CF_원금'!$C$6:$C$92,"업비트",'09_CF_원금'!$A$6:$A$92,"&lt;="&amp;$A131))</f>
        <v/>
      </c>
      <c r="AB131" s="249">
        <f>IF(OR(U131="",V131=""),"",U131-(V131-IF(S131="",0,S131)))</f>
        <v/>
      </c>
      <c r="AC131" s="249">
        <f>IF(AB131="","",T131+AB131)</f>
        <v/>
      </c>
      <c r="AD131" s="249">
        <f>IF(B131="","",MAX($B$5:B131))</f>
        <v/>
      </c>
      <c r="AE131" s="256" t="n"/>
      <c r="AF131" s="255" t="n"/>
      <c r="AG131" s="255" t="n"/>
      <c r="AH131" s="255" t="n"/>
      <c r="AI131" s="255" t="n"/>
      <c r="AJ131" s="257">
        <f>IF($A131="","",YEAR($A131)*100+MONTH($A131))</f>
        <v/>
      </c>
      <c r="AK131" s="257">
        <f>IF($A131="","",IF($N131="",0,1))</f>
        <v/>
      </c>
    </row>
    <row r="132">
      <c r="A132" s="247" t="n">
        <v>46185</v>
      </c>
      <c r="B132" s="248">
        <f>IF(V132&lt;&gt;"",V132-T132,IF(AF132&lt;&gt;"",AA132+AF132,""))</f>
        <v/>
      </c>
      <c r="C132" s="249">
        <f>IF(OR(B132="",B131=""),"",B132-B131)</f>
        <v/>
      </c>
      <c r="D132" s="248">
        <f>IF(OR(B132="",AA132=""),"",B132-AA132)</f>
        <v/>
      </c>
      <c r="E132" s="250">
        <f>IF(OR(B132="",AD132=0),"",MIN(0,B132/AD132-1))</f>
        <v/>
      </c>
      <c r="F132" s="250">
        <f>IF(OR(U132="",T132=0,T132=""),"",(P132-T132*1.4)/U132)</f>
        <v/>
      </c>
      <c r="G132" s="251">
        <f>IF(OR(AC132="",'09_CF_원금'!$B$108=0),"",AC132/'09_CF_원금'!$B$108)</f>
        <v/>
      </c>
      <c r="H132" s="250">
        <f>IF(OR(U132="",U132=0,AC132=""),"",AC132/U132)</f>
        <v/>
      </c>
      <c r="I132" s="250">
        <f>IF(OR(S132="",U132=""),"",S132/(U132+S132))</f>
        <v/>
      </c>
      <c r="J132" s="248">
        <f>IF(W132&lt;&gt;"",W132-X132,IF(AG132&lt;&gt;"",AG132,""))</f>
        <v/>
      </c>
      <c r="K132" s="248">
        <f>IF(Q132&lt;&gt;"",Q132-Y132,IF(AH132&lt;&gt;"",AH132,""))</f>
        <v/>
      </c>
      <c r="L132" s="248">
        <f>IF(R132&lt;&gt;"",R132-Z132,IF(AI132&lt;&gt;"",AI132,""))</f>
        <v/>
      </c>
      <c r="M132" s="252" t="n"/>
      <c r="N132" s="253" t="n"/>
      <c r="O132" s="254" t="n"/>
      <c r="P132" s="255" t="n">
        <v>1064878000</v>
      </c>
      <c r="Q132" s="258">
        <f>IF($A132="","",IF(Q131="","",Q131))</f>
        <v/>
      </c>
      <c r="R132" s="258">
        <f>IF($A132="","",IF(R131="","",R131))</f>
        <v/>
      </c>
      <c r="S132" s="258">
        <f>IF($A132="","",IF(S131="","",S131))</f>
        <v/>
      </c>
      <c r="T132" s="249">
        <f>IF(OR(P132="",W132=""),"",P132-W132)</f>
        <v/>
      </c>
      <c r="U132" s="258">
        <f>IF($A132="","",IF(U131="","",U131))</f>
        <v/>
      </c>
      <c r="V132" s="249">
        <f>IF(P132="","",P132+IF(Q132="",0,Q132)+IF(R132="",0,R132))</f>
        <v/>
      </c>
      <c r="W132" s="255" t="n">
        <v>667228183</v>
      </c>
      <c r="X132" s="249">
        <f>SUMIFS('09_CF_원금'!$E$6:$E$92,'09_CF_원금'!$D$6:$D$92,"국장",'09_CF_원금'!$A$6:$A$92,"&lt;="&amp;$A132)-SUMIFS('09_CF_원금'!$E$6:$E$92,'09_CF_원금'!$C$6:$C$92,"국장",'09_CF_원금'!$A$6:$A$92,"&lt;="&amp;$A132)</f>
        <v/>
      </c>
      <c r="Y132" s="249">
        <f>SUMIFS('09_CF_원금'!$E$6:$E$92,'09_CF_원금'!$D$6:$D$92,"미장",'09_CF_원금'!$A$6:$A$92,"&lt;="&amp;$A132)-SUMIFS('09_CF_원금'!$E$6:$E$92,'09_CF_원금'!$C$6:$C$92,"미장",'09_CF_원금'!$A$6:$A$92,"&lt;="&amp;$A132)</f>
        <v/>
      </c>
      <c r="Z132" s="249">
        <f>SUMIFS('09_CF_원금'!$E$6:$E$92,'09_CF_원금'!$D$6:$D$92,"ISA",'09_CF_원금'!$A$6:$A$92,"&lt;="&amp;$A132)-SUMIFS('09_CF_원금'!$E$6:$E$92,'09_CF_원금'!$C$6:$C$92,"ISA",'09_CF_원금'!$A$6:$A$92,"&lt;="&amp;$A132)</f>
        <v/>
      </c>
      <c r="AA132" s="249">
        <f>IF($A132="","",X132+Y132+Z132+SUMIFS('09_CF_원금'!$E$6:$E$92,'09_CF_원금'!$D$6:$D$92,"중국",'09_CF_원금'!$A$6:$A$92,"&lt;="&amp;$A132)-SUMIFS('09_CF_원금'!$E$6:$E$92,'09_CF_원금'!$C$6:$C$92,"중국",'09_CF_원금'!$A$6:$A$92,"&lt;="&amp;$A132)+SUMIFS('09_CF_원금'!$E$6:$E$92,'09_CF_원금'!$D$6:$D$92,"업비트",'09_CF_원금'!$A$6:$A$92,"&lt;="&amp;$A132)-SUMIFS('09_CF_원금'!$E$6:$E$92,'09_CF_원금'!$C$6:$C$92,"업비트",'09_CF_원금'!$A$6:$A$92,"&lt;="&amp;$A132))</f>
        <v/>
      </c>
      <c r="AB132" s="249">
        <f>IF(OR(U132="",V132=""),"",U132-(V132-IF(S132="",0,S132)))</f>
        <v/>
      </c>
      <c r="AC132" s="249">
        <f>IF(AB132="","",T132+AB132)</f>
        <v/>
      </c>
      <c r="AD132" s="249">
        <f>IF(B132="","",MAX($B$5:B132))</f>
        <v/>
      </c>
      <c r="AE132" s="256" t="n"/>
      <c r="AF132" s="255" t="n"/>
      <c r="AG132" s="255" t="n"/>
      <c r="AH132" s="255" t="n"/>
      <c r="AI132" s="255" t="n"/>
      <c r="AJ132" s="257">
        <f>IF($A132="","",YEAR($A132)*100+MONTH($A132))</f>
        <v/>
      </c>
      <c r="AK132" s="257">
        <f>IF($A132="","",IF($N132="",0,1))</f>
        <v/>
      </c>
    </row>
    <row r="133">
      <c r="A133" s="247" t="n">
        <v>46188</v>
      </c>
      <c r="B133" s="248">
        <f>IF(V133&lt;&gt;"",V133-T133,IF(AF133&lt;&gt;"",AA133+AF133,""))</f>
        <v/>
      </c>
      <c r="C133" s="249">
        <f>IF(OR(B133="",B132=""),"",B133-B132)</f>
        <v/>
      </c>
      <c r="D133" s="248">
        <f>IF(OR(B133="",AA133=""),"",B133-AA133)</f>
        <v/>
      </c>
      <c r="E133" s="250">
        <f>IF(OR(B133="",AD133=0),"",MIN(0,B133/AD133-1))</f>
        <v/>
      </c>
      <c r="F133" s="250">
        <f>IF(OR(U133="",T133=0,T133=""),"",(P133-T133*1.4)/U133)</f>
        <v/>
      </c>
      <c r="G133" s="251">
        <f>IF(OR(AC133="",'09_CF_원금'!$B$108=0),"",AC133/'09_CF_원금'!$B$108)</f>
        <v/>
      </c>
      <c r="H133" s="250">
        <f>IF(OR(U133="",U133=0,AC133=""),"",AC133/U133)</f>
        <v/>
      </c>
      <c r="I133" s="250">
        <f>IF(OR(S133="",U133=""),"",S133/(U133+S133))</f>
        <v/>
      </c>
      <c r="J133" s="248">
        <f>IF(W133&lt;&gt;"",W133-X133,IF(AG133&lt;&gt;"",AG133,""))</f>
        <v/>
      </c>
      <c r="K133" s="248">
        <f>IF(Q133&lt;&gt;"",Q133-Y133,IF(AH133&lt;&gt;"",AH133,""))</f>
        <v/>
      </c>
      <c r="L133" s="248">
        <f>IF(R133&lt;&gt;"",R133-Z133,IF(AI133&lt;&gt;"",AI133,""))</f>
        <v/>
      </c>
      <c r="M133" s="252" t="n"/>
      <c r="N133" s="253" t="n"/>
      <c r="O133" s="254" t="n"/>
      <c r="P133" s="255" t="n">
        <v>1099471500</v>
      </c>
      <c r="Q133" s="258">
        <f>IF($A133="","",IF(Q132="","",Q132))</f>
        <v/>
      </c>
      <c r="R133" s="258">
        <f>IF($A133="","",IF(R132="","",R132))</f>
        <v/>
      </c>
      <c r="S133" s="258">
        <f>IF($A133="","",IF(S132="","",S132))</f>
        <v/>
      </c>
      <c r="T133" s="249">
        <f>IF(OR(P133="",W133=""),"",P133-W133)</f>
        <v/>
      </c>
      <c r="U133" s="258">
        <f>IF($A133="","",IF(U132="","",U132))</f>
        <v/>
      </c>
      <c r="V133" s="249">
        <f>IF(P133="","",P133+IF(Q133="",0,Q133)+IF(R133="",0,R133))</f>
        <v/>
      </c>
      <c r="W133" s="255" t="n">
        <v>748886222</v>
      </c>
      <c r="X133" s="249">
        <f>SUMIFS('09_CF_원금'!$E$6:$E$92,'09_CF_원금'!$D$6:$D$92,"국장",'09_CF_원금'!$A$6:$A$92,"&lt;="&amp;$A133)-SUMIFS('09_CF_원금'!$E$6:$E$92,'09_CF_원금'!$C$6:$C$92,"국장",'09_CF_원금'!$A$6:$A$92,"&lt;="&amp;$A133)</f>
        <v/>
      </c>
      <c r="Y133" s="249">
        <f>SUMIFS('09_CF_원금'!$E$6:$E$92,'09_CF_원금'!$D$6:$D$92,"미장",'09_CF_원금'!$A$6:$A$92,"&lt;="&amp;$A133)-SUMIFS('09_CF_원금'!$E$6:$E$92,'09_CF_원금'!$C$6:$C$92,"미장",'09_CF_원금'!$A$6:$A$92,"&lt;="&amp;$A133)</f>
        <v/>
      </c>
      <c r="Z133" s="249">
        <f>SUMIFS('09_CF_원금'!$E$6:$E$92,'09_CF_원금'!$D$6:$D$92,"ISA",'09_CF_원금'!$A$6:$A$92,"&lt;="&amp;$A133)-SUMIFS('09_CF_원금'!$E$6:$E$92,'09_CF_원금'!$C$6:$C$92,"ISA",'09_CF_원금'!$A$6:$A$92,"&lt;="&amp;$A133)</f>
        <v/>
      </c>
      <c r="AA133" s="249">
        <f>IF($A133="","",X133+Y133+Z133+SUMIFS('09_CF_원금'!$E$6:$E$92,'09_CF_원금'!$D$6:$D$92,"중국",'09_CF_원금'!$A$6:$A$92,"&lt;="&amp;$A133)-SUMIFS('09_CF_원금'!$E$6:$E$92,'09_CF_원금'!$C$6:$C$92,"중국",'09_CF_원금'!$A$6:$A$92,"&lt;="&amp;$A133)+SUMIFS('09_CF_원금'!$E$6:$E$92,'09_CF_원금'!$D$6:$D$92,"업비트",'09_CF_원금'!$A$6:$A$92,"&lt;="&amp;$A133)-SUMIFS('09_CF_원금'!$E$6:$E$92,'09_CF_원금'!$C$6:$C$92,"업비트",'09_CF_원금'!$A$6:$A$92,"&lt;="&amp;$A133))</f>
        <v/>
      </c>
      <c r="AB133" s="249">
        <f>IF(OR(U133="",V133=""),"",U133-(V133-IF(S133="",0,S133)))</f>
        <v/>
      </c>
      <c r="AC133" s="249">
        <f>IF(AB133="","",T133+AB133)</f>
        <v/>
      </c>
      <c r="AD133" s="249">
        <f>IF(B133="","",MAX($B$5:B133))</f>
        <v/>
      </c>
      <c r="AE133" s="256" t="n"/>
      <c r="AF133" s="255" t="n"/>
      <c r="AG133" s="255" t="n"/>
      <c r="AH133" s="255" t="n"/>
      <c r="AI133" s="255" t="n"/>
      <c r="AJ133" s="257">
        <f>IF($A133="","",YEAR($A133)*100+MONTH($A133))</f>
        <v/>
      </c>
      <c r="AK133" s="257">
        <f>IF($A133="","",IF($N133="",0,1))</f>
        <v/>
      </c>
    </row>
    <row r="134">
      <c r="A134" s="247" t="n">
        <v>46189</v>
      </c>
      <c r="B134" s="248">
        <f>IF(V134&lt;&gt;"",V134-T134,IF(AF134&lt;&gt;"",AA134+AF134,""))</f>
        <v/>
      </c>
      <c r="C134" s="249">
        <f>IF(OR(B134="",B133=""),"",B134-B133)</f>
        <v/>
      </c>
      <c r="D134" s="248">
        <f>IF(OR(B134="",AA134=""),"",B134-AA134)</f>
        <v/>
      </c>
      <c r="E134" s="250">
        <f>IF(OR(B134="",AD134=0),"",MIN(0,B134/AD134-1))</f>
        <v/>
      </c>
      <c r="F134" s="250">
        <f>IF(OR(U134="",T134=0,T134=""),"",(P134-T134*1.4)/U134)</f>
        <v/>
      </c>
      <c r="G134" s="251">
        <f>IF(OR(AC134="",'09_CF_원금'!$B$108=0),"",AC134/'09_CF_원금'!$B$108)</f>
        <v/>
      </c>
      <c r="H134" s="250">
        <f>IF(OR(U134="",U134=0,AC134=""),"",AC134/U134)</f>
        <v/>
      </c>
      <c r="I134" s="250">
        <f>IF(OR(S134="",U134=""),"",S134/(U134+S134))</f>
        <v/>
      </c>
      <c r="J134" s="248">
        <f>IF(W134&lt;&gt;"",W134-X134,IF(AG134&lt;&gt;"",AG134,""))</f>
        <v/>
      </c>
      <c r="K134" s="248">
        <f>IF(Q134&lt;&gt;"",Q134-Y134,IF(AH134&lt;&gt;"",AH134,""))</f>
        <v/>
      </c>
      <c r="L134" s="248">
        <f>IF(R134&lt;&gt;"",R134-Z134,IF(AI134&lt;&gt;"",AI134,""))</f>
        <v/>
      </c>
      <c r="M134" s="252" t="n"/>
      <c r="N134" s="253" t="n"/>
      <c r="O134" s="254" t="n"/>
      <c r="P134" s="255" t="n">
        <v>1108118000</v>
      </c>
      <c r="Q134" s="258">
        <f>IF($A134="","",IF(Q133="","",Q133))</f>
        <v/>
      </c>
      <c r="R134" s="258">
        <f>IF($A134="","",IF(R133="","",R133))</f>
        <v/>
      </c>
      <c r="S134" s="258">
        <f>IF($A134="","",IF(S133="","",S133))</f>
        <v/>
      </c>
      <c r="T134" s="249">
        <f>IF(OR(P134="",W134=""),"",P134-W134)</f>
        <v/>
      </c>
      <c r="U134" s="258">
        <f>IF($A134="","",IF(U133="","",U133))</f>
        <v/>
      </c>
      <c r="V134" s="249">
        <f>IF(P134="","",P134+IF(Q134="",0,Q134)+IF(R134="",0,R134))</f>
        <v/>
      </c>
      <c r="W134" s="255" t="n">
        <v>787208364</v>
      </c>
      <c r="X134" s="249">
        <f>SUMIFS('09_CF_원금'!$E$6:$E$92,'09_CF_원금'!$D$6:$D$92,"국장",'09_CF_원금'!$A$6:$A$92,"&lt;="&amp;$A134)-SUMIFS('09_CF_원금'!$E$6:$E$92,'09_CF_원금'!$C$6:$C$92,"국장",'09_CF_원금'!$A$6:$A$92,"&lt;="&amp;$A134)</f>
        <v/>
      </c>
      <c r="Y134" s="249">
        <f>SUMIFS('09_CF_원금'!$E$6:$E$92,'09_CF_원금'!$D$6:$D$92,"미장",'09_CF_원금'!$A$6:$A$92,"&lt;="&amp;$A134)-SUMIFS('09_CF_원금'!$E$6:$E$92,'09_CF_원금'!$C$6:$C$92,"미장",'09_CF_원금'!$A$6:$A$92,"&lt;="&amp;$A134)</f>
        <v/>
      </c>
      <c r="Z134" s="249">
        <f>SUMIFS('09_CF_원금'!$E$6:$E$92,'09_CF_원금'!$D$6:$D$92,"ISA",'09_CF_원금'!$A$6:$A$92,"&lt;="&amp;$A134)-SUMIFS('09_CF_원금'!$E$6:$E$92,'09_CF_원금'!$C$6:$C$92,"ISA",'09_CF_원금'!$A$6:$A$92,"&lt;="&amp;$A134)</f>
        <v/>
      </c>
      <c r="AA134" s="249">
        <f>IF($A134="","",X134+Y134+Z134+SUMIFS('09_CF_원금'!$E$6:$E$92,'09_CF_원금'!$D$6:$D$92,"중국",'09_CF_원금'!$A$6:$A$92,"&lt;="&amp;$A134)-SUMIFS('09_CF_원금'!$E$6:$E$92,'09_CF_원금'!$C$6:$C$92,"중국",'09_CF_원금'!$A$6:$A$92,"&lt;="&amp;$A134)+SUMIFS('09_CF_원금'!$E$6:$E$92,'09_CF_원금'!$D$6:$D$92,"업비트",'09_CF_원금'!$A$6:$A$92,"&lt;="&amp;$A134)-SUMIFS('09_CF_원금'!$E$6:$E$92,'09_CF_원금'!$C$6:$C$92,"업비트",'09_CF_원금'!$A$6:$A$92,"&lt;="&amp;$A134))</f>
        <v/>
      </c>
      <c r="AB134" s="249">
        <f>IF(OR(U134="",V134=""),"",U134-(V134-IF(S134="",0,S134)))</f>
        <v/>
      </c>
      <c r="AC134" s="249">
        <f>IF(AB134="","",T134+AB134)</f>
        <v/>
      </c>
      <c r="AD134" s="249">
        <f>IF(B134="","",MAX($B$5:B134))</f>
        <v/>
      </c>
      <c r="AE134" s="256" t="n"/>
      <c r="AF134" s="255" t="n"/>
      <c r="AG134" s="255" t="n"/>
      <c r="AH134" s="255" t="n"/>
      <c r="AI134" s="255" t="n"/>
      <c r="AJ134" s="257">
        <f>IF($A134="","",YEAR($A134)*100+MONTH($A134))</f>
        <v/>
      </c>
      <c r="AK134" s="257">
        <f>IF($A134="","",IF($N134="",0,1))</f>
        <v/>
      </c>
    </row>
    <row r="135">
      <c r="A135" s="247" t="n">
        <v>46190</v>
      </c>
      <c r="B135" s="248">
        <f>IF(V135&lt;&gt;"",V135-T135,IF(AF135&lt;&gt;"",AA135+AF135,""))</f>
        <v/>
      </c>
      <c r="C135" s="249">
        <f>IF(OR(B135="",B134=""),"",B135-B134)</f>
        <v/>
      </c>
      <c r="D135" s="248">
        <f>IF(OR(B135="",AA135=""),"",B135-AA135)</f>
        <v/>
      </c>
      <c r="E135" s="250">
        <f>IF(OR(B135="",AD135=0),"",MIN(0,B135/AD135-1))</f>
        <v/>
      </c>
      <c r="F135" s="250">
        <f>IF(OR(U135="",T135=0,T135=""),"",(P135-T135*1.4)/U135)</f>
        <v/>
      </c>
      <c r="G135" s="251">
        <f>IF(OR(AC135="",'09_CF_원금'!$B$108=0),"",AC135/'09_CF_원금'!$B$108)</f>
        <v/>
      </c>
      <c r="H135" s="250">
        <f>IF(OR(U135="",U135=0,AC135=""),"",AC135/U135)</f>
        <v/>
      </c>
      <c r="I135" s="250">
        <f>IF(OR(S135="",U135=""),"",S135/(U135+S135))</f>
        <v/>
      </c>
      <c r="J135" s="248">
        <f>IF(W135&lt;&gt;"",W135-X135,IF(AG135&lt;&gt;"",AG135,""))</f>
        <v/>
      </c>
      <c r="K135" s="248">
        <f>IF(Q135&lt;&gt;"",Q135-Y135,IF(AH135&lt;&gt;"",AH135,""))</f>
        <v/>
      </c>
      <c r="L135" s="248">
        <f>IF(R135&lt;&gt;"",R135-Z135,IF(AI135&lt;&gt;"",AI135,""))</f>
        <v/>
      </c>
      <c r="M135" s="252" t="n"/>
      <c r="N135" s="253" t="n"/>
      <c r="O135" s="254" t="n"/>
      <c r="P135" s="255" t="n">
        <v>1172774000</v>
      </c>
      <c r="Q135" s="258">
        <f>IF($A135="","",IF(Q134="","",Q134))</f>
        <v/>
      </c>
      <c r="R135" s="258">
        <f>IF($A135="","",IF(R134="","",R134))</f>
        <v/>
      </c>
      <c r="S135" s="258">
        <f>IF($A135="","",IF(S134="","",S134))</f>
        <v/>
      </c>
      <c r="T135" s="249">
        <f>IF(OR(P135="",W135=""),"",P135-W135)</f>
        <v/>
      </c>
      <c r="U135" s="258">
        <f>IF($A135="","",IF(U134="","",U134))</f>
        <v/>
      </c>
      <c r="V135" s="249">
        <f>IF(P135="","",P135+IF(Q135="",0,Q135)+IF(R135="",0,R135))</f>
        <v/>
      </c>
      <c r="W135" s="255" t="n">
        <v>815889907</v>
      </c>
      <c r="X135" s="249">
        <f>SUMIFS('09_CF_원금'!$E$6:$E$92,'09_CF_원금'!$D$6:$D$92,"국장",'09_CF_원금'!$A$6:$A$92,"&lt;="&amp;$A135)-SUMIFS('09_CF_원금'!$E$6:$E$92,'09_CF_원금'!$C$6:$C$92,"국장",'09_CF_원금'!$A$6:$A$92,"&lt;="&amp;$A135)</f>
        <v/>
      </c>
      <c r="Y135" s="249">
        <f>SUMIFS('09_CF_원금'!$E$6:$E$92,'09_CF_원금'!$D$6:$D$92,"미장",'09_CF_원금'!$A$6:$A$92,"&lt;="&amp;$A135)-SUMIFS('09_CF_원금'!$E$6:$E$92,'09_CF_원금'!$C$6:$C$92,"미장",'09_CF_원금'!$A$6:$A$92,"&lt;="&amp;$A135)</f>
        <v/>
      </c>
      <c r="Z135" s="249">
        <f>SUMIFS('09_CF_원금'!$E$6:$E$92,'09_CF_원금'!$D$6:$D$92,"ISA",'09_CF_원금'!$A$6:$A$92,"&lt;="&amp;$A135)-SUMIFS('09_CF_원금'!$E$6:$E$92,'09_CF_원금'!$C$6:$C$92,"ISA",'09_CF_원금'!$A$6:$A$92,"&lt;="&amp;$A135)</f>
        <v/>
      </c>
      <c r="AA135" s="249">
        <f>IF($A135="","",X135+Y135+Z135+SUMIFS('09_CF_원금'!$E$6:$E$92,'09_CF_원금'!$D$6:$D$92,"중국",'09_CF_원금'!$A$6:$A$92,"&lt;="&amp;$A135)-SUMIFS('09_CF_원금'!$E$6:$E$92,'09_CF_원금'!$C$6:$C$92,"중국",'09_CF_원금'!$A$6:$A$92,"&lt;="&amp;$A135)+SUMIFS('09_CF_원금'!$E$6:$E$92,'09_CF_원금'!$D$6:$D$92,"업비트",'09_CF_원금'!$A$6:$A$92,"&lt;="&amp;$A135)-SUMIFS('09_CF_원금'!$E$6:$E$92,'09_CF_원금'!$C$6:$C$92,"업비트",'09_CF_원금'!$A$6:$A$92,"&lt;="&amp;$A135))</f>
        <v/>
      </c>
      <c r="AB135" s="249">
        <f>IF(OR(U135="",V135=""),"",U135-(V135-IF(S135="",0,S135)))</f>
        <v/>
      </c>
      <c r="AC135" s="249">
        <f>IF(AB135="","",T135+AB135)</f>
        <v/>
      </c>
      <c r="AD135" s="249">
        <f>IF(B135="","",MAX($B$5:B135))</f>
        <v/>
      </c>
      <c r="AE135" s="256" t="n"/>
      <c r="AF135" s="255" t="n"/>
      <c r="AG135" s="255" t="n"/>
      <c r="AH135" s="255" t="n"/>
      <c r="AI135" s="255" t="n"/>
      <c r="AJ135" s="257">
        <f>IF($A135="","",YEAR($A135)*100+MONTH($A135))</f>
        <v/>
      </c>
      <c r="AK135" s="257">
        <f>IF($A135="","",IF($N135="",0,1))</f>
        <v/>
      </c>
    </row>
    <row r="136">
      <c r="A136" s="247" t="n">
        <v>46191</v>
      </c>
      <c r="B136" s="248">
        <f>IF(V136&lt;&gt;"",V136-T136,IF(AF136&lt;&gt;"",AA136+AF136,""))</f>
        <v/>
      </c>
      <c r="C136" s="249">
        <f>IF(OR(B136="",B135=""),"",B136-B135)</f>
        <v/>
      </c>
      <c r="D136" s="248">
        <f>IF(OR(B136="",AA136=""),"",B136-AA136)</f>
        <v/>
      </c>
      <c r="E136" s="250">
        <f>IF(OR(B136="",AD136=0),"",MIN(0,B136/AD136-1))</f>
        <v/>
      </c>
      <c r="F136" s="250">
        <f>IF(OR(U136="",T136=0,T136=""),"",(P136-T136*1.4)/U136)</f>
        <v/>
      </c>
      <c r="G136" s="251">
        <f>IF(OR(AC136="",'09_CF_원금'!$B$108=0),"",AC136/'09_CF_원금'!$B$108)</f>
        <v/>
      </c>
      <c r="H136" s="250">
        <f>IF(OR(U136="",U136=0,AC136=""),"",AC136/U136)</f>
        <v/>
      </c>
      <c r="I136" s="250">
        <f>IF(OR(S136="",U136=""),"",S136/(U136+S136))</f>
        <v/>
      </c>
      <c r="J136" s="248">
        <f>IF(W136&lt;&gt;"",W136-X136,IF(AG136&lt;&gt;"",AG136,""))</f>
        <v/>
      </c>
      <c r="K136" s="248">
        <f>IF(Q136&lt;&gt;"",Q136-Y136,IF(AH136&lt;&gt;"",AH136,""))</f>
        <v/>
      </c>
      <c r="L136" s="248">
        <f>IF(R136&lt;&gt;"",R136-Z136,IF(AI136&lt;&gt;"",AI136,""))</f>
        <v/>
      </c>
      <c r="M136" s="252" t="n"/>
      <c r="N136" s="253" t="n"/>
      <c r="O136" s="254" t="n"/>
      <c r="P136" s="255" t="n">
        <v>1226505000</v>
      </c>
      <c r="Q136" s="258">
        <f>IF($A136="","",IF(Q135="","",Q135))</f>
        <v/>
      </c>
      <c r="R136" s="258">
        <f>IF($A136="","",IF(R135="","",R135))</f>
        <v/>
      </c>
      <c r="S136" s="258">
        <f>IF($A136="","",IF(S135="","",S135))</f>
        <v/>
      </c>
      <c r="T136" s="249">
        <f>IF(OR(P136="",W136=""),"",P136-W136)</f>
        <v/>
      </c>
      <c r="U136" s="258">
        <f>IF($A136="","",IF(U135="","",U135))</f>
        <v/>
      </c>
      <c r="V136" s="249">
        <f>IF(P136="","",P136+IF(Q136="",0,Q136)+IF(R136="",0,R136))</f>
        <v/>
      </c>
      <c r="W136" s="255" t="n">
        <v>860110951</v>
      </c>
      <c r="X136" s="249">
        <f>SUMIFS('09_CF_원금'!$E$6:$E$92,'09_CF_원금'!$D$6:$D$92,"국장",'09_CF_원금'!$A$6:$A$92,"&lt;="&amp;$A136)-SUMIFS('09_CF_원금'!$E$6:$E$92,'09_CF_원금'!$C$6:$C$92,"국장",'09_CF_원금'!$A$6:$A$92,"&lt;="&amp;$A136)</f>
        <v/>
      </c>
      <c r="Y136" s="249">
        <f>SUMIFS('09_CF_원금'!$E$6:$E$92,'09_CF_원금'!$D$6:$D$92,"미장",'09_CF_원금'!$A$6:$A$92,"&lt;="&amp;$A136)-SUMIFS('09_CF_원금'!$E$6:$E$92,'09_CF_원금'!$C$6:$C$92,"미장",'09_CF_원금'!$A$6:$A$92,"&lt;="&amp;$A136)</f>
        <v/>
      </c>
      <c r="Z136" s="249">
        <f>SUMIFS('09_CF_원금'!$E$6:$E$92,'09_CF_원금'!$D$6:$D$92,"ISA",'09_CF_원금'!$A$6:$A$92,"&lt;="&amp;$A136)-SUMIFS('09_CF_원금'!$E$6:$E$92,'09_CF_원금'!$C$6:$C$92,"ISA",'09_CF_원금'!$A$6:$A$92,"&lt;="&amp;$A136)</f>
        <v/>
      </c>
      <c r="AA136" s="249">
        <f>IF($A136="","",X136+Y136+Z136+SUMIFS('09_CF_원금'!$E$6:$E$92,'09_CF_원금'!$D$6:$D$92,"중국",'09_CF_원금'!$A$6:$A$92,"&lt;="&amp;$A136)-SUMIFS('09_CF_원금'!$E$6:$E$92,'09_CF_원금'!$C$6:$C$92,"중국",'09_CF_원금'!$A$6:$A$92,"&lt;="&amp;$A136)+SUMIFS('09_CF_원금'!$E$6:$E$92,'09_CF_원금'!$D$6:$D$92,"업비트",'09_CF_원금'!$A$6:$A$92,"&lt;="&amp;$A136)-SUMIFS('09_CF_원금'!$E$6:$E$92,'09_CF_원금'!$C$6:$C$92,"업비트",'09_CF_원금'!$A$6:$A$92,"&lt;="&amp;$A136))</f>
        <v/>
      </c>
      <c r="AB136" s="249">
        <f>IF(OR(U136="",V136=""),"",U136-(V136-IF(S136="",0,S136)))</f>
        <v/>
      </c>
      <c r="AC136" s="249">
        <f>IF(AB136="","",T136+AB136)</f>
        <v/>
      </c>
      <c r="AD136" s="249">
        <f>IF(B136="","",MAX($B$5:B136))</f>
        <v/>
      </c>
      <c r="AE136" s="256" t="n"/>
      <c r="AF136" s="255" t="n"/>
      <c r="AG136" s="255" t="n"/>
      <c r="AH136" s="255" t="n"/>
      <c r="AI136" s="255" t="n"/>
      <c r="AJ136" s="257">
        <f>IF($A136="","",YEAR($A136)*100+MONTH($A136))</f>
        <v/>
      </c>
      <c r="AK136" s="257">
        <f>IF($A136="","",IF($N136="",0,1))</f>
        <v/>
      </c>
    </row>
    <row r="137">
      <c r="A137" s="247" t="n">
        <v>46192</v>
      </c>
      <c r="B137" s="248">
        <f>IF(V137&lt;&gt;"",V137-T137,IF(AF137&lt;&gt;"",AA137+AF137,""))</f>
        <v/>
      </c>
      <c r="C137" s="249">
        <f>IF(OR(B137="",B136=""),"",B137-B136)</f>
        <v/>
      </c>
      <c r="D137" s="248">
        <f>IF(OR(B137="",AA137=""),"",B137-AA137)</f>
        <v/>
      </c>
      <c r="E137" s="250">
        <f>IF(OR(B137="",AD137=0),"",MIN(0,B137/AD137-1))</f>
        <v/>
      </c>
      <c r="F137" s="250">
        <f>IF(OR(U137="",T137=0,T137=""),"",(P137-T137*1.4)/U137)</f>
        <v/>
      </c>
      <c r="G137" s="251">
        <f>IF(OR(AC137="",'09_CF_원금'!$B$108=0),"",AC137/'09_CF_원금'!$B$108)</f>
        <v/>
      </c>
      <c r="H137" s="250">
        <f>IF(OR(U137="",U137=0,AC137=""),"",AC137/U137)</f>
        <v/>
      </c>
      <c r="I137" s="250">
        <f>IF(OR(S137="",U137=""),"",S137/(U137+S137))</f>
        <v/>
      </c>
      <c r="J137" s="248">
        <f>IF(W137&lt;&gt;"",W137-X137,IF(AG137&lt;&gt;"",AG137,""))</f>
        <v/>
      </c>
      <c r="K137" s="248">
        <f>IF(Q137&lt;&gt;"",Q137-Y137,IF(AH137&lt;&gt;"",AH137,""))</f>
        <v/>
      </c>
      <c r="L137" s="248">
        <f>IF(R137&lt;&gt;"",R137-Z137,IF(AI137&lt;&gt;"",AI137,""))</f>
        <v/>
      </c>
      <c r="M137" s="252" t="n"/>
      <c r="N137" s="253" t="n"/>
      <c r="O137" s="254" t="n"/>
      <c r="P137" s="255" t="n">
        <v>1217987000</v>
      </c>
      <c r="Q137" s="258">
        <f>IF($A137="","",IF(Q136="","",Q136))</f>
        <v/>
      </c>
      <c r="R137" s="258">
        <f>IF($A137="","",IF(R136="","",R136))</f>
        <v/>
      </c>
      <c r="S137" s="258">
        <f>IF($A137="","",IF(S136="","",S136))</f>
        <v/>
      </c>
      <c r="T137" s="249">
        <f>IF(OR(P137="",W137=""),"",P137-W137)</f>
        <v/>
      </c>
      <c r="U137" s="258">
        <f>IF($A137="","",IF(U136="","",U136))</f>
        <v/>
      </c>
      <c r="V137" s="249">
        <f>IF(P137="","",P137+IF(Q137="",0,Q137)+IF(R137="",0,R137))</f>
        <v/>
      </c>
      <c r="W137" s="255" t="n">
        <v>852746866</v>
      </c>
      <c r="X137" s="249">
        <f>SUMIFS('09_CF_원금'!$E$6:$E$92,'09_CF_원금'!$D$6:$D$92,"국장",'09_CF_원금'!$A$6:$A$92,"&lt;="&amp;$A137)-SUMIFS('09_CF_원금'!$E$6:$E$92,'09_CF_원금'!$C$6:$C$92,"국장",'09_CF_원금'!$A$6:$A$92,"&lt;="&amp;$A137)</f>
        <v/>
      </c>
      <c r="Y137" s="249">
        <f>SUMIFS('09_CF_원금'!$E$6:$E$92,'09_CF_원금'!$D$6:$D$92,"미장",'09_CF_원금'!$A$6:$A$92,"&lt;="&amp;$A137)-SUMIFS('09_CF_원금'!$E$6:$E$92,'09_CF_원금'!$C$6:$C$92,"미장",'09_CF_원금'!$A$6:$A$92,"&lt;="&amp;$A137)</f>
        <v/>
      </c>
      <c r="Z137" s="249">
        <f>SUMIFS('09_CF_원금'!$E$6:$E$92,'09_CF_원금'!$D$6:$D$92,"ISA",'09_CF_원금'!$A$6:$A$92,"&lt;="&amp;$A137)-SUMIFS('09_CF_원금'!$E$6:$E$92,'09_CF_원금'!$C$6:$C$92,"ISA",'09_CF_원금'!$A$6:$A$92,"&lt;="&amp;$A137)</f>
        <v/>
      </c>
      <c r="AA137" s="249">
        <f>IF($A137="","",X137+Y137+Z137+SUMIFS('09_CF_원금'!$E$6:$E$92,'09_CF_원금'!$D$6:$D$92,"중국",'09_CF_원금'!$A$6:$A$92,"&lt;="&amp;$A137)-SUMIFS('09_CF_원금'!$E$6:$E$92,'09_CF_원금'!$C$6:$C$92,"중국",'09_CF_원금'!$A$6:$A$92,"&lt;="&amp;$A137)+SUMIFS('09_CF_원금'!$E$6:$E$92,'09_CF_원금'!$D$6:$D$92,"업비트",'09_CF_원금'!$A$6:$A$92,"&lt;="&amp;$A137)-SUMIFS('09_CF_원금'!$E$6:$E$92,'09_CF_원금'!$C$6:$C$92,"업비트",'09_CF_원금'!$A$6:$A$92,"&lt;="&amp;$A137))</f>
        <v/>
      </c>
      <c r="AB137" s="249">
        <f>IF(OR(U137="",V137=""),"",U137-(V137-IF(S137="",0,S137)))</f>
        <v/>
      </c>
      <c r="AC137" s="249">
        <f>IF(AB137="","",T137+AB137)</f>
        <v/>
      </c>
      <c r="AD137" s="249">
        <f>IF(B137="","",MAX($B$5:B137))</f>
        <v/>
      </c>
      <c r="AE137" s="256" t="n"/>
      <c r="AF137" s="255" t="n"/>
      <c r="AG137" s="255" t="n"/>
      <c r="AH137" s="255" t="n"/>
      <c r="AI137" s="255" t="n"/>
      <c r="AJ137" s="257">
        <f>IF($A137="","",YEAR($A137)*100+MONTH($A137))</f>
        <v/>
      </c>
      <c r="AK137" s="257">
        <f>IF($A137="","",IF($N137="",0,1))</f>
        <v/>
      </c>
    </row>
    <row r="138">
      <c r="A138" s="247" t="n">
        <v>46195</v>
      </c>
      <c r="B138" s="248">
        <f>IF(V138&lt;&gt;"",V138-T138,IF(AF138&lt;&gt;"",AA138+AF138,""))</f>
        <v/>
      </c>
      <c r="C138" s="249">
        <f>IF(OR(B138="",B137=""),"",B138-B137)</f>
        <v/>
      </c>
      <c r="D138" s="248">
        <f>IF(OR(B138="",AA138=""),"",B138-AA138)</f>
        <v/>
      </c>
      <c r="E138" s="250">
        <f>IF(OR(B138="",AD138=0),"",MIN(0,B138/AD138-1))</f>
        <v/>
      </c>
      <c r="F138" s="250">
        <f>IF(OR(U138="",T138=0,T138=""),"",(P138-T138*1.4)/U138)</f>
        <v/>
      </c>
      <c r="G138" s="251">
        <f>IF(OR(AC138="",'09_CF_원금'!$B$108=0),"",AC138/'09_CF_원금'!$B$108)</f>
        <v/>
      </c>
      <c r="H138" s="250">
        <f>IF(OR(U138="",U138=0,AC138=""),"",AC138/U138)</f>
        <v/>
      </c>
      <c r="I138" s="250">
        <f>IF(OR(S138="",U138=""),"",S138/(U138+S138))</f>
        <v/>
      </c>
      <c r="J138" s="248">
        <f>IF(W138&lt;&gt;"",W138-X138,IF(AG138&lt;&gt;"",AG138,""))</f>
        <v/>
      </c>
      <c r="K138" s="248">
        <f>IF(Q138&lt;&gt;"",Q138-Y138,IF(AH138&lt;&gt;"",AH138,""))</f>
        <v/>
      </c>
      <c r="L138" s="248">
        <f>IF(R138&lt;&gt;"",R138-Z138,IF(AI138&lt;&gt;"",AI138,""))</f>
        <v/>
      </c>
      <c r="M138" s="252" t="n"/>
      <c r="N138" s="253" t="n"/>
      <c r="O138" s="254" t="n"/>
      <c r="P138" s="255" t="n">
        <v>1269801500</v>
      </c>
      <c r="Q138" s="258">
        <f>IF($A138="","",IF(Q137="","",Q137))</f>
        <v/>
      </c>
      <c r="R138" s="258">
        <f>IF($A138="","",IF(R137="","",R137))</f>
        <v/>
      </c>
      <c r="S138" s="258">
        <f>IF($A138="","",IF(S137="","",S137))</f>
        <v/>
      </c>
      <c r="T138" s="249">
        <f>IF(OR(P138="",W138=""),"",P138-W138)</f>
        <v/>
      </c>
      <c r="U138" s="258">
        <f>IF($A138="","",IF(U137="","",U137))</f>
        <v/>
      </c>
      <c r="V138" s="249">
        <f>IF(P138="","",P138+IF(Q138="",0,Q138)+IF(R138="",0,R138))</f>
        <v/>
      </c>
      <c r="W138" s="255" t="n">
        <v>879668843</v>
      </c>
      <c r="X138" s="249">
        <f>SUMIFS('09_CF_원금'!$E$6:$E$92,'09_CF_원금'!$D$6:$D$92,"국장",'09_CF_원금'!$A$6:$A$92,"&lt;="&amp;$A138)-SUMIFS('09_CF_원금'!$E$6:$E$92,'09_CF_원금'!$C$6:$C$92,"국장",'09_CF_원금'!$A$6:$A$92,"&lt;="&amp;$A138)</f>
        <v/>
      </c>
      <c r="Y138" s="249">
        <f>SUMIFS('09_CF_원금'!$E$6:$E$92,'09_CF_원금'!$D$6:$D$92,"미장",'09_CF_원금'!$A$6:$A$92,"&lt;="&amp;$A138)-SUMIFS('09_CF_원금'!$E$6:$E$92,'09_CF_원금'!$C$6:$C$92,"미장",'09_CF_원금'!$A$6:$A$92,"&lt;="&amp;$A138)</f>
        <v/>
      </c>
      <c r="Z138" s="249">
        <f>SUMIFS('09_CF_원금'!$E$6:$E$92,'09_CF_원금'!$D$6:$D$92,"ISA",'09_CF_원금'!$A$6:$A$92,"&lt;="&amp;$A138)-SUMIFS('09_CF_원금'!$E$6:$E$92,'09_CF_원금'!$C$6:$C$92,"ISA",'09_CF_원금'!$A$6:$A$92,"&lt;="&amp;$A138)</f>
        <v/>
      </c>
      <c r="AA138" s="249">
        <f>IF($A138="","",X138+Y138+Z138+SUMIFS('09_CF_원금'!$E$6:$E$92,'09_CF_원금'!$D$6:$D$92,"중국",'09_CF_원금'!$A$6:$A$92,"&lt;="&amp;$A138)-SUMIFS('09_CF_원금'!$E$6:$E$92,'09_CF_원금'!$C$6:$C$92,"중국",'09_CF_원금'!$A$6:$A$92,"&lt;="&amp;$A138)+SUMIFS('09_CF_원금'!$E$6:$E$92,'09_CF_원금'!$D$6:$D$92,"업비트",'09_CF_원금'!$A$6:$A$92,"&lt;="&amp;$A138)-SUMIFS('09_CF_원금'!$E$6:$E$92,'09_CF_원금'!$C$6:$C$92,"업비트",'09_CF_원금'!$A$6:$A$92,"&lt;="&amp;$A138))</f>
        <v/>
      </c>
      <c r="AB138" s="249">
        <f>IF(OR(U138="",V138=""),"",U138-(V138-IF(S138="",0,S138)))</f>
        <v/>
      </c>
      <c r="AC138" s="249">
        <f>IF(AB138="","",T138+AB138)</f>
        <v/>
      </c>
      <c r="AD138" s="249">
        <f>IF(B138="","",MAX($B$5:B138))</f>
        <v/>
      </c>
      <c r="AE138" s="256" t="n"/>
      <c r="AF138" s="255" t="n"/>
      <c r="AG138" s="255" t="n"/>
      <c r="AH138" s="255" t="n"/>
      <c r="AI138" s="255" t="n"/>
      <c r="AJ138" s="257">
        <f>IF($A138="","",YEAR($A138)*100+MONTH($A138))</f>
        <v/>
      </c>
      <c r="AK138" s="257">
        <f>IF($A138="","",IF($N138="",0,1))</f>
        <v/>
      </c>
    </row>
    <row r="139">
      <c r="A139" s="247" t="n">
        <v>46196</v>
      </c>
      <c r="B139" s="248">
        <f>IF(V139&lt;&gt;"",V139-T139,IF(AF139&lt;&gt;"",AA139+AF139,""))</f>
        <v/>
      </c>
      <c r="C139" s="249">
        <f>IF(OR(B139="",B138=""),"",B139-B138)</f>
        <v/>
      </c>
      <c r="D139" s="248">
        <f>IF(OR(B139="",AA139=""),"",B139-AA139)</f>
        <v/>
      </c>
      <c r="E139" s="250">
        <f>IF(OR(B139="",AD139=0),"",MIN(0,B139/AD139-1))</f>
        <v/>
      </c>
      <c r="F139" s="250">
        <f>IF(OR(U139="",T139=0,T139=""),"",(P139-T139*1.4)/U139)</f>
        <v/>
      </c>
      <c r="G139" s="251">
        <f>IF(OR(AC139="",'09_CF_원금'!$B$108=0),"",AC139/'09_CF_원금'!$B$108)</f>
        <v/>
      </c>
      <c r="H139" s="250">
        <f>IF(OR(U139="",U139=0,AC139=""),"",AC139/U139)</f>
        <v/>
      </c>
      <c r="I139" s="250">
        <f>IF(OR(S139="",U139=""),"",S139/(U139+S139))</f>
        <v/>
      </c>
      <c r="J139" s="248">
        <f>IF(W139&lt;&gt;"",W139-X139,IF(AG139&lt;&gt;"",AG139,""))</f>
        <v/>
      </c>
      <c r="K139" s="248">
        <f>IF(Q139&lt;&gt;"",Q139-Y139,IF(AH139&lt;&gt;"",AH139,""))</f>
        <v/>
      </c>
      <c r="L139" s="248">
        <f>IF(R139&lt;&gt;"",R139-Z139,IF(AI139&lt;&gt;"",AI139,""))</f>
        <v/>
      </c>
      <c r="M139" s="252" t="n"/>
      <c r="N139" s="253" t="n"/>
      <c r="O139" s="254" t="n"/>
      <c r="P139" s="255" t="n">
        <v>1170452300</v>
      </c>
      <c r="Q139" s="258">
        <f>IF($A139="","",IF(Q138="","",Q138))</f>
        <v/>
      </c>
      <c r="R139" s="258">
        <f>IF($A139="","",IF(R138="","",R138))</f>
        <v/>
      </c>
      <c r="S139" s="258">
        <f>IF($A139="","",IF(S138="","",S138))</f>
        <v/>
      </c>
      <c r="T139" s="249">
        <f>IF(OR(P139="",W139=""),"",P139-W139)</f>
        <v/>
      </c>
      <c r="U139" s="258">
        <f>IF($A139="","",IF(U138="","",U138))</f>
        <v/>
      </c>
      <c r="V139" s="249">
        <f>IF(P139="","",P139+IF(Q139="",0,Q139)+IF(R139="",0,R139))</f>
        <v/>
      </c>
      <c r="W139" s="255" t="n">
        <v>690932497</v>
      </c>
      <c r="X139" s="249">
        <f>SUMIFS('09_CF_원금'!$E$6:$E$92,'09_CF_원금'!$D$6:$D$92,"국장",'09_CF_원금'!$A$6:$A$92,"&lt;="&amp;$A139)-SUMIFS('09_CF_원금'!$E$6:$E$92,'09_CF_원금'!$C$6:$C$92,"국장",'09_CF_원금'!$A$6:$A$92,"&lt;="&amp;$A139)</f>
        <v/>
      </c>
      <c r="Y139" s="249">
        <f>SUMIFS('09_CF_원금'!$E$6:$E$92,'09_CF_원금'!$D$6:$D$92,"미장",'09_CF_원금'!$A$6:$A$92,"&lt;="&amp;$A139)-SUMIFS('09_CF_원금'!$E$6:$E$92,'09_CF_원금'!$C$6:$C$92,"미장",'09_CF_원금'!$A$6:$A$92,"&lt;="&amp;$A139)</f>
        <v/>
      </c>
      <c r="Z139" s="249">
        <f>SUMIFS('09_CF_원금'!$E$6:$E$92,'09_CF_원금'!$D$6:$D$92,"ISA",'09_CF_원금'!$A$6:$A$92,"&lt;="&amp;$A139)-SUMIFS('09_CF_원금'!$E$6:$E$92,'09_CF_원금'!$C$6:$C$92,"ISA",'09_CF_원금'!$A$6:$A$92,"&lt;="&amp;$A139)</f>
        <v/>
      </c>
      <c r="AA139" s="249">
        <f>IF($A139="","",X139+Y139+Z139+SUMIFS('09_CF_원금'!$E$6:$E$92,'09_CF_원금'!$D$6:$D$92,"중국",'09_CF_원금'!$A$6:$A$92,"&lt;="&amp;$A139)-SUMIFS('09_CF_원금'!$E$6:$E$92,'09_CF_원금'!$C$6:$C$92,"중국",'09_CF_원금'!$A$6:$A$92,"&lt;="&amp;$A139)+SUMIFS('09_CF_원금'!$E$6:$E$92,'09_CF_원금'!$D$6:$D$92,"업비트",'09_CF_원금'!$A$6:$A$92,"&lt;="&amp;$A139)-SUMIFS('09_CF_원금'!$E$6:$E$92,'09_CF_원금'!$C$6:$C$92,"업비트",'09_CF_원금'!$A$6:$A$92,"&lt;="&amp;$A139))</f>
        <v/>
      </c>
      <c r="AB139" s="249">
        <f>IF(OR(U139="",V139=""),"",U139-(V139-IF(S139="",0,S139)))</f>
        <v/>
      </c>
      <c r="AC139" s="249">
        <f>IF(AB139="","",T139+AB139)</f>
        <v/>
      </c>
      <c r="AD139" s="249">
        <f>IF(B139="","",MAX($B$5:B139))</f>
        <v/>
      </c>
      <c r="AE139" s="256" t="n"/>
      <c r="AF139" s="255" t="n"/>
      <c r="AG139" s="255" t="n"/>
      <c r="AH139" s="255" t="n"/>
      <c r="AI139" s="255" t="n"/>
      <c r="AJ139" s="257">
        <f>IF($A139="","",YEAR($A139)*100+MONTH($A139))</f>
        <v/>
      </c>
      <c r="AK139" s="257">
        <f>IF($A139="","",IF($N139="",0,1))</f>
        <v/>
      </c>
    </row>
    <row r="140">
      <c r="A140" s="247" t="n">
        <v>46197</v>
      </c>
      <c r="B140" s="248">
        <f>IF(V140&lt;&gt;"",V140-T140,IF(AF140&lt;&gt;"",AA140+AF140,""))</f>
        <v/>
      </c>
      <c r="C140" s="249">
        <f>IF(OR(B140="",B139=""),"",B140-B139)</f>
        <v/>
      </c>
      <c r="D140" s="248">
        <f>IF(OR(B140="",AA140=""),"",B140-AA140)</f>
        <v/>
      </c>
      <c r="E140" s="250">
        <f>IF(OR(B140="",AD140=0),"",MIN(0,B140/AD140-1))</f>
        <v/>
      </c>
      <c r="F140" s="250">
        <f>IF(OR(U140="",T140=0,T140=""),"",(P140-T140*1.4)/U140)</f>
        <v/>
      </c>
      <c r="G140" s="251">
        <f>IF(OR(AC140="",'09_CF_원금'!$B$108=0),"",AC140/'09_CF_원금'!$B$108)</f>
        <v/>
      </c>
      <c r="H140" s="250">
        <f>IF(OR(U140="",U140=0,AC140=""),"",AC140/U140)</f>
        <v/>
      </c>
      <c r="I140" s="250">
        <f>IF(OR(S140="",U140=""),"",S140/(U140+S140))</f>
        <v/>
      </c>
      <c r="J140" s="248">
        <f>IF(W140&lt;&gt;"",W140-X140,IF(AG140&lt;&gt;"",AG140,""))</f>
        <v/>
      </c>
      <c r="K140" s="248">
        <f>IF(Q140&lt;&gt;"",Q140-Y140,IF(AH140&lt;&gt;"",AH140,""))</f>
        <v/>
      </c>
      <c r="L140" s="248">
        <f>IF(R140&lt;&gt;"",R140-Z140,IF(AI140&lt;&gt;"",AI140,""))</f>
        <v/>
      </c>
      <c r="M140" s="252" t="n"/>
      <c r="N140" s="253" t="n"/>
      <c r="O140" s="254" t="n"/>
      <c r="P140" s="255" t="n">
        <v>1209049050</v>
      </c>
      <c r="Q140" s="258">
        <f>IF($A140="","",IF(Q139="","",Q139))</f>
        <v/>
      </c>
      <c r="R140" s="258">
        <f>IF($A140="","",IF(R139="","",R139))</f>
        <v/>
      </c>
      <c r="S140" s="258">
        <f>IF($A140="","",IF(S139="","",S139))</f>
        <v/>
      </c>
      <c r="T140" s="249">
        <f>IF(OR(P140="",W140=""),"",P140-W140)</f>
        <v/>
      </c>
      <c r="U140" s="258">
        <f>IF($A140="","",IF(U139="","",U139))</f>
        <v/>
      </c>
      <c r="V140" s="249">
        <f>IF(P140="","",P140+IF(Q140="",0,Q140)+IF(R140="",0,R140))</f>
        <v/>
      </c>
      <c r="W140" s="255" t="n">
        <v>746727609</v>
      </c>
      <c r="X140" s="249">
        <f>SUMIFS('09_CF_원금'!$E$6:$E$92,'09_CF_원금'!$D$6:$D$92,"국장",'09_CF_원금'!$A$6:$A$92,"&lt;="&amp;$A140)-SUMIFS('09_CF_원금'!$E$6:$E$92,'09_CF_원금'!$C$6:$C$92,"국장",'09_CF_원금'!$A$6:$A$92,"&lt;="&amp;$A140)</f>
        <v/>
      </c>
      <c r="Y140" s="249">
        <f>SUMIFS('09_CF_원금'!$E$6:$E$92,'09_CF_원금'!$D$6:$D$92,"미장",'09_CF_원금'!$A$6:$A$92,"&lt;="&amp;$A140)-SUMIFS('09_CF_원금'!$E$6:$E$92,'09_CF_원금'!$C$6:$C$92,"미장",'09_CF_원금'!$A$6:$A$92,"&lt;="&amp;$A140)</f>
        <v/>
      </c>
      <c r="Z140" s="249">
        <f>SUMIFS('09_CF_원금'!$E$6:$E$92,'09_CF_원금'!$D$6:$D$92,"ISA",'09_CF_원금'!$A$6:$A$92,"&lt;="&amp;$A140)-SUMIFS('09_CF_원금'!$E$6:$E$92,'09_CF_원금'!$C$6:$C$92,"ISA",'09_CF_원금'!$A$6:$A$92,"&lt;="&amp;$A140)</f>
        <v/>
      </c>
      <c r="AA140" s="249">
        <f>IF($A140="","",X140+Y140+Z140+SUMIFS('09_CF_원금'!$E$6:$E$92,'09_CF_원금'!$D$6:$D$92,"중국",'09_CF_원금'!$A$6:$A$92,"&lt;="&amp;$A140)-SUMIFS('09_CF_원금'!$E$6:$E$92,'09_CF_원금'!$C$6:$C$92,"중국",'09_CF_원금'!$A$6:$A$92,"&lt;="&amp;$A140)+SUMIFS('09_CF_원금'!$E$6:$E$92,'09_CF_원금'!$D$6:$D$92,"업비트",'09_CF_원금'!$A$6:$A$92,"&lt;="&amp;$A140)-SUMIFS('09_CF_원금'!$E$6:$E$92,'09_CF_원금'!$C$6:$C$92,"업비트",'09_CF_원금'!$A$6:$A$92,"&lt;="&amp;$A140))</f>
        <v/>
      </c>
      <c r="AB140" s="249">
        <f>IF(OR(U140="",V140=""),"",U140-(V140-IF(S140="",0,S140)))</f>
        <v/>
      </c>
      <c r="AC140" s="249">
        <f>IF(AB140="","",T140+AB140)</f>
        <v/>
      </c>
      <c r="AD140" s="249">
        <f>IF(B140="","",MAX($B$5:B140))</f>
        <v/>
      </c>
      <c r="AE140" s="256" t="n"/>
      <c r="AF140" s="255" t="n"/>
      <c r="AG140" s="255" t="n"/>
      <c r="AH140" s="255" t="n"/>
      <c r="AI140" s="255" t="n"/>
      <c r="AJ140" s="257">
        <f>IF($A140="","",YEAR($A140)*100+MONTH($A140))</f>
        <v/>
      </c>
      <c r="AK140" s="257">
        <f>IF($A140="","",IF($N140="",0,1))</f>
        <v/>
      </c>
    </row>
    <row r="141">
      <c r="A141" s="247" t="n">
        <v>46198</v>
      </c>
      <c r="B141" s="248">
        <f>IF(V141&lt;&gt;"",V141-T141,IF(AF141&lt;&gt;"",AA141+AF141,""))</f>
        <v/>
      </c>
      <c r="C141" s="249">
        <f>IF(OR(B141="",B140=""),"",B141-B140)</f>
        <v/>
      </c>
      <c r="D141" s="248">
        <f>IF(OR(B141="",AA141=""),"",B141-AA141)</f>
        <v/>
      </c>
      <c r="E141" s="250">
        <f>IF(OR(B141="",AD141=0),"",MIN(0,B141/AD141-1))</f>
        <v/>
      </c>
      <c r="F141" s="250">
        <f>IF(OR(U141="",T141=0,T141=""),"",(P141-T141*1.4)/U141)</f>
        <v/>
      </c>
      <c r="G141" s="251">
        <f>IF(OR(AC141="",'09_CF_원금'!$B$108=0),"",AC141/'09_CF_원금'!$B$108)</f>
        <v/>
      </c>
      <c r="H141" s="250">
        <f>IF(OR(U141="",U141=0,AC141=""),"",AC141/U141)</f>
        <v/>
      </c>
      <c r="I141" s="250">
        <f>IF(OR(S141="",U141=""),"",S141/(U141+S141))</f>
        <v/>
      </c>
      <c r="J141" s="248">
        <f>IF(W141&lt;&gt;"",W141-X141,IF(AG141&lt;&gt;"",AG141,""))</f>
        <v/>
      </c>
      <c r="K141" s="248">
        <f>IF(Q141&lt;&gt;"",Q141-Y141,IF(AH141&lt;&gt;"",AH141,""))</f>
        <v/>
      </c>
      <c r="L141" s="248">
        <f>IF(R141&lt;&gt;"",R141-Z141,IF(AI141&lt;&gt;"",AI141,""))</f>
        <v/>
      </c>
      <c r="M141" s="252" t="n"/>
      <c r="N141" s="253" t="n"/>
      <c r="O141" s="254" t="n"/>
      <c r="P141" s="255" t="n">
        <v>1237014750</v>
      </c>
      <c r="Q141" s="258">
        <f>IF($A141="","",IF(Q140="","",Q140))</f>
        <v/>
      </c>
      <c r="R141" s="258">
        <f>IF($A141="","",IF(R140="","",R140))</f>
        <v/>
      </c>
      <c r="S141" s="258">
        <f>IF($A141="","",IF(S140="","",S140))</f>
        <v/>
      </c>
      <c r="T141" s="249">
        <f>IF(OR(P141="",W141=""),"",P141-W141)</f>
        <v/>
      </c>
      <c r="U141" s="258">
        <f>IF($A141="","",IF(U140="","",U140))</f>
        <v/>
      </c>
      <c r="V141" s="249">
        <f>IF(P141="","",P141+IF(Q141="",0,Q141)+IF(R141="",0,R141))</f>
        <v/>
      </c>
      <c r="W141" s="255" t="n">
        <v>841614858</v>
      </c>
      <c r="X141" s="249">
        <f>SUMIFS('09_CF_원금'!$E$6:$E$92,'09_CF_원금'!$D$6:$D$92,"국장",'09_CF_원금'!$A$6:$A$92,"&lt;="&amp;$A141)-SUMIFS('09_CF_원금'!$E$6:$E$92,'09_CF_원금'!$C$6:$C$92,"국장",'09_CF_원금'!$A$6:$A$92,"&lt;="&amp;$A141)</f>
        <v/>
      </c>
      <c r="Y141" s="249">
        <f>SUMIFS('09_CF_원금'!$E$6:$E$92,'09_CF_원금'!$D$6:$D$92,"미장",'09_CF_원금'!$A$6:$A$92,"&lt;="&amp;$A141)-SUMIFS('09_CF_원금'!$E$6:$E$92,'09_CF_원금'!$C$6:$C$92,"미장",'09_CF_원금'!$A$6:$A$92,"&lt;="&amp;$A141)</f>
        <v/>
      </c>
      <c r="Z141" s="249">
        <f>SUMIFS('09_CF_원금'!$E$6:$E$92,'09_CF_원금'!$D$6:$D$92,"ISA",'09_CF_원금'!$A$6:$A$92,"&lt;="&amp;$A141)-SUMIFS('09_CF_원금'!$E$6:$E$92,'09_CF_원금'!$C$6:$C$92,"ISA",'09_CF_원금'!$A$6:$A$92,"&lt;="&amp;$A141)</f>
        <v/>
      </c>
      <c r="AA141" s="249">
        <f>IF($A141="","",X141+Y141+Z141+SUMIFS('09_CF_원금'!$E$6:$E$92,'09_CF_원금'!$D$6:$D$92,"중국",'09_CF_원금'!$A$6:$A$92,"&lt;="&amp;$A141)-SUMIFS('09_CF_원금'!$E$6:$E$92,'09_CF_원금'!$C$6:$C$92,"중국",'09_CF_원금'!$A$6:$A$92,"&lt;="&amp;$A141)+SUMIFS('09_CF_원금'!$E$6:$E$92,'09_CF_원금'!$D$6:$D$92,"업비트",'09_CF_원금'!$A$6:$A$92,"&lt;="&amp;$A141)-SUMIFS('09_CF_원금'!$E$6:$E$92,'09_CF_원금'!$C$6:$C$92,"업비트",'09_CF_원금'!$A$6:$A$92,"&lt;="&amp;$A141))</f>
        <v/>
      </c>
      <c r="AB141" s="249">
        <f>IF(OR(U141="",V141=""),"",U141-(V141-IF(S141="",0,S141)))</f>
        <v/>
      </c>
      <c r="AC141" s="249">
        <f>IF(AB141="","",T141+AB141)</f>
        <v/>
      </c>
      <c r="AD141" s="249">
        <f>IF(B141="","",MAX($B$5:B141))</f>
        <v/>
      </c>
      <c r="AE141" s="256" t="n"/>
      <c r="AF141" s="255" t="n"/>
      <c r="AG141" s="255" t="n"/>
      <c r="AH141" s="255" t="n"/>
      <c r="AI141" s="255" t="n"/>
      <c r="AJ141" s="257">
        <f>IF($A141="","",YEAR($A141)*100+MONTH($A141))</f>
        <v/>
      </c>
      <c r="AK141" s="257">
        <f>IF($A141="","",IF($N141="",0,1))</f>
        <v/>
      </c>
    </row>
    <row r="142">
      <c r="A142" s="247" t="n">
        <v>46199</v>
      </c>
      <c r="B142" s="248">
        <f>IF(V142&lt;&gt;"",V142-T142,IF(AF142&lt;&gt;"",AA142+AF142,""))</f>
        <v/>
      </c>
      <c r="C142" s="249">
        <f>IF(OR(B142="",B141=""),"",B142-B141)</f>
        <v/>
      </c>
      <c r="D142" s="248">
        <f>IF(OR(B142="",AA142=""),"",B142-AA142)</f>
        <v/>
      </c>
      <c r="E142" s="250">
        <f>IF(OR(B142="",AD142=0),"",MIN(0,B142/AD142-1))</f>
        <v/>
      </c>
      <c r="F142" s="250">
        <f>IF(OR(U142="",T142=0,T142=""),"",(P142-T142*1.4)/U142)</f>
        <v/>
      </c>
      <c r="G142" s="251">
        <f>IF(OR(AC142="",'09_CF_원금'!$B$108=0),"",AC142/'09_CF_원금'!$B$108)</f>
        <v/>
      </c>
      <c r="H142" s="250">
        <f>IF(OR(U142="",U142=0,AC142=""),"",AC142/U142)</f>
        <v/>
      </c>
      <c r="I142" s="250">
        <f>IF(OR(S142="",U142=""),"",S142/(U142+S142))</f>
        <v/>
      </c>
      <c r="J142" s="248">
        <f>IF(W142&lt;&gt;"",W142-X142,IF(AG142&lt;&gt;"",AG142,""))</f>
        <v/>
      </c>
      <c r="K142" s="248">
        <f>IF(Q142&lt;&gt;"",Q142-Y142,IF(AH142&lt;&gt;"",AH142,""))</f>
        <v/>
      </c>
      <c r="L142" s="248">
        <f>IF(R142&lt;&gt;"",R142-Z142,IF(AI142&lt;&gt;"",AI142,""))</f>
        <v/>
      </c>
      <c r="M142" s="252" t="n"/>
      <c r="N142" s="253" t="n"/>
      <c r="O142" s="254" t="n"/>
      <c r="P142" s="255" t="n">
        <v>1183852855</v>
      </c>
      <c r="Q142" s="258">
        <f>IF($A142="","",IF(Q141="","",Q141))</f>
        <v/>
      </c>
      <c r="R142" s="258">
        <f>IF($A142="","",IF(R141="","",R141))</f>
        <v/>
      </c>
      <c r="S142" s="258">
        <f>IF($A142="","",IF(S141="","",S141))</f>
        <v/>
      </c>
      <c r="T142" s="249">
        <f>IF(OR(P142="",W142=""),"",P142-W142)</f>
        <v/>
      </c>
      <c r="U142" s="258">
        <f>IF($A142="","",IF(U141="","",U141))</f>
        <v/>
      </c>
      <c r="V142" s="249">
        <f>IF(P142="","",P142+IF(Q142="",0,Q142)+IF(R142="",0,R142))</f>
        <v/>
      </c>
      <c r="W142" s="255" t="n">
        <v>746821582</v>
      </c>
      <c r="X142" s="249">
        <f>SUMIFS('09_CF_원금'!$E$6:$E$92,'09_CF_원금'!$D$6:$D$92,"국장",'09_CF_원금'!$A$6:$A$92,"&lt;="&amp;$A142)-SUMIFS('09_CF_원금'!$E$6:$E$92,'09_CF_원금'!$C$6:$C$92,"국장",'09_CF_원금'!$A$6:$A$92,"&lt;="&amp;$A142)</f>
        <v/>
      </c>
      <c r="Y142" s="249">
        <f>SUMIFS('09_CF_원금'!$E$6:$E$92,'09_CF_원금'!$D$6:$D$92,"미장",'09_CF_원금'!$A$6:$A$92,"&lt;="&amp;$A142)-SUMIFS('09_CF_원금'!$E$6:$E$92,'09_CF_원금'!$C$6:$C$92,"미장",'09_CF_원금'!$A$6:$A$92,"&lt;="&amp;$A142)</f>
        <v/>
      </c>
      <c r="Z142" s="249">
        <f>SUMIFS('09_CF_원금'!$E$6:$E$92,'09_CF_원금'!$D$6:$D$92,"ISA",'09_CF_원금'!$A$6:$A$92,"&lt;="&amp;$A142)-SUMIFS('09_CF_원금'!$E$6:$E$92,'09_CF_원금'!$C$6:$C$92,"ISA",'09_CF_원금'!$A$6:$A$92,"&lt;="&amp;$A142)</f>
        <v/>
      </c>
      <c r="AA142" s="249">
        <f>IF($A142="","",X142+Y142+Z142+SUMIFS('09_CF_원금'!$E$6:$E$92,'09_CF_원금'!$D$6:$D$92,"중국",'09_CF_원금'!$A$6:$A$92,"&lt;="&amp;$A142)-SUMIFS('09_CF_원금'!$E$6:$E$92,'09_CF_원금'!$C$6:$C$92,"중국",'09_CF_원금'!$A$6:$A$92,"&lt;="&amp;$A142)+SUMIFS('09_CF_원금'!$E$6:$E$92,'09_CF_원금'!$D$6:$D$92,"업비트",'09_CF_원금'!$A$6:$A$92,"&lt;="&amp;$A142)-SUMIFS('09_CF_원금'!$E$6:$E$92,'09_CF_원금'!$C$6:$C$92,"업비트",'09_CF_원금'!$A$6:$A$92,"&lt;="&amp;$A142))</f>
        <v/>
      </c>
      <c r="AB142" s="249">
        <f>IF(OR(U142="",V142=""),"",U142-(V142-IF(S142="",0,S142)))</f>
        <v/>
      </c>
      <c r="AC142" s="249">
        <f>IF(AB142="","",T142+AB142)</f>
        <v/>
      </c>
      <c r="AD142" s="249">
        <f>IF(B142="","",MAX($B$5:B142))</f>
        <v/>
      </c>
      <c r="AE142" s="256" t="n"/>
      <c r="AF142" s="255" t="n"/>
      <c r="AG142" s="255" t="n"/>
      <c r="AH142" s="255" t="n"/>
      <c r="AI142" s="255" t="n"/>
      <c r="AJ142" s="257">
        <f>IF($A142="","",YEAR($A142)*100+MONTH($A142))</f>
        <v/>
      </c>
      <c r="AK142" s="257">
        <f>IF($A142="","",IF($N142="",0,1))</f>
        <v/>
      </c>
    </row>
    <row r="143">
      <c r="A143" s="247" t="n">
        <v>46202</v>
      </c>
      <c r="B143" s="248">
        <f>IF(V143&lt;&gt;"",V143-T143,IF(AF143&lt;&gt;"",AA143+AF143,""))</f>
        <v/>
      </c>
      <c r="C143" s="249">
        <f>IF(OR(B143="",B142=""),"",B143-B142)</f>
        <v/>
      </c>
      <c r="D143" s="248">
        <f>IF(OR(B143="",AA143=""),"",B143-AA143)</f>
        <v/>
      </c>
      <c r="E143" s="250">
        <f>IF(OR(B143="",AD143=0),"",MIN(0,B143/AD143-1))</f>
        <v/>
      </c>
      <c r="F143" s="250">
        <f>IF(OR(U143="",T143=0,T143=""),"",(P143-T143*1.4)/U143)</f>
        <v/>
      </c>
      <c r="G143" s="251">
        <f>IF(OR(AC143="",'09_CF_원금'!$B$108=0),"",AC143/'09_CF_원금'!$B$108)</f>
        <v/>
      </c>
      <c r="H143" s="250">
        <f>IF(OR(U143="",U143=0,AC143=""),"",AC143/U143)</f>
        <v/>
      </c>
      <c r="I143" s="250">
        <f>IF(OR(S143="",U143=""),"",S143/(U143+S143))</f>
        <v/>
      </c>
      <c r="J143" s="248">
        <f>IF(W143&lt;&gt;"",W143-X143,IF(AG143&lt;&gt;"",AG143,""))</f>
        <v/>
      </c>
      <c r="K143" s="248">
        <f>IF(Q143&lt;&gt;"",Q143-Y143,IF(AH143&lt;&gt;"",AH143,""))</f>
        <v/>
      </c>
      <c r="L143" s="248">
        <f>IF(R143&lt;&gt;"",R143-Z143,IF(AI143&lt;&gt;"",AI143,""))</f>
        <v/>
      </c>
      <c r="M143" s="252" t="n"/>
      <c r="N143" s="253" t="n"/>
      <c r="O143" s="254" t="n"/>
      <c r="P143" s="255" t="n">
        <v>1140849490</v>
      </c>
      <c r="Q143" s="258">
        <f>IF($A143="","",IF(Q142="","",Q142))</f>
        <v/>
      </c>
      <c r="R143" s="258">
        <f>IF($A143="","",IF(R142="","",R142))</f>
        <v/>
      </c>
      <c r="S143" s="258">
        <f>IF($A143="","",IF(S142="","",S142))</f>
        <v/>
      </c>
      <c r="T143" s="249">
        <f>IF(OR(P143="",W143=""),"",P143-W143)</f>
        <v/>
      </c>
      <c r="U143" s="258">
        <f>IF($A143="","",IF(U142="","",U142))</f>
        <v/>
      </c>
      <c r="V143" s="249">
        <f>IF(P143="","",P143+IF(Q143="",0,Q143)+IF(R143="",0,R143))</f>
        <v/>
      </c>
      <c r="W143" s="255" t="n">
        <v>736094895</v>
      </c>
      <c r="X143" s="249">
        <f>SUMIFS('09_CF_원금'!$E$6:$E$92,'09_CF_원금'!$D$6:$D$92,"국장",'09_CF_원금'!$A$6:$A$92,"&lt;="&amp;$A143)-SUMIFS('09_CF_원금'!$E$6:$E$92,'09_CF_원금'!$C$6:$C$92,"국장",'09_CF_원금'!$A$6:$A$92,"&lt;="&amp;$A143)</f>
        <v/>
      </c>
      <c r="Y143" s="249">
        <f>SUMIFS('09_CF_원금'!$E$6:$E$92,'09_CF_원금'!$D$6:$D$92,"미장",'09_CF_원금'!$A$6:$A$92,"&lt;="&amp;$A143)-SUMIFS('09_CF_원금'!$E$6:$E$92,'09_CF_원금'!$C$6:$C$92,"미장",'09_CF_원금'!$A$6:$A$92,"&lt;="&amp;$A143)</f>
        <v/>
      </c>
      <c r="Z143" s="249">
        <f>SUMIFS('09_CF_원금'!$E$6:$E$92,'09_CF_원금'!$D$6:$D$92,"ISA",'09_CF_원금'!$A$6:$A$92,"&lt;="&amp;$A143)-SUMIFS('09_CF_원금'!$E$6:$E$92,'09_CF_원금'!$C$6:$C$92,"ISA",'09_CF_원금'!$A$6:$A$92,"&lt;="&amp;$A143)</f>
        <v/>
      </c>
      <c r="AA143" s="249">
        <f>IF($A143="","",X143+Y143+Z143+SUMIFS('09_CF_원금'!$E$6:$E$92,'09_CF_원금'!$D$6:$D$92,"중국",'09_CF_원금'!$A$6:$A$92,"&lt;="&amp;$A143)-SUMIFS('09_CF_원금'!$E$6:$E$92,'09_CF_원금'!$C$6:$C$92,"중국",'09_CF_원금'!$A$6:$A$92,"&lt;="&amp;$A143)+SUMIFS('09_CF_원금'!$E$6:$E$92,'09_CF_원금'!$D$6:$D$92,"업비트",'09_CF_원금'!$A$6:$A$92,"&lt;="&amp;$A143)-SUMIFS('09_CF_원금'!$E$6:$E$92,'09_CF_원금'!$C$6:$C$92,"업비트",'09_CF_원금'!$A$6:$A$92,"&lt;="&amp;$A143))</f>
        <v/>
      </c>
      <c r="AB143" s="249">
        <f>IF(OR(U143="",V143=""),"",U143-(V143-IF(S143="",0,S143)))</f>
        <v/>
      </c>
      <c r="AC143" s="249">
        <f>IF(AB143="","",T143+AB143)</f>
        <v/>
      </c>
      <c r="AD143" s="249">
        <f>IF(B143="","",MAX($B$5:B143))</f>
        <v/>
      </c>
      <c r="AE143" s="256" t="n"/>
      <c r="AF143" s="255" t="n"/>
      <c r="AG143" s="255" t="n"/>
      <c r="AH143" s="255" t="n"/>
      <c r="AI143" s="255" t="n"/>
      <c r="AJ143" s="257">
        <f>IF($A143="","",YEAR($A143)*100+MONTH($A143))</f>
        <v/>
      </c>
      <c r="AK143" s="257">
        <f>IF($A143="","",IF($N143="",0,1))</f>
        <v/>
      </c>
    </row>
    <row r="144">
      <c r="A144" s="247" t="n">
        <v>46203</v>
      </c>
      <c r="B144" s="248">
        <f>IF(V144&lt;&gt;"",V144-T144,IF(AF144&lt;&gt;"",AA144+AF144,""))</f>
        <v/>
      </c>
      <c r="C144" s="249">
        <f>IF(OR(B144="",B143=""),"",B144-B143)</f>
        <v/>
      </c>
      <c r="D144" s="248">
        <f>IF(OR(B144="",AA144=""),"",B144-AA144)</f>
        <v/>
      </c>
      <c r="E144" s="250">
        <f>IF(OR(B144="",AD144=0),"",MIN(0,B144/AD144-1))</f>
        <v/>
      </c>
      <c r="F144" s="250">
        <f>IF(OR(U144="",T144=0,T144=""),"",(P144-T144*1.4)/U144)</f>
        <v/>
      </c>
      <c r="G144" s="251">
        <f>IF(OR(AC144="",'09_CF_원금'!$B$108=0),"",AC144/'09_CF_원금'!$B$108)</f>
        <v/>
      </c>
      <c r="H144" s="250">
        <f>IF(OR(U144="",U144=0,AC144=""),"",AC144/U144)</f>
        <v/>
      </c>
      <c r="I144" s="250">
        <f>IF(OR(S144="",U144=""),"",S144/(U144+S144))</f>
        <v/>
      </c>
      <c r="J144" s="248">
        <f>IF(W144&lt;&gt;"",W144-X144,IF(AG144&lt;&gt;"",AG144,""))</f>
        <v/>
      </c>
      <c r="K144" s="248">
        <f>IF(Q144&lt;&gt;"",Q144-Y144,IF(AH144&lt;&gt;"",AH144,""))</f>
        <v/>
      </c>
      <c r="L144" s="248">
        <f>IF(R144&lt;&gt;"",R144-Z144,IF(AI144&lt;&gt;"",AI144,""))</f>
        <v/>
      </c>
      <c r="M144" s="252" t="n"/>
      <c r="N144" s="253" t="n"/>
      <c r="O144" s="254" t="n"/>
      <c r="P144" s="255" t="n">
        <v>1146068545</v>
      </c>
      <c r="Q144" s="258">
        <f>IF($A144="","",IF(Q143="","",Q143))</f>
        <v/>
      </c>
      <c r="R144" s="258">
        <f>IF($A144="","",IF(R143="","",R143))</f>
        <v/>
      </c>
      <c r="S144" s="258">
        <f>IF($A144="","",IF(S143="","",S143))</f>
        <v/>
      </c>
      <c r="T144" s="249">
        <f>IF(OR(P144="",W144=""),"",P144-W144)</f>
        <v/>
      </c>
      <c r="U144" s="258">
        <f>IF($A144="","",IF(U143="","",U143))</f>
        <v/>
      </c>
      <c r="V144" s="249">
        <f>IF(P144="","",P144+IF(Q144="",0,Q144)+IF(R144="",0,R144))</f>
        <v/>
      </c>
      <c r="W144" s="255" t="n">
        <v>754329482</v>
      </c>
      <c r="X144" s="249">
        <f>SUMIFS('09_CF_원금'!$E$6:$E$92,'09_CF_원금'!$D$6:$D$92,"국장",'09_CF_원금'!$A$6:$A$92,"&lt;="&amp;$A144)-SUMIFS('09_CF_원금'!$E$6:$E$92,'09_CF_원금'!$C$6:$C$92,"국장",'09_CF_원금'!$A$6:$A$92,"&lt;="&amp;$A144)</f>
        <v/>
      </c>
      <c r="Y144" s="249">
        <f>SUMIFS('09_CF_원금'!$E$6:$E$92,'09_CF_원금'!$D$6:$D$92,"미장",'09_CF_원금'!$A$6:$A$92,"&lt;="&amp;$A144)-SUMIFS('09_CF_원금'!$E$6:$E$92,'09_CF_원금'!$C$6:$C$92,"미장",'09_CF_원금'!$A$6:$A$92,"&lt;="&amp;$A144)</f>
        <v/>
      </c>
      <c r="Z144" s="249">
        <f>SUMIFS('09_CF_원금'!$E$6:$E$92,'09_CF_원금'!$D$6:$D$92,"ISA",'09_CF_원금'!$A$6:$A$92,"&lt;="&amp;$A144)-SUMIFS('09_CF_원금'!$E$6:$E$92,'09_CF_원금'!$C$6:$C$92,"ISA",'09_CF_원금'!$A$6:$A$92,"&lt;="&amp;$A144)</f>
        <v/>
      </c>
      <c r="AA144" s="249">
        <f>IF($A144="","",X144+Y144+Z144+SUMIFS('09_CF_원금'!$E$6:$E$92,'09_CF_원금'!$D$6:$D$92,"중국",'09_CF_원금'!$A$6:$A$92,"&lt;="&amp;$A144)-SUMIFS('09_CF_원금'!$E$6:$E$92,'09_CF_원금'!$C$6:$C$92,"중국",'09_CF_원금'!$A$6:$A$92,"&lt;="&amp;$A144)+SUMIFS('09_CF_원금'!$E$6:$E$92,'09_CF_원금'!$D$6:$D$92,"업비트",'09_CF_원금'!$A$6:$A$92,"&lt;="&amp;$A144)-SUMIFS('09_CF_원금'!$E$6:$E$92,'09_CF_원금'!$C$6:$C$92,"업비트",'09_CF_원금'!$A$6:$A$92,"&lt;="&amp;$A144))</f>
        <v/>
      </c>
      <c r="AB144" s="249">
        <f>IF(OR(U144="",V144=""),"",U144-(V144-IF(S144="",0,S144)))</f>
        <v/>
      </c>
      <c r="AC144" s="249">
        <f>IF(AB144="","",T144+AB144)</f>
        <v/>
      </c>
      <c r="AD144" s="249">
        <f>IF(B144="","",MAX($B$5:B144))</f>
        <v/>
      </c>
      <c r="AE144" s="256" t="n"/>
      <c r="AF144" s="255" t="n"/>
      <c r="AG144" s="255" t="n"/>
      <c r="AH144" s="255" t="n"/>
      <c r="AI144" s="255" t="n"/>
      <c r="AJ144" s="257">
        <f>IF($A144="","",YEAR($A144)*100+MONTH($A144))</f>
        <v/>
      </c>
      <c r="AK144" s="257">
        <f>IF($A144="","",IF($N144="",0,1))</f>
        <v/>
      </c>
    </row>
    <row r="145">
      <c r="A145" s="247" t="n">
        <v>46204</v>
      </c>
      <c r="B145" s="248">
        <f>IF(V145&lt;&gt;"",V145-T145,IF(AF145&lt;&gt;"",AA145+AF145,""))</f>
        <v/>
      </c>
      <c r="C145" s="249">
        <f>IF(OR(B145="",B144=""),"",B145-B144)</f>
        <v/>
      </c>
      <c r="D145" s="248">
        <f>IF(OR(B145="",AA145=""),"",B145-AA145)</f>
        <v/>
      </c>
      <c r="E145" s="250">
        <f>IF(OR(B145="",AD145=0),"",MIN(0,B145/AD145-1))</f>
        <v/>
      </c>
      <c r="F145" s="250">
        <f>IF(OR(U145="",T145=0,T145=""),"",(P145-T145*1.4)/U145)</f>
        <v/>
      </c>
      <c r="G145" s="251">
        <f>IF(OR(AC145="",'09_CF_원금'!$B$108=0),"",AC145/'09_CF_원금'!$B$108)</f>
        <v/>
      </c>
      <c r="H145" s="250">
        <f>IF(OR(U145="",U145=0,AC145=""),"",AC145/U145)</f>
        <v/>
      </c>
      <c r="I145" s="250">
        <f>IF(OR(S145="",U145=""),"",S145/(U145+S145))</f>
        <v/>
      </c>
      <c r="J145" s="248">
        <f>IF(W145&lt;&gt;"",W145-X145,IF(AG145&lt;&gt;"",AG145,""))</f>
        <v/>
      </c>
      <c r="K145" s="248">
        <f>IF(Q145&lt;&gt;"",Q145-Y145,IF(AH145&lt;&gt;"",AH145,""))</f>
        <v/>
      </c>
      <c r="L145" s="248">
        <f>IF(R145&lt;&gt;"",R145-Z145,IF(AI145&lt;&gt;"",AI145,""))</f>
        <v/>
      </c>
      <c r="M145" s="252" t="n"/>
      <c r="N145" s="253" t="n"/>
      <c r="O145" s="254" t="n"/>
      <c r="P145" s="255" t="n">
        <v>1105238905</v>
      </c>
      <c r="Q145" s="258">
        <f>IF($A145="","",IF(Q144="","",Q144))</f>
        <v/>
      </c>
      <c r="R145" s="258">
        <f>IF($A145="","",IF(R144="","",R144))</f>
        <v/>
      </c>
      <c r="S145" s="258">
        <f>IF($A145="","",IF(S144="","",S144))</f>
        <v/>
      </c>
      <c r="T145" s="249">
        <f>IF(OR(P145="",W145=""),"",P145-W145)</f>
        <v/>
      </c>
      <c r="U145" s="258">
        <f>IF($A145="","",IF(U144="","",U144))</f>
        <v/>
      </c>
      <c r="V145" s="249">
        <f>IF(P145="","",P145+IF(Q145="",0,Q145)+IF(R145="",0,R145))</f>
        <v/>
      </c>
      <c r="W145" s="255" t="n">
        <v>710992019</v>
      </c>
      <c r="X145" s="249">
        <f>SUMIFS('09_CF_원금'!$E$6:$E$92,'09_CF_원금'!$D$6:$D$92,"국장",'09_CF_원금'!$A$6:$A$92,"&lt;="&amp;$A145)-SUMIFS('09_CF_원금'!$E$6:$E$92,'09_CF_원금'!$C$6:$C$92,"국장",'09_CF_원금'!$A$6:$A$92,"&lt;="&amp;$A145)</f>
        <v/>
      </c>
      <c r="Y145" s="249">
        <f>SUMIFS('09_CF_원금'!$E$6:$E$92,'09_CF_원금'!$D$6:$D$92,"미장",'09_CF_원금'!$A$6:$A$92,"&lt;="&amp;$A145)-SUMIFS('09_CF_원금'!$E$6:$E$92,'09_CF_원금'!$C$6:$C$92,"미장",'09_CF_원금'!$A$6:$A$92,"&lt;="&amp;$A145)</f>
        <v/>
      </c>
      <c r="Z145" s="249">
        <f>SUMIFS('09_CF_원금'!$E$6:$E$92,'09_CF_원금'!$D$6:$D$92,"ISA",'09_CF_원금'!$A$6:$A$92,"&lt;="&amp;$A145)-SUMIFS('09_CF_원금'!$E$6:$E$92,'09_CF_원금'!$C$6:$C$92,"ISA",'09_CF_원금'!$A$6:$A$92,"&lt;="&amp;$A145)</f>
        <v/>
      </c>
      <c r="AA145" s="249">
        <f>IF($A145="","",X145+Y145+Z145+SUMIFS('09_CF_원금'!$E$6:$E$92,'09_CF_원금'!$D$6:$D$92,"중국",'09_CF_원금'!$A$6:$A$92,"&lt;="&amp;$A145)-SUMIFS('09_CF_원금'!$E$6:$E$92,'09_CF_원금'!$C$6:$C$92,"중국",'09_CF_원금'!$A$6:$A$92,"&lt;="&amp;$A145)+SUMIFS('09_CF_원금'!$E$6:$E$92,'09_CF_원금'!$D$6:$D$92,"업비트",'09_CF_원금'!$A$6:$A$92,"&lt;="&amp;$A145)-SUMIFS('09_CF_원금'!$E$6:$E$92,'09_CF_원금'!$C$6:$C$92,"업비트",'09_CF_원금'!$A$6:$A$92,"&lt;="&amp;$A145))</f>
        <v/>
      </c>
      <c r="AB145" s="249">
        <f>IF(OR(U145="",V145=""),"",U145-(V145-IF(S145="",0,S145)))</f>
        <v/>
      </c>
      <c r="AC145" s="249">
        <f>IF(AB145="","",T145+AB145)</f>
        <v/>
      </c>
      <c r="AD145" s="249">
        <f>IF(B145="","",MAX($B$5:B145))</f>
        <v/>
      </c>
      <c r="AE145" s="256" t="n"/>
      <c r="AF145" s="255" t="n"/>
      <c r="AG145" s="255" t="n"/>
      <c r="AH145" s="255" t="n"/>
      <c r="AI145" s="255" t="n"/>
      <c r="AJ145" s="257">
        <f>IF($A145="","",YEAR($A145)*100+MONTH($A145))</f>
        <v/>
      </c>
      <c r="AK145" s="257">
        <f>IF($A145="","",IF($N145="",0,1))</f>
        <v/>
      </c>
    </row>
    <row r="146">
      <c r="A146" s="247" t="n">
        <v>46205</v>
      </c>
      <c r="B146" s="248">
        <f>IF(V146&lt;&gt;"",V146-T146,IF(AF146&lt;&gt;"",AA146+AF146,""))</f>
        <v/>
      </c>
      <c r="C146" s="249">
        <f>IF(OR(B146="",B145=""),"",B146-B145)</f>
        <v/>
      </c>
      <c r="D146" s="248">
        <f>IF(OR(B146="",AA146=""),"",B146-AA146)</f>
        <v/>
      </c>
      <c r="E146" s="250">
        <f>IF(OR(B146="",AD146=0),"",MIN(0,B146/AD146-1))</f>
        <v/>
      </c>
      <c r="F146" s="250">
        <f>IF(OR(U146="",T146=0,T146=""),"",(P146-T146*1.4)/U146)</f>
        <v/>
      </c>
      <c r="G146" s="251">
        <f>IF(OR(AC146="",'09_CF_원금'!$B$108=0),"",AC146/'09_CF_원금'!$B$108)</f>
        <v/>
      </c>
      <c r="H146" s="250">
        <f>IF(OR(U146="",U146=0,AC146=""),"",AC146/U146)</f>
        <v/>
      </c>
      <c r="I146" s="250">
        <f>IF(OR(S146="",U146=""),"",S146/(U146+S146))</f>
        <v/>
      </c>
      <c r="J146" s="248">
        <f>IF(W146&lt;&gt;"",W146-X146,IF(AG146&lt;&gt;"",AG146,""))</f>
        <v/>
      </c>
      <c r="K146" s="248">
        <f>IF(Q146&lt;&gt;"",Q146-Y146,IF(AH146&lt;&gt;"",AH146,""))</f>
        <v/>
      </c>
      <c r="L146" s="248">
        <f>IF(R146&lt;&gt;"",R146-Z146,IF(AI146&lt;&gt;"",AI146,""))</f>
        <v/>
      </c>
      <c r="M146" s="252" t="n"/>
      <c r="N146" s="253" t="n"/>
      <c r="O146" s="254" t="n"/>
      <c r="P146" s="255" t="n">
        <v>1152548205</v>
      </c>
      <c r="Q146" s="258">
        <f>IF($A146="","",IF(Q145="","",Q145))</f>
        <v/>
      </c>
      <c r="R146" s="258">
        <f>IF($A146="","",IF(R145="","",R145))</f>
        <v/>
      </c>
      <c r="S146" s="258">
        <f>IF($A146="","",IF(S145="","",S145))</f>
        <v/>
      </c>
      <c r="T146" s="249">
        <f>IF(OR(P146="",W146=""),"",P146-W146)</f>
        <v/>
      </c>
      <c r="U146" s="258">
        <f>IF($A146="","",IF(U145="","",U145))</f>
        <v/>
      </c>
      <c r="V146" s="249">
        <f>IF(P146="","",P146+IF(Q146="",0,Q146)+IF(R146="",0,R146))</f>
        <v/>
      </c>
      <c r="W146" s="255" t="n">
        <v>566008823</v>
      </c>
      <c r="X146" s="249">
        <f>SUMIFS('09_CF_원금'!$E$6:$E$92,'09_CF_원금'!$D$6:$D$92,"국장",'09_CF_원금'!$A$6:$A$92,"&lt;="&amp;$A146)-SUMIFS('09_CF_원금'!$E$6:$E$92,'09_CF_원금'!$C$6:$C$92,"국장",'09_CF_원금'!$A$6:$A$92,"&lt;="&amp;$A146)</f>
        <v/>
      </c>
      <c r="Y146" s="249">
        <f>SUMIFS('09_CF_원금'!$E$6:$E$92,'09_CF_원금'!$D$6:$D$92,"미장",'09_CF_원금'!$A$6:$A$92,"&lt;="&amp;$A146)-SUMIFS('09_CF_원금'!$E$6:$E$92,'09_CF_원금'!$C$6:$C$92,"미장",'09_CF_원금'!$A$6:$A$92,"&lt;="&amp;$A146)</f>
        <v/>
      </c>
      <c r="Z146" s="249">
        <f>SUMIFS('09_CF_원금'!$E$6:$E$92,'09_CF_원금'!$D$6:$D$92,"ISA",'09_CF_원금'!$A$6:$A$92,"&lt;="&amp;$A146)-SUMIFS('09_CF_원금'!$E$6:$E$92,'09_CF_원금'!$C$6:$C$92,"ISA",'09_CF_원금'!$A$6:$A$92,"&lt;="&amp;$A146)</f>
        <v/>
      </c>
      <c r="AA146" s="249">
        <f>IF($A146="","",X146+Y146+Z146+SUMIFS('09_CF_원금'!$E$6:$E$92,'09_CF_원금'!$D$6:$D$92,"중국",'09_CF_원금'!$A$6:$A$92,"&lt;="&amp;$A146)-SUMIFS('09_CF_원금'!$E$6:$E$92,'09_CF_원금'!$C$6:$C$92,"중국",'09_CF_원금'!$A$6:$A$92,"&lt;="&amp;$A146)+SUMIFS('09_CF_원금'!$E$6:$E$92,'09_CF_원금'!$D$6:$D$92,"업비트",'09_CF_원금'!$A$6:$A$92,"&lt;="&amp;$A146)-SUMIFS('09_CF_원금'!$E$6:$E$92,'09_CF_원금'!$C$6:$C$92,"업비트",'09_CF_원금'!$A$6:$A$92,"&lt;="&amp;$A146))</f>
        <v/>
      </c>
      <c r="AB146" s="249">
        <f>IF(OR(U146="",V146=""),"",U146-(V146-IF(S146="",0,S146)))</f>
        <v/>
      </c>
      <c r="AC146" s="249">
        <f>IF(AB146="","",T146+AB146)</f>
        <v/>
      </c>
      <c r="AD146" s="249">
        <f>IF(B146="","",MAX($B$5:B146))</f>
        <v/>
      </c>
      <c r="AE146" s="256" t="n"/>
      <c r="AF146" s="255" t="n"/>
      <c r="AG146" s="255" t="n"/>
      <c r="AH146" s="255" t="n"/>
      <c r="AI146" s="255" t="n"/>
      <c r="AJ146" s="257">
        <f>IF($A146="","",YEAR($A146)*100+MONTH($A146))</f>
        <v/>
      </c>
      <c r="AK146" s="257">
        <f>IF($A146="","",IF($N146="",0,1))</f>
        <v/>
      </c>
    </row>
    <row r="147">
      <c r="A147" s="247" t="n">
        <v>46206</v>
      </c>
      <c r="B147" s="248">
        <f>IF(V147&lt;&gt;"",V147-T147,IF(AF147&lt;&gt;"",AA147+AF147,""))</f>
        <v/>
      </c>
      <c r="C147" s="249">
        <f>IF(OR(B147="",B146=""),"",B147-B146)</f>
        <v/>
      </c>
      <c r="D147" s="248">
        <f>IF(OR(B147="",AA147=""),"",B147-AA147)</f>
        <v/>
      </c>
      <c r="E147" s="250">
        <f>IF(OR(B147="",AD147=0),"",MIN(0,B147/AD147-1))</f>
        <v/>
      </c>
      <c r="F147" s="250">
        <f>IF(OR(U147="",T147=0,T147=""),"",(P147-T147*1.4)/U147)</f>
        <v/>
      </c>
      <c r="G147" s="251">
        <f>IF(OR(AC147="",'09_CF_원금'!$B$108=0),"",AC147/'09_CF_원금'!$B$108)</f>
        <v/>
      </c>
      <c r="H147" s="250">
        <f>IF(OR(U147="",U147=0,AC147=""),"",AC147/U147)</f>
        <v/>
      </c>
      <c r="I147" s="250">
        <f>IF(OR(S147="",U147=""),"",S147/(U147+S147))</f>
        <v/>
      </c>
      <c r="J147" s="248">
        <f>IF(W147&lt;&gt;"",W147-X147,IF(AG147&lt;&gt;"",AG147,""))</f>
        <v/>
      </c>
      <c r="K147" s="248">
        <f>IF(Q147&lt;&gt;"",Q147-Y147,IF(AH147&lt;&gt;"",AH147,""))</f>
        <v/>
      </c>
      <c r="L147" s="248">
        <f>IF(R147&lt;&gt;"",R147-Z147,IF(AI147&lt;&gt;"",AI147,""))</f>
        <v/>
      </c>
      <c r="M147" s="252" t="n"/>
      <c r="N147" s="253" t="n"/>
      <c r="O147" s="254" t="n"/>
      <c r="P147" s="255" t="n">
        <v>1054276500</v>
      </c>
      <c r="Q147" s="258">
        <f>IF($A147="","",IF(Q146="","",Q146))</f>
        <v/>
      </c>
      <c r="R147" s="258">
        <f>IF($A147="","",IF(R146="","",R146))</f>
        <v/>
      </c>
      <c r="S147" s="258">
        <f>IF($A147="","",IF(S146="","",S146))</f>
        <v/>
      </c>
      <c r="T147" s="249">
        <f>IF(OR(P147="",W147=""),"",P147-W147)</f>
        <v/>
      </c>
      <c r="U147" s="258">
        <f>IF($A147="","",IF(U146="","",U146))</f>
        <v/>
      </c>
      <c r="V147" s="249">
        <f>IF(P147="","",P147+IF(Q147="",0,Q147)+IF(R147="",0,R147))</f>
        <v/>
      </c>
      <c r="W147" s="255" t="n">
        <v>690084143</v>
      </c>
      <c r="X147" s="249">
        <f>SUMIFS('09_CF_원금'!$E$6:$E$92,'09_CF_원금'!$D$6:$D$92,"국장",'09_CF_원금'!$A$6:$A$92,"&lt;="&amp;$A147)-SUMIFS('09_CF_원금'!$E$6:$E$92,'09_CF_원금'!$C$6:$C$92,"국장",'09_CF_원금'!$A$6:$A$92,"&lt;="&amp;$A147)</f>
        <v/>
      </c>
      <c r="Y147" s="249">
        <f>SUMIFS('09_CF_원금'!$E$6:$E$92,'09_CF_원금'!$D$6:$D$92,"미장",'09_CF_원금'!$A$6:$A$92,"&lt;="&amp;$A147)-SUMIFS('09_CF_원금'!$E$6:$E$92,'09_CF_원금'!$C$6:$C$92,"미장",'09_CF_원금'!$A$6:$A$92,"&lt;="&amp;$A147)</f>
        <v/>
      </c>
      <c r="Z147" s="249">
        <f>SUMIFS('09_CF_원금'!$E$6:$E$92,'09_CF_원금'!$D$6:$D$92,"ISA",'09_CF_원금'!$A$6:$A$92,"&lt;="&amp;$A147)-SUMIFS('09_CF_원금'!$E$6:$E$92,'09_CF_원금'!$C$6:$C$92,"ISA",'09_CF_원금'!$A$6:$A$92,"&lt;="&amp;$A147)</f>
        <v/>
      </c>
      <c r="AA147" s="249">
        <f>IF($A147="","",X147+Y147+Z147+SUMIFS('09_CF_원금'!$E$6:$E$92,'09_CF_원금'!$D$6:$D$92,"중국",'09_CF_원금'!$A$6:$A$92,"&lt;="&amp;$A147)-SUMIFS('09_CF_원금'!$E$6:$E$92,'09_CF_원금'!$C$6:$C$92,"중국",'09_CF_원금'!$A$6:$A$92,"&lt;="&amp;$A147)+SUMIFS('09_CF_원금'!$E$6:$E$92,'09_CF_원금'!$D$6:$D$92,"업비트",'09_CF_원금'!$A$6:$A$92,"&lt;="&amp;$A147)-SUMIFS('09_CF_원금'!$E$6:$E$92,'09_CF_원금'!$C$6:$C$92,"업비트",'09_CF_원금'!$A$6:$A$92,"&lt;="&amp;$A147))</f>
        <v/>
      </c>
      <c r="AB147" s="249">
        <f>IF(OR(U147="",V147=""),"",U147-(V147-IF(S147="",0,S147)))</f>
        <v/>
      </c>
      <c r="AC147" s="249">
        <f>IF(AB147="","",T147+AB147)</f>
        <v/>
      </c>
      <c r="AD147" s="249">
        <f>IF(B147="","",MAX($B$5:B147))</f>
        <v/>
      </c>
      <c r="AE147" s="256" t="n"/>
      <c r="AF147" s="255" t="n"/>
      <c r="AG147" s="255" t="n"/>
      <c r="AH147" s="255" t="n"/>
      <c r="AI147" s="255" t="n"/>
      <c r="AJ147" s="257">
        <f>IF($A147="","",YEAR($A147)*100+MONTH($A147))</f>
        <v/>
      </c>
      <c r="AK147" s="257">
        <f>IF($A147="","",IF($N147="",0,1))</f>
        <v/>
      </c>
    </row>
    <row r="148">
      <c r="A148" s="247" t="n">
        <v>46209</v>
      </c>
      <c r="B148" s="248">
        <f>IF(V148&lt;&gt;"",V148-T148,IF(AF148&lt;&gt;"",AA148+AF148,""))</f>
        <v/>
      </c>
      <c r="C148" s="249">
        <f>IF(OR(B148="",B147=""),"",B148-B147)</f>
        <v/>
      </c>
      <c r="D148" s="248">
        <f>IF(OR(B148="",AA148=""),"",B148-AA148)</f>
        <v/>
      </c>
      <c r="E148" s="250">
        <f>IF(OR(B148="",AD148=0),"",MIN(0,B148/AD148-1))</f>
        <v/>
      </c>
      <c r="F148" s="250">
        <f>IF(OR(U148="",T148=0,T148=""),"",(P148-T148*1.4)/U148)</f>
        <v/>
      </c>
      <c r="G148" s="251">
        <f>IF(OR(AC148="",'09_CF_원금'!$B$108=0),"",AC148/'09_CF_원금'!$B$108)</f>
        <v/>
      </c>
      <c r="H148" s="250">
        <f>IF(OR(U148="",U148=0,AC148=""),"",AC148/U148)</f>
        <v/>
      </c>
      <c r="I148" s="250">
        <f>IF(OR(S148="",U148=""),"",S148/(U148+S148))</f>
        <v/>
      </c>
      <c r="J148" s="248">
        <f>IF(W148&lt;&gt;"",W148-X148,IF(AG148&lt;&gt;"",AG148,""))</f>
        <v/>
      </c>
      <c r="K148" s="248">
        <f>IF(Q148&lt;&gt;"",Q148-Y148,IF(AH148&lt;&gt;"",AH148,""))</f>
        <v/>
      </c>
      <c r="L148" s="248">
        <f>IF(R148&lt;&gt;"",R148-Z148,IF(AI148&lt;&gt;"",AI148,""))</f>
        <v/>
      </c>
      <c r="M148" s="252" t="n"/>
      <c r="N148" s="253" t="n"/>
      <c r="O148" s="254" t="n"/>
      <c r="P148" s="255" t="n">
        <v>1096991500</v>
      </c>
      <c r="Q148" s="258">
        <f>IF($A148="","",IF(Q147="","",Q147))</f>
        <v/>
      </c>
      <c r="R148" s="258">
        <f>IF($A148="","",IF(R147="","",R147))</f>
        <v/>
      </c>
      <c r="S148" s="258">
        <f>IF($A148="","",IF(S147="","",S147))</f>
        <v/>
      </c>
      <c r="T148" s="249">
        <f>IF(OR(P148="",W148=""),"",P148-W148)</f>
        <v/>
      </c>
      <c r="U148" s="258">
        <f>IF($A148="","",IF(U147="","",U147))</f>
        <v/>
      </c>
      <c r="V148" s="249">
        <f>IF(P148="","",P148+IF(Q148="",0,Q148)+IF(R148="",0,R148))</f>
        <v/>
      </c>
      <c r="W148" s="255" t="n">
        <v>686279901</v>
      </c>
      <c r="X148" s="249">
        <f>SUMIFS('09_CF_원금'!$E$6:$E$92,'09_CF_원금'!$D$6:$D$92,"국장",'09_CF_원금'!$A$6:$A$92,"&lt;="&amp;$A148)-SUMIFS('09_CF_원금'!$E$6:$E$92,'09_CF_원금'!$C$6:$C$92,"국장",'09_CF_원금'!$A$6:$A$92,"&lt;="&amp;$A148)</f>
        <v/>
      </c>
      <c r="Y148" s="249">
        <f>SUMIFS('09_CF_원금'!$E$6:$E$92,'09_CF_원금'!$D$6:$D$92,"미장",'09_CF_원금'!$A$6:$A$92,"&lt;="&amp;$A148)-SUMIFS('09_CF_원금'!$E$6:$E$92,'09_CF_원금'!$C$6:$C$92,"미장",'09_CF_원금'!$A$6:$A$92,"&lt;="&amp;$A148)</f>
        <v/>
      </c>
      <c r="Z148" s="249">
        <f>SUMIFS('09_CF_원금'!$E$6:$E$92,'09_CF_원금'!$D$6:$D$92,"ISA",'09_CF_원금'!$A$6:$A$92,"&lt;="&amp;$A148)-SUMIFS('09_CF_원금'!$E$6:$E$92,'09_CF_원금'!$C$6:$C$92,"ISA",'09_CF_원금'!$A$6:$A$92,"&lt;="&amp;$A148)</f>
        <v/>
      </c>
      <c r="AA148" s="249">
        <f>IF($A148="","",X148+Y148+Z148+SUMIFS('09_CF_원금'!$E$6:$E$92,'09_CF_원금'!$D$6:$D$92,"중국",'09_CF_원금'!$A$6:$A$92,"&lt;="&amp;$A148)-SUMIFS('09_CF_원금'!$E$6:$E$92,'09_CF_원금'!$C$6:$C$92,"중국",'09_CF_원금'!$A$6:$A$92,"&lt;="&amp;$A148)+SUMIFS('09_CF_원금'!$E$6:$E$92,'09_CF_원금'!$D$6:$D$92,"업비트",'09_CF_원금'!$A$6:$A$92,"&lt;="&amp;$A148)-SUMIFS('09_CF_원금'!$E$6:$E$92,'09_CF_원금'!$C$6:$C$92,"업비트",'09_CF_원금'!$A$6:$A$92,"&lt;="&amp;$A148))</f>
        <v/>
      </c>
      <c r="AB148" s="249">
        <f>IF(OR(U148="",V148=""),"",U148-(V148-IF(S148="",0,S148)))</f>
        <v/>
      </c>
      <c r="AC148" s="249">
        <f>IF(AB148="","",T148+AB148)</f>
        <v/>
      </c>
      <c r="AD148" s="249">
        <f>IF(B148="","",MAX($B$5:B148))</f>
        <v/>
      </c>
      <c r="AE148" s="256" t="n"/>
      <c r="AF148" s="255" t="n"/>
      <c r="AG148" s="255" t="n"/>
      <c r="AH148" s="255" t="n"/>
      <c r="AI148" s="255" t="n"/>
      <c r="AJ148" s="257">
        <f>IF($A148="","",YEAR($A148)*100+MONTH($A148))</f>
        <v/>
      </c>
      <c r="AK148" s="257">
        <f>IF($A148="","",IF($N148="",0,1))</f>
        <v/>
      </c>
    </row>
    <row r="149">
      <c r="A149" s="247" t="n">
        <v>46210</v>
      </c>
      <c r="B149" s="248">
        <f>IF(V149&lt;&gt;"",V149-T149,IF(AF149&lt;&gt;"",AA149+AF149,""))</f>
        <v/>
      </c>
      <c r="C149" s="249">
        <f>IF(OR(B149="",B148=""),"",B149-B148)</f>
        <v/>
      </c>
      <c r="D149" s="248">
        <f>IF(OR(B149="",AA149=""),"",B149-AA149)</f>
        <v/>
      </c>
      <c r="E149" s="250">
        <f>IF(OR(B149="",AD149=0),"",MIN(0,B149/AD149-1))</f>
        <v/>
      </c>
      <c r="F149" s="250">
        <f>IF(OR(U149="",T149=0,T149=""),"",(P149-T149*1.4)/U149)</f>
        <v/>
      </c>
      <c r="G149" s="251">
        <f>IF(OR(AC149="",'09_CF_원금'!$B$108=0),"",AC149/'09_CF_원금'!$B$108)</f>
        <v/>
      </c>
      <c r="H149" s="250">
        <f>IF(OR(U149="",U149=0,AC149=""),"",AC149/U149)</f>
        <v/>
      </c>
      <c r="I149" s="250">
        <f>IF(OR(S149="",U149=""),"",S149/(U149+S149))</f>
        <v/>
      </c>
      <c r="J149" s="248">
        <f>IF(W149&lt;&gt;"",W149-X149,IF(AG149&lt;&gt;"",AG149,""))</f>
        <v/>
      </c>
      <c r="K149" s="248">
        <f>IF(Q149&lt;&gt;"",Q149-Y149,IF(AH149&lt;&gt;"",AH149,""))</f>
        <v/>
      </c>
      <c r="L149" s="248">
        <f>IF(R149&lt;&gt;"",R149-Z149,IF(AI149&lt;&gt;"",AI149,""))</f>
        <v/>
      </c>
      <c r="M149" s="252" t="n"/>
      <c r="N149" s="253" t="n"/>
      <c r="O149" s="254" t="n"/>
      <c r="P149" s="255" t="n">
        <v>1178651120</v>
      </c>
      <c r="Q149" s="258">
        <f>IF($A149="","",IF(Q148="","",Q148))</f>
        <v/>
      </c>
      <c r="R149" s="258">
        <f>IF($A149="","",IF(R148="","",R148))</f>
        <v/>
      </c>
      <c r="S149" s="258">
        <f>IF($A149="","",IF(S148="","",S148))</f>
        <v/>
      </c>
      <c r="T149" s="249">
        <f>IF(OR(P149="",W149=""),"",P149-W149)</f>
        <v/>
      </c>
      <c r="U149" s="258">
        <f>IF($A149="","",IF(U148="","",U148))</f>
        <v/>
      </c>
      <c r="V149" s="249">
        <f>IF(P149="","",P149+IF(Q149="",0,Q149)+IF(R149="",0,R149))</f>
        <v/>
      </c>
      <c r="W149" s="255" t="n">
        <v>606540952</v>
      </c>
      <c r="X149" s="249">
        <f>SUMIFS('09_CF_원금'!$E$6:$E$92,'09_CF_원금'!$D$6:$D$92,"국장",'09_CF_원금'!$A$6:$A$92,"&lt;="&amp;$A149)-SUMIFS('09_CF_원금'!$E$6:$E$92,'09_CF_원금'!$C$6:$C$92,"국장",'09_CF_원금'!$A$6:$A$92,"&lt;="&amp;$A149)</f>
        <v/>
      </c>
      <c r="Y149" s="249">
        <f>SUMIFS('09_CF_원금'!$E$6:$E$92,'09_CF_원금'!$D$6:$D$92,"미장",'09_CF_원금'!$A$6:$A$92,"&lt;="&amp;$A149)-SUMIFS('09_CF_원금'!$E$6:$E$92,'09_CF_원금'!$C$6:$C$92,"미장",'09_CF_원금'!$A$6:$A$92,"&lt;="&amp;$A149)</f>
        <v/>
      </c>
      <c r="Z149" s="249">
        <f>SUMIFS('09_CF_원금'!$E$6:$E$92,'09_CF_원금'!$D$6:$D$92,"ISA",'09_CF_원금'!$A$6:$A$92,"&lt;="&amp;$A149)-SUMIFS('09_CF_원금'!$E$6:$E$92,'09_CF_원금'!$C$6:$C$92,"ISA",'09_CF_원금'!$A$6:$A$92,"&lt;="&amp;$A149)</f>
        <v/>
      </c>
      <c r="AA149" s="249">
        <f>IF($A149="","",X149+Y149+Z149+SUMIFS('09_CF_원금'!$E$6:$E$92,'09_CF_원금'!$D$6:$D$92,"중국",'09_CF_원금'!$A$6:$A$92,"&lt;="&amp;$A149)-SUMIFS('09_CF_원금'!$E$6:$E$92,'09_CF_원금'!$C$6:$C$92,"중국",'09_CF_원금'!$A$6:$A$92,"&lt;="&amp;$A149)+SUMIFS('09_CF_원금'!$E$6:$E$92,'09_CF_원금'!$D$6:$D$92,"업비트",'09_CF_원금'!$A$6:$A$92,"&lt;="&amp;$A149)-SUMIFS('09_CF_원금'!$E$6:$E$92,'09_CF_원금'!$C$6:$C$92,"업비트",'09_CF_원금'!$A$6:$A$92,"&lt;="&amp;$A149))</f>
        <v/>
      </c>
      <c r="AB149" s="249">
        <f>IF(OR(U149="",V149=""),"",U149-(V149-IF(S149="",0,S149)))</f>
        <v/>
      </c>
      <c r="AC149" s="249">
        <f>IF(AB149="","",T149+AB149)</f>
        <v/>
      </c>
      <c r="AD149" s="249">
        <f>IF(B149="","",MAX($B$5:B149))</f>
        <v/>
      </c>
      <c r="AE149" s="256" t="n"/>
      <c r="AF149" s="255" t="n"/>
      <c r="AG149" s="255" t="n"/>
      <c r="AH149" s="255" t="n"/>
      <c r="AI149" s="255" t="n"/>
      <c r="AJ149" s="257">
        <f>IF($A149="","",YEAR($A149)*100+MONTH($A149))</f>
        <v/>
      </c>
      <c r="AK149" s="257">
        <f>IF($A149="","",IF($N149="",0,1))</f>
        <v/>
      </c>
    </row>
    <row r="150">
      <c r="A150" s="247" t="n">
        <v>46211</v>
      </c>
      <c r="B150" s="248">
        <f>IF(V150&lt;&gt;"",V150-T150,IF(AF150&lt;&gt;"",AA150+AF150,""))</f>
        <v/>
      </c>
      <c r="C150" s="249">
        <f>IF(OR(B150="",B149=""),"",B150-B149)</f>
        <v/>
      </c>
      <c r="D150" s="248">
        <f>IF(OR(B150="",AA150=""),"",B150-AA150)</f>
        <v/>
      </c>
      <c r="E150" s="250">
        <f>IF(OR(B150="",AD150=0),"",MIN(0,B150/AD150-1))</f>
        <v/>
      </c>
      <c r="F150" s="250">
        <f>IF(OR(U150="",T150=0,T150=""),"",(P150-T150*1.4)/U150)</f>
        <v/>
      </c>
      <c r="G150" s="251">
        <f>IF(OR(AC150="",'09_CF_원금'!$B$108=0),"",AC150/'09_CF_원금'!$B$108)</f>
        <v/>
      </c>
      <c r="H150" s="250">
        <f>IF(OR(U150="",U150=0,AC150=""),"",AC150/U150)</f>
        <v/>
      </c>
      <c r="I150" s="250">
        <f>IF(OR(S150="",U150=""),"",S150/(U150+S150))</f>
        <v/>
      </c>
      <c r="J150" s="248">
        <f>IF(W150&lt;&gt;"",W150-X150,IF(AG150&lt;&gt;"",AG150,""))</f>
        <v/>
      </c>
      <c r="K150" s="248">
        <f>IF(Q150&lt;&gt;"",Q150-Y150,IF(AH150&lt;&gt;"",AH150,""))</f>
        <v/>
      </c>
      <c r="L150" s="248">
        <f>IF(R150&lt;&gt;"",R150-Z150,IF(AI150&lt;&gt;"",AI150,""))</f>
        <v/>
      </c>
      <c r="M150" s="252" t="n"/>
      <c r="N150" s="253" t="n"/>
      <c r="O150" s="254" t="n"/>
      <c r="P150" s="255" t="n">
        <v>1092038235</v>
      </c>
      <c r="Q150" s="258">
        <f>IF($A150="","",IF(Q149="","",Q149))</f>
        <v/>
      </c>
      <c r="R150" s="258">
        <f>IF($A150="","",IF(R149="","",R149))</f>
        <v/>
      </c>
      <c r="S150" s="258">
        <f>IF($A150="","",IF(S149="","",S149))</f>
        <v/>
      </c>
      <c r="T150" s="249">
        <f>IF(OR(P150="",W150=""),"",P150-W150)</f>
        <v/>
      </c>
      <c r="U150" s="258">
        <f>IF($A150="","",IF(U149="","",U149))</f>
        <v/>
      </c>
      <c r="V150" s="249">
        <f>IF(P150="","",P150+IF(Q150="",0,Q150)+IF(R150="",0,R150))</f>
        <v/>
      </c>
      <c r="W150" s="255" t="n">
        <v>520741487</v>
      </c>
      <c r="X150" s="249">
        <f>SUMIFS('09_CF_원금'!$E$6:$E$92,'09_CF_원금'!$D$6:$D$92,"국장",'09_CF_원금'!$A$6:$A$92,"&lt;="&amp;$A150)-SUMIFS('09_CF_원금'!$E$6:$E$92,'09_CF_원금'!$C$6:$C$92,"국장",'09_CF_원금'!$A$6:$A$92,"&lt;="&amp;$A150)</f>
        <v/>
      </c>
      <c r="Y150" s="249">
        <f>SUMIFS('09_CF_원금'!$E$6:$E$92,'09_CF_원금'!$D$6:$D$92,"미장",'09_CF_원금'!$A$6:$A$92,"&lt;="&amp;$A150)-SUMIFS('09_CF_원금'!$E$6:$E$92,'09_CF_원금'!$C$6:$C$92,"미장",'09_CF_원금'!$A$6:$A$92,"&lt;="&amp;$A150)</f>
        <v/>
      </c>
      <c r="Z150" s="249">
        <f>SUMIFS('09_CF_원금'!$E$6:$E$92,'09_CF_원금'!$D$6:$D$92,"ISA",'09_CF_원금'!$A$6:$A$92,"&lt;="&amp;$A150)-SUMIFS('09_CF_원금'!$E$6:$E$92,'09_CF_원금'!$C$6:$C$92,"ISA",'09_CF_원금'!$A$6:$A$92,"&lt;="&amp;$A150)</f>
        <v/>
      </c>
      <c r="AA150" s="249">
        <f>IF($A150="","",X150+Y150+Z150+SUMIFS('09_CF_원금'!$E$6:$E$92,'09_CF_원금'!$D$6:$D$92,"중국",'09_CF_원금'!$A$6:$A$92,"&lt;="&amp;$A150)-SUMIFS('09_CF_원금'!$E$6:$E$92,'09_CF_원금'!$C$6:$C$92,"중국",'09_CF_원금'!$A$6:$A$92,"&lt;="&amp;$A150)+SUMIFS('09_CF_원금'!$E$6:$E$92,'09_CF_원금'!$D$6:$D$92,"업비트",'09_CF_원금'!$A$6:$A$92,"&lt;="&amp;$A150)-SUMIFS('09_CF_원금'!$E$6:$E$92,'09_CF_원금'!$C$6:$C$92,"업비트",'09_CF_원금'!$A$6:$A$92,"&lt;="&amp;$A150))</f>
        <v/>
      </c>
      <c r="AB150" s="249">
        <f>IF(OR(U150="",V150=""),"",U150-(V150-IF(S150="",0,S150)))</f>
        <v/>
      </c>
      <c r="AC150" s="249">
        <f>IF(AB150="","",T150+AB150)</f>
        <v/>
      </c>
      <c r="AD150" s="249">
        <f>IF(B150="","",MAX($B$5:B150))</f>
        <v/>
      </c>
      <c r="AE150" s="256" t="n"/>
      <c r="AF150" s="255" t="n"/>
      <c r="AG150" s="255" t="n"/>
      <c r="AH150" s="255" t="n"/>
      <c r="AI150" s="255" t="n"/>
      <c r="AJ150" s="257">
        <f>IF($A150="","",YEAR($A150)*100+MONTH($A150))</f>
        <v/>
      </c>
      <c r="AK150" s="257">
        <f>IF($A150="","",IF($N150="",0,1))</f>
        <v/>
      </c>
    </row>
    <row r="151">
      <c r="A151" s="247" t="n">
        <v>46212</v>
      </c>
      <c r="B151" s="248">
        <f>IF(V151&lt;&gt;"",V151-T151,IF(AF151&lt;&gt;"",AA151+AF151,""))</f>
        <v/>
      </c>
      <c r="C151" s="249">
        <f>IF(OR(B151="",B150=""),"",B151-B150)</f>
        <v/>
      </c>
      <c r="D151" s="248">
        <f>IF(OR(B151="",AA151=""),"",B151-AA151)</f>
        <v/>
      </c>
      <c r="E151" s="250">
        <f>IF(OR(B151="",AD151=0),"",MIN(0,B151/AD151-1))</f>
        <v/>
      </c>
      <c r="F151" s="250">
        <f>IF(OR(U151="",T151=0,T151=""),"",(P151-T151*1.4)/U151)</f>
        <v/>
      </c>
      <c r="G151" s="251">
        <f>IF(OR(AC151="",'09_CF_원금'!$B$108=0),"",AC151/'09_CF_원금'!$B$108)</f>
        <v/>
      </c>
      <c r="H151" s="250">
        <f>IF(OR(U151="",U151=0,AC151=""),"",AC151/U151)</f>
        <v/>
      </c>
      <c r="I151" s="250">
        <f>IF(OR(S151="",U151=""),"",S151/(U151+S151))</f>
        <v/>
      </c>
      <c r="J151" s="248">
        <f>IF(W151&lt;&gt;"",W151-X151,IF(AG151&lt;&gt;"",AG151,""))</f>
        <v/>
      </c>
      <c r="K151" s="248">
        <f>IF(Q151&lt;&gt;"",Q151-Y151,IF(AH151&lt;&gt;"",AH151,""))</f>
        <v/>
      </c>
      <c r="L151" s="248">
        <f>IF(R151&lt;&gt;"",R151-Z151,IF(AI151&lt;&gt;"",AI151,""))</f>
        <v/>
      </c>
      <c r="M151" s="252" t="n"/>
      <c r="N151" s="253" t="n"/>
      <c r="O151" s="254" t="n"/>
      <c r="P151" s="255" t="n">
        <v>1156690780</v>
      </c>
      <c r="Q151" s="258">
        <f>IF($A151="","",IF(Q150="","",Q150))</f>
        <v/>
      </c>
      <c r="R151" s="258">
        <f>IF($A151="","",IF(R150="","",R150))</f>
        <v/>
      </c>
      <c r="S151" s="258">
        <f>IF($A151="","",IF(S150="","",S150))</f>
        <v/>
      </c>
      <c r="T151" s="249">
        <f>IF(OR(P151="",W151=""),"",P151-W151)</f>
        <v/>
      </c>
      <c r="U151" s="258">
        <f>IF($A151="","",IF(U150="","",U150))</f>
        <v/>
      </c>
      <c r="V151" s="249">
        <f>IF(P151="","",P151+IF(Q151="",0,Q151)+IF(R151="",0,R151))</f>
        <v/>
      </c>
      <c r="W151" s="255" t="n">
        <v>559306750</v>
      </c>
      <c r="X151" s="249">
        <f>SUMIFS('09_CF_원금'!$E$6:$E$92,'09_CF_원금'!$D$6:$D$92,"국장",'09_CF_원금'!$A$6:$A$92,"&lt;="&amp;$A151)-SUMIFS('09_CF_원금'!$E$6:$E$92,'09_CF_원금'!$C$6:$C$92,"국장",'09_CF_원금'!$A$6:$A$92,"&lt;="&amp;$A151)</f>
        <v/>
      </c>
      <c r="Y151" s="249">
        <f>SUMIFS('09_CF_원금'!$E$6:$E$92,'09_CF_원금'!$D$6:$D$92,"미장",'09_CF_원금'!$A$6:$A$92,"&lt;="&amp;$A151)-SUMIFS('09_CF_원금'!$E$6:$E$92,'09_CF_원금'!$C$6:$C$92,"미장",'09_CF_원금'!$A$6:$A$92,"&lt;="&amp;$A151)</f>
        <v/>
      </c>
      <c r="Z151" s="249">
        <f>SUMIFS('09_CF_원금'!$E$6:$E$92,'09_CF_원금'!$D$6:$D$92,"ISA",'09_CF_원금'!$A$6:$A$92,"&lt;="&amp;$A151)-SUMIFS('09_CF_원금'!$E$6:$E$92,'09_CF_원금'!$C$6:$C$92,"ISA",'09_CF_원금'!$A$6:$A$92,"&lt;="&amp;$A151)</f>
        <v/>
      </c>
      <c r="AA151" s="249">
        <f>IF($A151="","",X151+Y151+Z151+SUMIFS('09_CF_원금'!$E$6:$E$92,'09_CF_원금'!$D$6:$D$92,"중국",'09_CF_원금'!$A$6:$A$92,"&lt;="&amp;$A151)-SUMIFS('09_CF_원금'!$E$6:$E$92,'09_CF_원금'!$C$6:$C$92,"중국",'09_CF_원금'!$A$6:$A$92,"&lt;="&amp;$A151)+SUMIFS('09_CF_원금'!$E$6:$E$92,'09_CF_원금'!$D$6:$D$92,"업비트",'09_CF_원금'!$A$6:$A$92,"&lt;="&amp;$A151)-SUMIFS('09_CF_원금'!$E$6:$E$92,'09_CF_원금'!$C$6:$C$92,"업비트",'09_CF_원금'!$A$6:$A$92,"&lt;="&amp;$A151))</f>
        <v/>
      </c>
      <c r="AB151" s="249">
        <f>IF(OR(U151="",V151=""),"",U151-(V151-IF(S151="",0,S151)))</f>
        <v/>
      </c>
      <c r="AC151" s="249">
        <f>IF(AB151="","",T151+AB151)</f>
        <v/>
      </c>
      <c r="AD151" s="249">
        <f>IF(B151="","",MAX($B$5:B151))</f>
        <v/>
      </c>
      <c r="AE151" s="256" t="n"/>
      <c r="AF151" s="255" t="n"/>
      <c r="AG151" s="255" t="n"/>
      <c r="AH151" s="255" t="n"/>
      <c r="AI151" s="255" t="n"/>
      <c r="AJ151" s="257">
        <f>IF($A151="","",YEAR($A151)*100+MONTH($A151))</f>
        <v/>
      </c>
      <c r="AK151" s="257">
        <f>IF($A151="","",IF($N151="",0,1))</f>
        <v/>
      </c>
    </row>
    <row r="152">
      <c r="A152" s="247" t="n">
        <v>46213</v>
      </c>
      <c r="B152" s="248">
        <f>IF(V152&lt;&gt;"",V152-T152,IF(AF152&lt;&gt;"",AA152+AF152,""))</f>
        <v/>
      </c>
      <c r="C152" s="249">
        <f>IF(OR(B152="",B151=""),"",B152-B151)</f>
        <v/>
      </c>
      <c r="D152" s="248">
        <f>IF(OR(B152="",AA152=""),"",B152-AA152)</f>
        <v/>
      </c>
      <c r="E152" s="250">
        <f>IF(OR(B152="",AD152=0),"",MIN(0,B152/AD152-1))</f>
        <v/>
      </c>
      <c r="F152" s="250">
        <f>IF(OR(U152="",T152=0,T152=""),"",(P152-T152*1.4)/U152)</f>
        <v/>
      </c>
      <c r="G152" s="251">
        <f>IF(OR(AC152="",'09_CF_원금'!$B$108=0),"",AC152/'09_CF_원금'!$B$108)</f>
        <v/>
      </c>
      <c r="H152" s="250">
        <f>IF(OR(U152="",U152=0,AC152=""),"",AC152/U152)</f>
        <v/>
      </c>
      <c r="I152" s="250">
        <f>IF(OR(S152="",U152=""),"",S152/(U152+S152))</f>
        <v/>
      </c>
      <c r="J152" s="248">
        <f>IF(W152&lt;&gt;"",W152-X152,IF(AG152&lt;&gt;"",AG152,""))</f>
        <v/>
      </c>
      <c r="K152" s="248">
        <f>IF(Q152&lt;&gt;"",Q152-Y152,IF(AH152&lt;&gt;"",AH152,""))</f>
        <v/>
      </c>
      <c r="L152" s="248">
        <f>IF(R152&lt;&gt;"",R152-Z152,IF(AI152&lt;&gt;"",AI152,""))</f>
        <v/>
      </c>
      <c r="M152" s="252" t="n"/>
      <c r="N152" s="253" t="n"/>
      <c r="O152" s="254" t="n"/>
      <c r="P152" s="255" t="n">
        <v>1189540000</v>
      </c>
      <c r="Q152" s="258">
        <f>IF($A152="","",IF(Q151="","",Q151))</f>
        <v/>
      </c>
      <c r="R152" s="258">
        <f>IF($A152="","",IF(R151="","",R151))</f>
        <v/>
      </c>
      <c r="S152" s="258">
        <f>IF($A152="","",IF(S151="","",S151))</f>
        <v/>
      </c>
      <c r="T152" s="249">
        <f>IF(OR(P152="",W152=""),"",P152-W152)</f>
        <v/>
      </c>
      <c r="U152" s="258">
        <f>IF($A152="","",IF(U151="","",U151))</f>
        <v/>
      </c>
      <c r="V152" s="249">
        <f>IF(P152="","",P152+IF(Q152="",0,Q152)+IF(R152="",0,R152))</f>
        <v/>
      </c>
      <c r="W152" s="255" t="n">
        <v>581255304</v>
      </c>
      <c r="X152" s="249">
        <f>SUMIFS('09_CF_원금'!$E$6:$E$92,'09_CF_원금'!$D$6:$D$92,"국장",'09_CF_원금'!$A$6:$A$92,"&lt;="&amp;$A152)-SUMIFS('09_CF_원금'!$E$6:$E$92,'09_CF_원금'!$C$6:$C$92,"국장",'09_CF_원금'!$A$6:$A$92,"&lt;="&amp;$A152)</f>
        <v/>
      </c>
      <c r="Y152" s="249">
        <f>SUMIFS('09_CF_원금'!$E$6:$E$92,'09_CF_원금'!$D$6:$D$92,"미장",'09_CF_원금'!$A$6:$A$92,"&lt;="&amp;$A152)-SUMIFS('09_CF_원금'!$E$6:$E$92,'09_CF_원금'!$C$6:$C$92,"미장",'09_CF_원금'!$A$6:$A$92,"&lt;="&amp;$A152)</f>
        <v/>
      </c>
      <c r="Z152" s="249">
        <f>SUMIFS('09_CF_원금'!$E$6:$E$92,'09_CF_원금'!$D$6:$D$92,"ISA",'09_CF_원금'!$A$6:$A$92,"&lt;="&amp;$A152)-SUMIFS('09_CF_원금'!$E$6:$E$92,'09_CF_원금'!$C$6:$C$92,"ISA",'09_CF_원금'!$A$6:$A$92,"&lt;="&amp;$A152)</f>
        <v/>
      </c>
      <c r="AA152" s="249">
        <f>IF($A152="","",X152+Y152+Z152+SUMIFS('09_CF_원금'!$E$6:$E$92,'09_CF_원금'!$D$6:$D$92,"중국",'09_CF_원금'!$A$6:$A$92,"&lt;="&amp;$A152)-SUMIFS('09_CF_원금'!$E$6:$E$92,'09_CF_원금'!$C$6:$C$92,"중국",'09_CF_원금'!$A$6:$A$92,"&lt;="&amp;$A152)+SUMIFS('09_CF_원금'!$E$6:$E$92,'09_CF_원금'!$D$6:$D$92,"업비트",'09_CF_원금'!$A$6:$A$92,"&lt;="&amp;$A152)-SUMIFS('09_CF_원금'!$E$6:$E$92,'09_CF_원금'!$C$6:$C$92,"업비트",'09_CF_원금'!$A$6:$A$92,"&lt;="&amp;$A152))</f>
        <v/>
      </c>
      <c r="AB152" s="249">
        <f>IF(OR(U152="",V152=""),"",U152-(V152-IF(S152="",0,S152)))</f>
        <v/>
      </c>
      <c r="AC152" s="249">
        <f>IF(AB152="","",T152+AB152)</f>
        <v/>
      </c>
      <c r="AD152" s="249">
        <f>IF(B152="","",MAX($B$5:B152))</f>
        <v/>
      </c>
      <c r="AE152" s="256" t="n"/>
      <c r="AF152" s="255" t="n"/>
      <c r="AG152" s="255" t="n"/>
      <c r="AH152" s="255" t="n"/>
      <c r="AI152" s="255" t="n"/>
      <c r="AJ152" s="257">
        <f>IF($A152="","",YEAR($A152)*100+MONTH($A152))</f>
        <v/>
      </c>
      <c r="AK152" s="257">
        <f>IF($A152="","",IF($N152="",0,1))</f>
        <v/>
      </c>
    </row>
    <row r="153">
      <c r="A153" s="247" t="n">
        <v>46216</v>
      </c>
      <c r="B153" s="248">
        <f>IF(V153&lt;&gt;"",V153-T153,IF(AF153&lt;&gt;"",AA153+AF153,""))</f>
        <v/>
      </c>
      <c r="C153" s="249">
        <f>IF(OR(B153="",B152=""),"",B153-B152)</f>
        <v/>
      </c>
      <c r="D153" s="248">
        <f>IF(OR(B153="",AA153=""),"",B153-AA153)</f>
        <v/>
      </c>
      <c r="E153" s="250">
        <f>IF(OR(B153="",AD153=0),"",MIN(0,B153/AD153-1))</f>
        <v/>
      </c>
      <c r="F153" s="250">
        <f>IF(OR(U153="",T153=0,T153=""),"",(P153-T153*1.4)/U153)</f>
        <v/>
      </c>
      <c r="G153" s="251">
        <f>IF(OR(AC153="",'09_CF_원금'!$B$108=0),"",AC153/'09_CF_원금'!$B$108)</f>
        <v/>
      </c>
      <c r="H153" s="250">
        <f>IF(OR(U153="",U153=0,AC153=""),"",AC153/U153)</f>
        <v/>
      </c>
      <c r="I153" s="250">
        <f>IF(OR(S153="",U153=""),"",S153/(U153+S153))</f>
        <v/>
      </c>
      <c r="J153" s="248">
        <f>IF(W153&lt;&gt;"",W153-X153,IF(AG153&lt;&gt;"",AG153,""))</f>
        <v/>
      </c>
      <c r="K153" s="248">
        <f>IF(Q153&lt;&gt;"",Q153-Y153,IF(AH153&lt;&gt;"",AH153,""))</f>
        <v/>
      </c>
      <c r="L153" s="248">
        <f>IF(R153&lt;&gt;"",R153-Z153,IF(AI153&lt;&gt;"",AI153,""))</f>
        <v/>
      </c>
      <c r="M153" s="252" t="n"/>
      <c r="N153" s="253" t="n"/>
      <c r="O153" s="254" t="n"/>
      <c r="P153" s="255" t="n">
        <v>1094918500</v>
      </c>
      <c r="Q153" s="258">
        <f>IF($A153="","",IF(Q152="","",Q152))</f>
        <v/>
      </c>
      <c r="R153" s="258">
        <f>IF($A153="","",IF(R152="","",R152))</f>
        <v/>
      </c>
      <c r="S153" s="258">
        <f>IF($A153="","",IF(S152="","",S152))</f>
        <v/>
      </c>
      <c r="T153" s="249">
        <f>IF(OR(P153="",W153=""),"",P153-W153)</f>
        <v/>
      </c>
      <c r="U153" s="258">
        <f>IF($A153="","",IF(U152="","",U152))</f>
        <v/>
      </c>
      <c r="V153" s="249">
        <f>IF(P153="","",P153+IF(Q153="",0,Q153)+IF(R153="",0,R153))</f>
        <v/>
      </c>
      <c r="W153" s="255" t="n">
        <v>359604206</v>
      </c>
      <c r="X153" s="249">
        <f>SUMIFS('09_CF_원금'!$E$6:$E$92,'09_CF_원금'!$D$6:$D$92,"국장",'09_CF_원금'!$A$6:$A$92,"&lt;="&amp;$A153)-SUMIFS('09_CF_원금'!$E$6:$E$92,'09_CF_원금'!$C$6:$C$92,"국장",'09_CF_원금'!$A$6:$A$92,"&lt;="&amp;$A153)</f>
        <v/>
      </c>
      <c r="Y153" s="249">
        <f>SUMIFS('09_CF_원금'!$E$6:$E$92,'09_CF_원금'!$D$6:$D$92,"미장",'09_CF_원금'!$A$6:$A$92,"&lt;="&amp;$A153)-SUMIFS('09_CF_원금'!$E$6:$E$92,'09_CF_원금'!$C$6:$C$92,"미장",'09_CF_원금'!$A$6:$A$92,"&lt;="&amp;$A153)</f>
        <v/>
      </c>
      <c r="Z153" s="249">
        <f>SUMIFS('09_CF_원금'!$E$6:$E$92,'09_CF_원금'!$D$6:$D$92,"ISA",'09_CF_원금'!$A$6:$A$92,"&lt;="&amp;$A153)-SUMIFS('09_CF_원금'!$E$6:$E$92,'09_CF_원금'!$C$6:$C$92,"ISA",'09_CF_원금'!$A$6:$A$92,"&lt;="&amp;$A153)</f>
        <v/>
      </c>
      <c r="AA153" s="249">
        <f>IF($A153="","",X153+Y153+Z153+SUMIFS('09_CF_원금'!$E$6:$E$92,'09_CF_원금'!$D$6:$D$92,"중국",'09_CF_원금'!$A$6:$A$92,"&lt;="&amp;$A153)-SUMIFS('09_CF_원금'!$E$6:$E$92,'09_CF_원금'!$C$6:$C$92,"중국",'09_CF_원금'!$A$6:$A$92,"&lt;="&amp;$A153)+SUMIFS('09_CF_원금'!$E$6:$E$92,'09_CF_원금'!$D$6:$D$92,"업비트",'09_CF_원금'!$A$6:$A$92,"&lt;="&amp;$A153)-SUMIFS('09_CF_원금'!$E$6:$E$92,'09_CF_원금'!$C$6:$C$92,"업비트",'09_CF_원금'!$A$6:$A$92,"&lt;="&amp;$A153))</f>
        <v/>
      </c>
      <c r="AB153" s="249">
        <f>IF(OR(U153="",V153=""),"",U153-(V153-IF(S153="",0,S153)))</f>
        <v/>
      </c>
      <c r="AC153" s="249">
        <f>IF(AB153="","",T153+AB153)</f>
        <v/>
      </c>
      <c r="AD153" s="249">
        <f>IF(B153="","",MAX($B$5:B153))</f>
        <v/>
      </c>
      <c r="AE153" s="256" t="n"/>
      <c r="AF153" s="255" t="n"/>
      <c r="AG153" s="255" t="n"/>
      <c r="AH153" s="255" t="n"/>
      <c r="AI153" s="255" t="n"/>
      <c r="AJ153" s="257">
        <f>IF($A153="","",YEAR($A153)*100+MONTH($A153))</f>
        <v/>
      </c>
      <c r="AK153" s="257">
        <f>IF($A153="","",IF($N153="",0,1))</f>
        <v/>
      </c>
    </row>
    <row r="154">
      <c r="A154" s="247" t="n">
        <v>46217</v>
      </c>
      <c r="B154" s="248">
        <f>IF(V154&lt;&gt;"",V154-T154,IF(AF154&lt;&gt;"",AA154+AF154,""))</f>
        <v/>
      </c>
      <c r="C154" s="249">
        <f>IF(OR(B154="",B153=""),"",B154-B153)</f>
        <v/>
      </c>
      <c r="D154" s="248">
        <f>IF(OR(B154="",AA154=""),"",B154-AA154)</f>
        <v/>
      </c>
      <c r="E154" s="250">
        <f>IF(OR(B154="",AD154=0),"",MIN(0,B154/AD154-1))</f>
        <v/>
      </c>
      <c r="F154" s="250">
        <f>IF(OR(U154="",T154=0,T154=""),"",(P154-T154*1.4)/U154)</f>
        <v/>
      </c>
      <c r="G154" s="251">
        <f>IF(OR(AC154="",'09_CF_원금'!$B$108=0),"",AC154/'09_CF_원금'!$B$108)</f>
        <v/>
      </c>
      <c r="H154" s="250">
        <f>IF(OR(U154="",U154=0,AC154=""),"",AC154/U154)</f>
        <v/>
      </c>
      <c r="I154" s="250">
        <f>IF(OR(S154="",U154=""),"",S154/(U154+S154))</f>
        <v/>
      </c>
      <c r="J154" s="248">
        <f>IF(W154&lt;&gt;"",W154-X154,IF(AG154&lt;&gt;"",AG154,""))</f>
        <v/>
      </c>
      <c r="K154" s="248">
        <f>IF(Q154&lt;&gt;"",Q154-Y154,IF(AH154&lt;&gt;"",AH154,""))</f>
        <v/>
      </c>
      <c r="L154" s="248">
        <f>IF(R154&lt;&gt;"",R154-Z154,IF(AI154&lt;&gt;"",AI154,""))</f>
        <v/>
      </c>
      <c r="M154" s="252" t="n"/>
      <c r="N154" s="253" t="n"/>
      <c r="O154" s="254" t="n"/>
      <c r="P154" s="255" t="n">
        <v>1134766790</v>
      </c>
      <c r="Q154" s="258">
        <f>IF($A154="","",IF(Q153="","",Q153))</f>
        <v/>
      </c>
      <c r="R154" s="258">
        <f>IF($A154="","",IF(R153="","",R153))</f>
        <v/>
      </c>
      <c r="S154" s="258">
        <f>IF($A154="","",IF(S153="","",S153))</f>
        <v/>
      </c>
      <c r="T154" s="249">
        <f>IF(OR(P154="",W154=""),"",P154-W154)</f>
        <v/>
      </c>
      <c r="U154" s="258">
        <f>IF($A154="","",IF(U153="","",U153))</f>
        <v/>
      </c>
      <c r="V154" s="249">
        <f>IF(P154="","",P154+IF(Q154="",0,Q154)+IF(R154="",0,R154))</f>
        <v/>
      </c>
      <c r="W154" s="255" t="n">
        <v>398445035</v>
      </c>
      <c r="X154" s="249">
        <f>SUMIFS('09_CF_원금'!$E$6:$E$92,'09_CF_원금'!$D$6:$D$92,"국장",'09_CF_원금'!$A$6:$A$92,"&lt;="&amp;$A154)-SUMIFS('09_CF_원금'!$E$6:$E$92,'09_CF_원금'!$C$6:$C$92,"국장",'09_CF_원금'!$A$6:$A$92,"&lt;="&amp;$A154)</f>
        <v/>
      </c>
      <c r="Y154" s="249">
        <f>SUMIFS('09_CF_원금'!$E$6:$E$92,'09_CF_원금'!$D$6:$D$92,"미장",'09_CF_원금'!$A$6:$A$92,"&lt;="&amp;$A154)-SUMIFS('09_CF_원금'!$E$6:$E$92,'09_CF_원금'!$C$6:$C$92,"미장",'09_CF_원금'!$A$6:$A$92,"&lt;="&amp;$A154)</f>
        <v/>
      </c>
      <c r="Z154" s="249">
        <f>SUMIFS('09_CF_원금'!$E$6:$E$92,'09_CF_원금'!$D$6:$D$92,"ISA",'09_CF_원금'!$A$6:$A$92,"&lt;="&amp;$A154)-SUMIFS('09_CF_원금'!$E$6:$E$92,'09_CF_원금'!$C$6:$C$92,"ISA",'09_CF_원금'!$A$6:$A$92,"&lt;="&amp;$A154)</f>
        <v/>
      </c>
      <c r="AA154" s="249">
        <f>IF($A154="","",X154+Y154+Z154+SUMIFS('09_CF_원금'!$E$6:$E$92,'09_CF_원금'!$D$6:$D$92,"중국",'09_CF_원금'!$A$6:$A$92,"&lt;="&amp;$A154)-SUMIFS('09_CF_원금'!$E$6:$E$92,'09_CF_원금'!$C$6:$C$92,"중국",'09_CF_원금'!$A$6:$A$92,"&lt;="&amp;$A154)+SUMIFS('09_CF_원금'!$E$6:$E$92,'09_CF_원금'!$D$6:$D$92,"업비트",'09_CF_원금'!$A$6:$A$92,"&lt;="&amp;$A154)-SUMIFS('09_CF_원금'!$E$6:$E$92,'09_CF_원금'!$C$6:$C$92,"업비트",'09_CF_원금'!$A$6:$A$92,"&lt;="&amp;$A154))</f>
        <v/>
      </c>
      <c r="AB154" s="249">
        <f>IF(OR(U154="",V154=""),"",U154-(V154-IF(S154="",0,S154)))</f>
        <v/>
      </c>
      <c r="AC154" s="249">
        <f>IF(AB154="","",T154+AB154)</f>
        <v/>
      </c>
      <c r="AD154" s="249">
        <f>IF(B154="","",MAX($B$5:B154))</f>
        <v/>
      </c>
      <c r="AE154" s="256" t="n"/>
      <c r="AF154" s="255" t="n"/>
      <c r="AG154" s="255" t="n"/>
      <c r="AH154" s="255" t="n"/>
      <c r="AI154" s="255" t="n"/>
      <c r="AJ154" s="257">
        <f>IF($A154="","",YEAR($A154)*100+MONTH($A154))</f>
        <v/>
      </c>
      <c r="AK154" s="257">
        <f>IF($A154="","",IF($N154="",0,1))</f>
        <v/>
      </c>
    </row>
    <row r="155">
      <c r="A155" s="247" t="n">
        <v>46218</v>
      </c>
      <c r="B155" s="248">
        <f>IF(V155&lt;&gt;"",V155-T155,IF(AF155&lt;&gt;"",AA155+AF155,""))</f>
        <v/>
      </c>
      <c r="C155" s="249">
        <f>IF(OR(B155="",B154=""),"",B155-B154)</f>
        <v/>
      </c>
      <c r="D155" s="248">
        <f>IF(OR(B155="",AA155=""),"",B155-AA155)</f>
        <v/>
      </c>
      <c r="E155" s="250">
        <f>IF(OR(B155="",AD155=0),"",MIN(0,B155/AD155-1))</f>
        <v/>
      </c>
      <c r="F155" s="250">
        <f>IF(OR(U155="",T155=0,T155=""),"",(P155-T155*1.4)/U155)</f>
        <v/>
      </c>
      <c r="G155" s="251">
        <f>IF(OR(AC155="",'09_CF_원금'!$B$108=0),"",AC155/'09_CF_원금'!$B$108)</f>
        <v/>
      </c>
      <c r="H155" s="250">
        <f>IF(OR(U155="",U155=0,AC155=""),"",AC155/U155)</f>
        <v/>
      </c>
      <c r="I155" s="250">
        <f>IF(OR(S155="",U155=""),"",S155/(U155+S155))</f>
        <v/>
      </c>
      <c r="J155" s="248">
        <f>IF(W155&lt;&gt;"",W155-X155,IF(AG155&lt;&gt;"",AG155,""))</f>
        <v/>
      </c>
      <c r="K155" s="248">
        <f>IF(Q155&lt;&gt;"",Q155-Y155,IF(AH155&lt;&gt;"",AH155,""))</f>
        <v/>
      </c>
      <c r="L155" s="248">
        <f>IF(R155&lt;&gt;"",R155-Z155,IF(AI155&lt;&gt;"",AI155,""))</f>
        <v/>
      </c>
      <c r="M155" s="252" t="n"/>
      <c r="N155" s="253" t="n"/>
      <c r="O155" s="254" t="n"/>
      <c r="P155" s="255" t="n">
        <v>1254341600</v>
      </c>
      <c r="Q155" s="258">
        <f>IF($A155="","",IF(Q154="","",Q154))</f>
        <v/>
      </c>
      <c r="R155" s="258">
        <f>IF($A155="","",IF(R154="","",R154))</f>
        <v/>
      </c>
      <c r="S155" s="258">
        <f>IF($A155="","",IF(S154="","",S154))</f>
        <v/>
      </c>
      <c r="T155" s="249">
        <f>IF(OR(P155="",W155=""),"",P155-W155)</f>
        <v/>
      </c>
      <c r="U155" s="258">
        <f>IF($A155="","",IF(U154="","",U154))</f>
        <v/>
      </c>
      <c r="V155" s="249">
        <f>IF(P155="","",P155+IF(Q155="",0,Q155)+IF(R155="",0,R155))</f>
        <v/>
      </c>
      <c r="W155" s="255" t="n">
        <v>518019845</v>
      </c>
      <c r="X155" s="249">
        <f>SUMIFS('09_CF_원금'!$E$6:$E$92,'09_CF_원금'!$D$6:$D$92,"국장",'09_CF_원금'!$A$6:$A$92,"&lt;="&amp;$A155)-SUMIFS('09_CF_원금'!$E$6:$E$92,'09_CF_원금'!$C$6:$C$92,"국장",'09_CF_원금'!$A$6:$A$92,"&lt;="&amp;$A155)</f>
        <v/>
      </c>
      <c r="Y155" s="249">
        <f>SUMIFS('09_CF_원금'!$E$6:$E$92,'09_CF_원금'!$D$6:$D$92,"미장",'09_CF_원금'!$A$6:$A$92,"&lt;="&amp;$A155)-SUMIFS('09_CF_원금'!$E$6:$E$92,'09_CF_원금'!$C$6:$C$92,"미장",'09_CF_원금'!$A$6:$A$92,"&lt;="&amp;$A155)</f>
        <v/>
      </c>
      <c r="Z155" s="249">
        <f>SUMIFS('09_CF_원금'!$E$6:$E$92,'09_CF_원금'!$D$6:$D$92,"ISA",'09_CF_원금'!$A$6:$A$92,"&lt;="&amp;$A155)-SUMIFS('09_CF_원금'!$E$6:$E$92,'09_CF_원금'!$C$6:$C$92,"ISA",'09_CF_원금'!$A$6:$A$92,"&lt;="&amp;$A155)</f>
        <v/>
      </c>
      <c r="AA155" s="249">
        <f>IF($A155="","",X155+Y155+Z155+SUMIFS('09_CF_원금'!$E$6:$E$92,'09_CF_원금'!$D$6:$D$92,"중국",'09_CF_원금'!$A$6:$A$92,"&lt;="&amp;$A155)-SUMIFS('09_CF_원금'!$E$6:$E$92,'09_CF_원금'!$C$6:$C$92,"중국",'09_CF_원금'!$A$6:$A$92,"&lt;="&amp;$A155)+SUMIFS('09_CF_원금'!$E$6:$E$92,'09_CF_원금'!$D$6:$D$92,"업비트",'09_CF_원금'!$A$6:$A$92,"&lt;="&amp;$A155)-SUMIFS('09_CF_원금'!$E$6:$E$92,'09_CF_원금'!$C$6:$C$92,"업비트",'09_CF_원금'!$A$6:$A$92,"&lt;="&amp;$A155))</f>
        <v/>
      </c>
      <c r="AB155" s="249">
        <f>IF(OR(U155="",V155=""),"",U155-(V155-IF(S155="",0,S155)))</f>
        <v/>
      </c>
      <c r="AC155" s="249">
        <f>IF(AB155="","",T155+AB155)</f>
        <v/>
      </c>
      <c r="AD155" s="249">
        <f>IF(B155="","",MAX($B$5:B155))</f>
        <v/>
      </c>
      <c r="AE155" s="256" t="n"/>
      <c r="AF155" s="255" t="n"/>
      <c r="AG155" s="255" t="n"/>
      <c r="AH155" s="255" t="n"/>
      <c r="AI155" s="255" t="n"/>
      <c r="AJ155" s="257">
        <f>IF($A155="","",YEAR($A155)*100+MONTH($A155))</f>
        <v/>
      </c>
      <c r="AK155" s="257">
        <f>IF($A155="","",IF($N155="",0,1))</f>
        <v/>
      </c>
    </row>
    <row r="156">
      <c r="A156" s="247" t="n">
        <v>46219</v>
      </c>
      <c r="B156" s="248">
        <f>IF(V156&lt;&gt;"",V156-T156,IF(AF156&lt;&gt;"",AA156+AF156,""))</f>
        <v/>
      </c>
      <c r="C156" s="249">
        <f>IF(OR(B156="",B155=""),"",B156-B155)</f>
        <v/>
      </c>
      <c r="D156" s="248">
        <f>IF(OR(B156="",AA156=""),"",B156-AA156)</f>
        <v/>
      </c>
      <c r="E156" s="250">
        <f>IF(OR(B156="",AD156=0),"",MIN(0,B156/AD156-1))</f>
        <v/>
      </c>
      <c r="F156" s="250">
        <f>IF(OR(U156="",T156=0,T156=""),"",(P156-T156*1.4)/U156)</f>
        <v/>
      </c>
      <c r="G156" s="251">
        <f>IF(OR(AC156="",'09_CF_원금'!$B$108=0),"",AC156/'09_CF_원금'!$B$108)</f>
        <v/>
      </c>
      <c r="H156" s="250">
        <f>IF(OR(U156="",U156=0,AC156=""),"",AC156/U156)</f>
        <v/>
      </c>
      <c r="I156" s="250">
        <f>IF(OR(S156="",U156=""),"",S156/(U156+S156))</f>
        <v/>
      </c>
      <c r="J156" s="248">
        <f>IF(W156&lt;&gt;"",W156-X156,IF(AG156&lt;&gt;"",AG156,""))</f>
        <v/>
      </c>
      <c r="K156" s="248">
        <f>IF(Q156&lt;&gt;"",Q156-Y156,IF(AH156&lt;&gt;"",AH156,""))</f>
        <v/>
      </c>
      <c r="L156" s="248">
        <f>IF(R156&lt;&gt;"",R156-Z156,IF(AI156&lt;&gt;"",AI156,""))</f>
        <v/>
      </c>
      <c r="M156" s="252" t="n"/>
      <c r="N156" s="253" t="n"/>
      <c r="O156" s="254" t="n"/>
      <c r="P156" s="255" t="n">
        <v>1094413345</v>
      </c>
      <c r="Q156" s="258">
        <f>IF($A156="","",IF(Q155="","",Q155))</f>
        <v/>
      </c>
      <c r="R156" s="258">
        <f>IF($A156="","",IF(R155="","",R155))</f>
        <v/>
      </c>
      <c r="S156" s="258">
        <f>IF($A156="","",IF(S155="","",S155))</f>
        <v/>
      </c>
      <c r="T156" s="249">
        <f>IF(OR(P156="",W156=""),"",P156-W156)</f>
        <v/>
      </c>
      <c r="U156" s="258">
        <f>IF($A156="","",IF(U155="","",U155))</f>
        <v/>
      </c>
      <c r="V156" s="249">
        <f>IF(P156="","",P156+IF(Q156="",0,Q156)+IF(R156="",0,R156))</f>
        <v/>
      </c>
      <c r="W156" s="255" t="n">
        <v>358091590</v>
      </c>
      <c r="X156" s="249">
        <f>SUMIFS('09_CF_원금'!$E$6:$E$92,'09_CF_원금'!$D$6:$D$92,"국장",'09_CF_원금'!$A$6:$A$92,"&lt;="&amp;$A156)-SUMIFS('09_CF_원금'!$E$6:$E$92,'09_CF_원금'!$C$6:$C$92,"국장",'09_CF_원금'!$A$6:$A$92,"&lt;="&amp;$A156)</f>
        <v/>
      </c>
      <c r="Y156" s="249">
        <f>SUMIFS('09_CF_원금'!$E$6:$E$92,'09_CF_원금'!$D$6:$D$92,"미장",'09_CF_원금'!$A$6:$A$92,"&lt;="&amp;$A156)-SUMIFS('09_CF_원금'!$E$6:$E$92,'09_CF_원금'!$C$6:$C$92,"미장",'09_CF_원금'!$A$6:$A$92,"&lt;="&amp;$A156)</f>
        <v/>
      </c>
      <c r="Z156" s="249">
        <f>SUMIFS('09_CF_원금'!$E$6:$E$92,'09_CF_원금'!$D$6:$D$92,"ISA",'09_CF_원금'!$A$6:$A$92,"&lt;="&amp;$A156)-SUMIFS('09_CF_원금'!$E$6:$E$92,'09_CF_원금'!$C$6:$C$92,"ISA",'09_CF_원금'!$A$6:$A$92,"&lt;="&amp;$A156)</f>
        <v/>
      </c>
      <c r="AA156" s="249">
        <f>IF($A156="","",X156+Y156+Z156+SUMIFS('09_CF_원금'!$E$6:$E$92,'09_CF_원금'!$D$6:$D$92,"중국",'09_CF_원금'!$A$6:$A$92,"&lt;="&amp;$A156)-SUMIFS('09_CF_원금'!$E$6:$E$92,'09_CF_원금'!$C$6:$C$92,"중국",'09_CF_원금'!$A$6:$A$92,"&lt;="&amp;$A156)+SUMIFS('09_CF_원금'!$E$6:$E$92,'09_CF_원금'!$D$6:$D$92,"업비트",'09_CF_원금'!$A$6:$A$92,"&lt;="&amp;$A156)-SUMIFS('09_CF_원금'!$E$6:$E$92,'09_CF_원금'!$C$6:$C$92,"업비트",'09_CF_원금'!$A$6:$A$92,"&lt;="&amp;$A156))</f>
        <v/>
      </c>
      <c r="AB156" s="249">
        <f>IF(OR(U156="",V156=""),"",U156-(V156-IF(S156="",0,S156)))</f>
        <v/>
      </c>
      <c r="AC156" s="249">
        <f>IF(AB156="","",T156+AB156)</f>
        <v/>
      </c>
      <c r="AD156" s="249">
        <f>IF(B156="","",MAX($B$5:B156))</f>
        <v/>
      </c>
      <c r="AE156" s="256" t="n"/>
      <c r="AF156" s="255" t="n"/>
      <c r="AG156" s="255" t="n"/>
      <c r="AH156" s="255" t="n"/>
      <c r="AI156" s="255" t="n"/>
      <c r="AJ156" s="257">
        <f>IF($A156="","",YEAR($A156)*100+MONTH($A156))</f>
        <v/>
      </c>
      <c r="AK156" s="257">
        <f>IF($A156="","",IF($N156="",0,1))</f>
        <v/>
      </c>
    </row>
    <row r="157">
      <c r="A157" s="247" t="n">
        <v>46220</v>
      </c>
      <c r="B157" s="248">
        <f>IF(V157&lt;&gt;"",V157-T157,IF(AF157&lt;&gt;"",AA157+AF157,""))</f>
        <v/>
      </c>
      <c r="C157" s="249">
        <f>IF(OR(B157="",B156=""),"",B157-B156)</f>
        <v/>
      </c>
      <c r="D157" s="248">
        <f>IF(OR(B157="",AA157=""),"",B157-AA157)</f>
        <v/>
      </c>
      <c r="E157" s="250">
        <f>IF(OR(B157="",AD157=0),"",MIN(0,B157/AD157-1))</f>
        <v/>
      </c>
      <c r="F157" s="250">
        <f>IF(OR(U157="",T157=0,T157=""),"",(P157-T157*1.4)/U157)</f>
        <v/>
      </c>
      <c r="G157" s="251">
        <f>IF(OR(AC157="",'09_CF_원금'!$B$108=0),"",AC157/'09_CF_원금'!$B$108)</f>
        <v/>
      </c>
      <c r="H157" s="250">
        <f>IF(OR(U157="",U157=0,AC157=""),"",AC157/U157)</f>
        <v/>
      </c>
      <c r="I157" s="250">
        <f>IF(OR(S157="",U157=""),"",S157/(U157+S157))</f>
        <v/>
      </c>
      <c r="J157" s="248">
        <f>IF(W157&lt;&gt;"",W157-X157,IF(AG157&lt;&gt;"",AG157,""))</f>
        <v/>
      </c>
      <c r="K157" s="248">
        <f>IF(Q157&lt;&gt;"",Q157-Y157,IF(AH157&lt;&gt;"",AH157,""))</f>
        <v/>
      </c>
      <c r="L157" s="248">
        <f>IF(R157&lt;&gt;"",R157-Z157,IF(AI157&lt;&gt;"",AI157,""))</f>
        <v/>
      </c>
      <c r="M157" s="252" t="n"/>
      <c r="N157" s="253" t="n"/>
      <c r="O157" s="254" t="n"/>
      <c r="P157" s="255" t="n">
        <v>1094413345</v>
      </c>
      <c r="Q157" s="258">
        <f>IF($A157="","",IF(Q156="","",Q156))</f>
        <v/>
      </c>
      <c r="R157" s="258">
        <f>IF($A157="","",IF(R156="","",R156))</f>
        <v/>
      </c>
      <c r="S157" s="258">
        <f>IF($A157="","",IF(S156="","",S156))</f>
        <v/>
      </c>
      <c r="T157" s="249">
        <f>IF(OR(P157="",W157=""),"",P157-W157)</f>
        <v/>
      </c>
      <c r="U157" s="258">
        <f>IF($A157="","",IF(U156="","",U156))</f>
        <v/>
      </c>
      <c r="V157" s="249">
        <f>IF(P157="","",P157+IF(Q157="",0,Q157)+IF(R157="",0,R157))</f>
        <v/>
      </c>
      <c r="W157" s="255" t="n">
        <v>358091590</v>
      </c>
      <c r="X157" s="249">
        <f>SUMIFS('09_CF_원금'!$E$6:$E$92,'09_CF_원금'!$D$6:$D$92,"국장",'09_CF_원금'!$A$6:$A$92,"&lt;="&amp;$A157)-SUMIFS('09_CF_원금'!$E$6:$E$92,'09_CF_원금'!$C$6:$C$92,"국장",'09_CF_원금'!$A$6:$A$92,"&lt;="&amp;$A157)</f>
        <v/>
      </c>
      <c r="Y157" s="249">
        <f>SUMIFS('09_CF_원금'!$E$6:$E$92,'09_CF_원금'!$D$6:$D$92,"미장",'09_CF_원금'!$A$6:$A$92,"&lt;="&amp;$A157)-SUMIFS('09_CF_원금'!$E$6:$E$92,'09_CF_원금'!$C$6:$C$92,"미장",'09_CF_원금'!$A$6:$A$92,"&lt;="&amp;$A157)</f>
        <v/>
      </c>
      <c r="Z157" s="249">
        <f>SUMIFS('09_CF_원금'!$E$6:$E$92,'09_CF_원금'!$D$6:$D$92,"ISA",'09_CF_원금'!$A$6:$A$92,"&lt;="&amp;$A157)-SUMIFS('09_CF_원금'!$E$6:$E$92,'09_CF_원금'!$C$6:$C$92,"ISA",'09_CF_원금'!$A$6:$A$92,"&lt;="&amp;$A157)</f>
        <v/>
      </c>
      <c r="AA157" s="249">
        <f>IF($A157="","",X157+Y157+Z157+SUMIFS('09_CF_원금'!$E$6:$E$92,'09_CF_원금'!$D$6:$D$92,"중국",'09_CF_원금'!$A$6:$A$92,"&lt;="&amp;$A157)-SUMIFS('09_CF_원금'!$E$6:$E$92,'09_CF_원금'!$C$6:$C$92,"중국",'09_CF_원금'!$A$6:$A$92,"&lt;="&amp;$A157)+SUMIFS('09_CF_원금'!$E$6:$E$92,'09_CF_원금'!$D$6:$D$92,"업비트",'09_CF_원금'!$A$6:$A$92,"&lt;="&amp;$A157)-SUMIFS('09_CF_원금'!$E$6:$E$92,'09_CF_원금'!$C$6:$C$92,"업비트",'09_CF_원금'!$A$6:$A$92,"&lt;="&amp;$A157))</f>
        <v/>
      </c>
      <c r="AB157" s="249">
        <f>IF(OR(U157="",V157=""),"",U157-(V157-IF(S157="",0,S157)))</f>
        <v/>
      </c>
      <c r="AC157" s="249">
        <f>IF(AB157="","",T157+AB157)</f>
        <v/>
      </c>
      <c r="AD157" s="249">
        <f>IF(B157="","",MAX($B$5:B157))</f>
        <v/>
      </c>
      <c r="AE157" s="256" t="n"/>
      <c r="AF157" s="255" t="n"/>
      <c r="AG157" s="255" t="n"/>
      <c r="AH157" s="255" t="n"/>
      <c r="AI157" s="255" t="n"/>
      <c r="AJ157" s="257">
        <f>IF($A157="","",YEAR($A157)*100+MONTH($A157))</f>
        <v/>
      </c>
      <c r="AK157" s="257">
        <f>IF($A157="","",IF($N157="",0,1))</f>
        <v/>
      </c>
    </row>
    <row r="158">
      <c r="A158" s="247" t="n">
        <v>46223</v>
      </c>
      <c r="B158" s="248">
        <f>IF(V158&lt;&gt;"",V158-T158,IF(AF158&lt;&gt;"",AA158+AF158,""))</f>
        <v/>
      </c>
      <c r="C158" s="249">
        <f>IF(OR(B158="",B157=""),"",B158-B157)</f>
        <v/>
      </c>
      <c r="D158" s="248">
        <f>IF(OR(B158="",AA158=""),"",B158-AA158)</f>
        <v/>
      </c>
      <c r="E158" s="250">
        <f>IF(OR(B158="",AD158=0),"",MIN(0,B158/AD158-1))</f>
        <v/>
      </c>
      <c r="F158" s="250">
        <f>IF(OR(U158="",T158=0,T158=""),"",(P158-T158*1.4)/U158)</f>
        <v/>
      </c>
      <c r="G158" s="251">
        <f>IF(OR(AC158="",'09_CF_원금'!$B$108=0),"",AC158/'09_CF_원금'!$B$108)</f>
        <v/>
      </c>
      <c r="H158" s="250">
        <f>IF(OR(U158="",U158=0,AC158=""),"",AC158/U158)</f>
        <v/>
      </c>
      <c r="I158" s="250">
        <f>IF(OR(S158="",U158=""),"",S158/(U158+S158))</f>
        <v/>
      </c>
      <c r="J158" s="248">
        <f>IF(W158&lt;&gt;"",W158-X158,IF(AG158&lt;&gt;"",AG158,""))</f>
        <v/>
      </c>
      <c r="K158" s="248">
        <f>IF(Q158&lt;&gt;"",Q158-Y158,IF(AH158&lt;&gt;"",AH158,""))</f>
        <v/>
      </c>
      <c r="L158" s="248">
        <f>IF(R158&lt;&gt;"",R158-Z158,IF(AI158&lt;&gt;"",AI158,""))</f>
        <v/>
      </c>
      <c r="M158" s="252" t="n"/>
      <c r="N158" s="253" t="n"/>
      <c r="O158" s="254" t="n"/>
      <c r="P158" s="255" t="n">
        <v>1030495250</v>
      </c>
      <c r="Q158" s="258">
        <f>IF($A158="","",IF(Q157="","",Q157))</f>
        <v/>
      </c>
      <c r="R158" s="258">
        <f>IF($A158="","",IF(R157="","",R157))</f>
        <v/>
      </c>
      <c r="S158" s="258">
        <f>IF($A158="","",IF(S157="","",S157))</f>
        <v/>
      </c>
      <c r="T158" s="249">
        <f>IF(OR(P158="",W158=""),"",P158-W158)</f>
        <v/>
      </c>
      <c r="U158" s="258">
        <f>IF($A158="","",IF(U157="","",U157))</f>
        <v/>
      </c>
      <c r="V158" s="249">
        <f>IF(P158="","",P158+IF(Q158="",0,Q158)+IF(R158="",0,R158))</f>
        <v/>
      </c>
      <c r="W158" s="255" t="n">
        <v>334173495</v>
      </c>
      <c r="X158" s="249">
        <f>SUMIFS('09_CF_원금'!$E$6:$E$92,'09_CF_원금'!$D$6:$D$92,"국장",'09_CF_원금'!$A$6:$A$92,"&lt;="&amp;$A158)-SUMIFS('09_CF_원금'!$E$6:$E$92,'09_CF_원금'!$C$6:$C$92,"국장",'09_CF_원금'!$A$6:$A$92,"&lt;="&amp;$A158)</f>
        <v/>
      </c>
      <c r="Y158" s="249">
        <f>SUMIFS('09_CF_원금'!$E$6:$E$92,'09_CF_원금'!$D$6:$D$92,"미장",'09_CF_원금'!$A$6:$A$92,"&lt;="&amp;$A158)-SUMIFS('09_CF_원금'!$E$6:$E$92,'09_CF_원금'!$C$6:$C$92,"미장",'09_CF_원금'!$A$6:$A$92,"&lt;="&amp;$A158)</f>
        <v/>
      </c>
      <c r="Z158" s="249">
        <f>SUMIFS('09_CF_원금'!$E$6:$E$92,'09_CF_원금'!$D$6:$D$92,"ISA",'09_CF_원금'!$A$6:$A$92,"&lt;="&amp;$A158)-SUMIFS('09_CF_원금'!$E$6:$E$92,'09_CF_원금'!$C$6:$C$92,"ISA",'09_CF_원금'!$A$6:$A$92,"&lt;="&amp;$A158)</f>
        <v/>
      </c>
      <c r="AA158" s="249">
        <f>IF($A158="","",X158+Y158+Z158+SUMIFS('09_CF_원금'!$E$6:$E$92,'09_CF_원금'!$D$6:$D$92,"중국",'09_CF_원금'!$A$6:$A$92,"&lt;="&amp;$A158)-SUMIFS('09_CF_원금'!$E$6:$E$92,'09_CF_원금'!$C$6:$C$92,"중국",'09_CF_원금'!$A$6:$A$92,"&lt;="&amp;$A158)+SUMIFS('09_CF_원금'!$E$6:$E$92,'09_CF_원금'!$D$6:$D$92,"업비트",'09_CF_원금'!$A$6:$A$92,"&lt;="&amp;$A158)-SUMIFS('09_CF_원금'!$E$6:$E$92,'09_CF_원금'!$C$6:$C$92,"업비트",'09_CF_원금'!$A$6:$A$92,"&lt;="&amp;$A158))</f>
        <v/>
      </c>
      <c r="AB158" s="249">
        <f>IF(OR(U158="",V158=""),"",U158-(V158-IF(S158="",0,S158)))</f>
        <v/>
      </c>
      <c r="AC158" s="249">
        <f>IF(AB158="","",T158+AB158)</f>
        <v/>
      </c>
      <c r="AD158" s="249">
        <f>IF(B158="","",MAX($B$5:B158))</f>
        <v/>
      </c>
      <c r="AE158" s="256" t="n"/>
      <c r="AF158" s="255" t="n"/>
      <c r="AG158" s="255" t="n"/>
      <c r="AH158" s="255" t="n"/>
      <c r="AI158" s="255" t="n"/>
      <c r="AJ158" s="257">
        <f>IF($A158="","",YEAR($A158)*100+MONTH($A158))</f>
        <v/>
      </c>
      <c r="AK158" s="257">
        <f>IF($A158="","",IF($N158="",0,1))</f>
        <v/>
      </c>
    </row>
    <row r="159">
      <c r="A159" s="247" t="n">
        <v>46224</v>
      </c>
      <c r="B159" s="248">
        <f>IF(V159&lt;&gt;"",V159-T159,IF(AF159&lt;&gt;"",AA159+AF159,""))</f>
        <v/>
      </c>
      <c r="C159" s="249">
        <f>IF(OR(B159="",B158=""),"",B159-B158)</f>
        <v/>
      </c>
      <c r="D159" s="248">
        <f>IF(OR(B159="",AA159=""),"",B159-AA159)</f>
        <v/>
      </c>
      <c r="E159" s="250">
        <f>IF(OR(B159="",AD159=0),"",MIN(0,B159/AD159-1))</f>
        <v/>
      </c>
      <c r="F159" s="250">
        <f>IF(OR(U159="",T159=0,T159=""),"",(P159-T159*1.4)/U159)</f>
        <v/>
      </c>
      <c r="G159" s="251">
        <f>IF(OR(AC159="",'09_CF_원금'!$B$108=0),"",AC159/'09_CF_원금'!$B$108)</f>
        <v/>
      </c>
      <c r="H159" s="250">
        <f>IF(OR(U159="",U159=0,AC159=""),"",AC159/U159)</f>
        <v/>
      </c>
      <c r="I159" s="250">
        <f>IF(OR(S159="",U159=""),"",S159/(U159+S159))</f>
        <v/>
      </c>
      <c r="J159" s="248">
        <f>IF(W159&lt;&gt;"",W159-X159,IF(AG159&lt;&gt;"",AG159,""))</f>
        <v/>
      </c>
      <c r="K159" s="248">
        <f>IF(Q159&lt;&gt;"",Q159-Y159,IF(AH159&lt;&gt;"",AH159,""))</f>
        <v/>
      </c>
      <c r="L159" s="248">
        <f>IF(R159&lt;&gt;"",R159-Z159,IF(AI159&lt;&gt;"",AI159,""))</f>
        <v/>
      </c>
      <c r="M159" s="252" t="n"/>
      <c r="N159" s="253" t="n"/>
      <c r="O159" s="254" t="n"/>
      <c r="P159" s="255" t="n">
        <v>1067312500</v>
      </c>
      <c r="Q159" s="258">
        <f>IF($A159="","",IF(Q158="","",Q158))</f>
        <v/>
      </c>
      <c r="R159" s="258">
        <f>IF($A159="","",IF(R158="","",R158))</f>
        <v/>
      </c>
      <c r="S159" s="258">
        <f>IF($A159="","",IF(S158="","",S158))</f>
        <v/>
      </c>
      <c r="T159" s="249">
        <f>IF(OR(P159="",W159=""),"",P159-W159)</f>
        <v/>
      </c>
      <c r="U159" s="258">
        <f>IF($A159="","",IF(U158="","",U158))</f>
        <v/>
      </c>
      <c r="V159" s="249">
        <f>IF(P159="","",P159+IF(Q159="",0,Q159)+IF(R159="",0,R159))</f>
        <v/>
      </c>
      <c r="W159" s="255" t="n">
        <v>399297676</v>
      </c>
      <c r="X159" s="249">
        <f>SUMIFS('09_CF_원금'!$E$6:$E$92,'09_CF_원금'!$D$6:$D$92,"국장",'09_CF_원금'!$A$6:$A$92,"&lt;="&amp;$A159)-SUMIFS('09_CF_원금'!$E$6:$E$92,'09_CF_원금'!$C$6:$C$92,"국장",'09_CF_원금'!$A$6:$A$92,"&lt;="&amp;$A159)</f>
        <v/>
      </c>
      <c r="Y159" s="249">
        <f>SUMIFS('09_CF_원금'!$E$6:$E$92,'09_CF_원금'!$D$6:$D$92,"미장",'09_CF_원금'!$A$6:$A$92,"&lt;="&amp;$A159)-SUMIFS('09_CF_원금'!$E$6:$E$92,'09_CF_원금'!$C$6:$C$92,"미장",'09_CF_원금'!$A$6:$A$92,"&lt;="&amp;$A159)</f>
        <v/>
      </c>
      <c r="Z159" s="249">
        <f>SUMIFS('09_CF_원금'!$E$6:$E$92,'09_CF_원금'!$D$6:$D$92,"ISA",'09_CF_원금'!$A$6:$A$92,"&lt;="&amp;$A159)-SUMIFS('09_CF_원금'!$E$6:$E$92,'09_CF_원금'!$C$6:$C$92,"ISA",'09_CF_원금'!$A$6:$A$92,"&lt;="&amp;$A159)</f>
        <v/>
      </c>
      <c r="AA159" s="249">
        <f>IF($A159="","",X159+Y159+Z159+SUMIFS('09_CF_원금'!$E$6:$E$92,'09_CF_원금'!$D$6:$D$92,"중국",'09_CF_원금'!$A$6:$A$92,"&lt;="&amp;$A159)-SUMIFS('09_CF_원금'!$E$6:$E$92,'09_CF_원금'!$C$6:$C$92,"중국",'09_CF_원금'!$A$6:$A$92,"&lt;="&amp;$A159)+SUMIFS('09_CF_원금'!$E$6:$E$92,'09_CF_원금'!$D$6:$D$92,"업비트",'09_CF_원금'!$A$6:$A$92,"&lt;="&amp;$A159)-SUMIFS('09_CF_원금'!$E$6:$E$92,'09_CF_원금'!$C$6:$C$92,"업비트",'09_CF_원금'!$A$6:$A$92,"&lt;="&amp;$A159))</f>
        <v/>
      </c>
      <c r="AB159" s="249">
        <f>IF(OR(U159="",V159=""),"",U159-(V159-IF(S159="",0,S159)))</f>
        <v/>
      </c>
      <c r="AC159" s="249">
        <f>IF(AB159="","",T159+AB159)</f>
        <v/>
      </c>
      <c r="AD159" s="249">
        <f>IF(B159="","",MAX($B$5:B159))</f>
        <v/>
      </c>
      <c r="AE159" s="256" t="n"/>
      <c r="AF159" s="255" t="n"/>
      <c r="AG159" s="255" t="n"/>
      <c r="AH159" s="255" t="n"/>
      <c r="AI159" s="255" t="n"/>
      <c r="AJ159" s="257">
        <f>IF($A159="","",YEAR($A159)*100+MONTH($A159))</f>
        <v/>
      </c>
      <c r="AK159" s="257">
        <f>IF($A159="","",IF($N159="",0,1))</f>
        <v/>
      </c>
    </row>
    <row r="160">
      <c r="A160" s="247" t="n">
        <v>46225</v>
      </c>
      <c r="B160" s="248">
        <f>IF(V160&lt;&gt;"",V160-T160,IF(AF160&lt;&gt;"",AA160+AF160,""))</f>
        <v/>
      </c>
      <c r="C160" s="249">
        <f>IF(OR(B160="",B159=""),"",B160-B159)</f>
        <v/>
      </c>
      <c r="D160" s="248">
        <f>IF(OR(B160="",AA160=""),"",B160-AA160)</f>
        <v/>
      </c>
      <c r="E160" s="250">
        <f>IF(OR(B160="",AD160=0),"",MIN(0,B160/AD160-1))</f>
        <v/>
      </c>
      <c r="F160" s="250">
        <f>IF(OR(U160="",T160=0,T160=""),"",(P160-T160*1.4)/U160)</f>
        <v/>
      </c>
      <c r="G160" s="251">
        <f>IF(OR(AC160="",'09_CF_원금'!$B$108=0),"",AC160/'09_CF_원금'!$B$108)</f>
        <v/>
      </c>
      <c r="H160" s="250">
        <f>IF(OR(U160="",U160=0,AC160=""),"",AC160/U160)</f>
        <v/>
      </c>
      <c r="I160" s="250">
        <f>IF(OR(S160="",U160=""),"",S160/(U160+S160))</f>
        <v/>
      </c>
      <c r="J160" s="248">
        <f>IF(W160&lt;&gt;"",W160-X160,IF(AG160&lt;&gt;"",AG160,""))</f>
        <v/>
      </c>
      <c r="K160" s="248">
        <f>IF(Q160&lt;&gt;"",Q160-Y160,IF(AH160&lt;&gt;"",AH160,""))</f>
        <v/>
      </c>
      <c r="L160" s="248">
        <f>IF(R160&lt;&gt;"",R160-Z160,IF(AI160&lt;&gt;"",AI160,""))</f>
        <v/>
      </c>
      <c r="M160" s="252" t="n"/>
      <c r="N160" s="253" t="n"/>
      <c r="O160" s="254" t="n"/>
      <c r="P160" s="255" t="n">
        <v>1074150000</v>
      </c>
      <c r="Q160" s="258">
        <f>IF($A160="","",IF(Q159="","",Q159))</f>
        <v/>
      </c>
      <c r="R160" s="258">
        <f>IF($A160="","",IF(R159="","",R159))</f>
        <v/>
      </c>
      <c r="S160" s="258">
        <f>IF($A160="","",IF(S159="","",S159))</f>
        <v/>
      </c>
      <c r="T160" s="249">
        <f>IF(OR(P160="",W160=""),"",P160-W160)</f>
        <v/>
      </c>
      <c r="U160" s="258">
        <f>IF($A160="","",IF(U159="","",U159))</f>
        <v/>
      </c>
      <c r="V160" s="249">
        <f>IF(P160="","",P160+IF(Q160="",0,Q160)+IF(R160="",0,R160))</f>
        <v/>
      </c>
      <c r="W160" s="255" t="n">
        <v>415145334</v>
      </c>
      <c r="X160" s="249">
        <f>SUMIFS('09_CF_원금'!$E$6:$E$92,'09_CF_원금'!$D$6:$D$92,"국장",'09_CF_원금'!$A$6:$A$92,"&lt;="&amp;$A160)-SUMIFS('09_CF_원금'!$E$6:$E$92,'09_CF_원금'!$C$6:$C$92,"국장",'09_CF_원금'!$A$6:$A$92,"&lt;="&amp;$A160)</f>
        <v/>
      </c>
      <c r="Y160" s="249">
        <f>SUMIFS('09_CF_원금'!$E$6:$E$92,'09_CF_원금'!$D$6:$D$92,"미장",'09_CF_원금'!$A$6:$A$92,"&lt;="&amp;$A160)-SUMIFS('09_CF_원금'!$E$6:$E$92,'09_CF_원금'!$C$6:$C$92,"미장",'09_CF_원금'!$A$6:$A$92,"&lt;="&amp;$A160)</f>
        <v/>
      </c>
      <c r="Z160" s="249">
        <f>SUMIFS('09_CF_원금'!$E$6:$E$92,'09_CF_원금'!$D$6:$D$92,"ISA",'09_CF_원금'!$A$6:$A$92,"&lt;="&amp;$A160)-SUMIFS('09_CF_원금'!$E$6:$E$92,'09_CF_원금'!$C$6:$C$92,"ISA",'09_CF_원금'!$A$6:$A$92,"&lt;="&amp;$A160)</f>
        <v/>
      </c>
      <c r="AA160" s="249">
        <f>IF($A160="","",X160+Y160+Z160+SUMIFS('09_CF_원금'!$E$6:$E$92,'09_CF_원금'!$D$6:$D$92,"중국",'09_CF_원금'!$A$6:$A$92,"&lt;="&amp;$A160)-SUMIFS('09_CF_원금'!$E$6:$E$92,'09_CF_원금'!$C$6:$C$92,"중국",'09_CF_원금'!$A$6:$A$92,"&lt;="&amp;$A160)+SUMIFS('09_CF_원금'!$E$6:$E$92,'09_CF_원금'!$D$6:$D$92,"업비트",'09_CF_원금'!$A$6:$A$92,"&lt;="&amp;$A160)-SUMIFS('09_CF_원금'!$E$6:$E$92,'09_CF_원금'!$C$6:$C$92,"업비트",'09_CF_원금'!$A$6:$A$92,"&lt;="&amp;$A160))</f>
        <v/>
      </c>
      <c r="AB160" s="249">
        <f>IF(OR(U160="",V160=""),"",U160-(V160-IF(S160="",0,S160)))</f>
        <v/>
      </c>
      <c r="AC160" s="249">
        <f>IF(AB160="","",T160+AB160)</f>
        <v/>
      </c>
      <c r="AD160" s="249">
        <f>IF(B160="","",MAX($B$5:B160))</f>
        <v/>
      </c>
      <c r="AE160" s="256" t="n"/>
      <c r="AF160" s="255" t="n"/>
      <c r="AG160" s="255" t="n"/>
      <c r="AH160" s="255" t="n"/>
      <c r="AI160" s="255" t="n"/>
      <c r="AJ160" s="257">
        <f>IF($A160="","",YEAR($A160)*100+MONTH($A160))</f>
        <v/>
      </c>
      <c r="AK160" s="257">
        <f>IF($A160="","",IF($N160="",0,1))</f>
        <v/>
      </c>
    </row>
    <row r="161">
      <c r="A161" s="247" t="n">
        <v>46226</v>
      </c>
      <c r="B161" s="248">
        <f>IF(V161&lt;&gt;"",V161-T161,IF(AF161&lt;&gt;"",AA161+AF161,""))</f>
        <v/>
      </c>
      <c r="C161" s="249">
        <f>IF(OR(B161="",B160=""),"",B161-B160)</f>
        <v/>
      </c>
      <c r="D161" s="248">
        <f>IF(OR(B161="",AA161=""),"",B161-AA161)</f>
        <v/>
      </c>
      <c r="E161" s="250">
        <f>IF(OR(B161="",AD161=0),"",MIN(0,B161/AD161-1))</f>
        <v/>
      </c>
      <c r="F161" s="250">
        <f>IF(OR(U161="",T161=0,T161=""),"",(P161-T161*1.4)/U161)</f>
        <v/>
      </c>
      <c r="G161" s="251">
        <f>IF(OR(AC161="",'09_CF_원금'!$B$108=0),"",AC161/'09_CF_원금'!$B$108)</f>
        <v/>
      </c>
      <c r="H161" s="250">
        <f>IF(OR(U161="",U161=0,AC161=""),"",AC161/U161)</f>
        <v/>
      </c>
      <c r="I161" s="250">
        <f>IF(OR(S161="",U161=""),"",S161/(U161+S161))</f>
        <v/>
      </c>
      <c r="J161" s="248">
        <f>IF(W161&lt;&gt;"",W161-X161,IF(AG161&lt;&gt;"",AG161,""))</f>
        <v/>
      </c>
      <c r="K161" s="248">
        <f>IF(Q161&lt;&gt;"",Q161-Y161,IF(AH161&lt;&gt;"",AH161,""))</f>
        <v/>
      </c>
      <c r="L161" s="248">
        <f>IF(R161&lt;&gt;"",R161-Z161,IF(AI161&lt;&gt;"",AI161,""))</f>
        <v/>
      </c>
      <c r="M161" s="252" t="n"/>
      <c r="N161" s="253" t="n"/>
      <c r="O161" s="254" t="n"/>
      <c r="P161" s="255" t="n">
        <v>1163655000</v>
      </c>
      <c r="Q161" s="258">
        <f>IF($A161="","",IF(Q160="","",Q160))</f>
        <v/>
      </c>
      <c r="R161" s="258">
        <f>IF($A161="","",IF(R160="","",R160))</f>
        <v/>
      </c>
      <c r="S161" s="258">
        <f>IF($A161="","",IF(S160="","",S160))</f>
        <v/>
      </c>
      <c r="T161" s="249">
        <f>IF(OR(P161="",W161=""),"",P161-W161)</f>
        <v/>
      </c>
      <c r="U161" s="258">
        <f>IF($A161="","",IF(U160="","",U160))</f>
        <v/>
      </c>
      <c r="V161" s="249">
        <f>IF(P161="","",P161+IF(Q161="",0,Q161)+IF(R161="",0,R161))</f>
        <v/>
      </c>
      <c r="W161" s="255" t="n">
        <v>484048843</v>
      </c>
      <c r="X161" s="249">
        <f>SUMIFS('09_CF_원금'!$E$6:$E$92,'09_CF_원금'!$D$6:$D$92,"국장",'09_CF_원금'!$A$6:$A$92,"&lt;="&amp;$A161)-SUMIFS('09_CF_원금'!$E$6:$E$92,'09_CF_원금'!$C$6:$C$92,"국장",'09_CF_원금'!$A$6:$A$92,"&lt;="&amp;$A161)</f>
        <v/>
      </c>
      <c r="Y161" s="249">
        <f>SUMIFS('09_CF_원금'!$E$6:$E$92,'09_CF_원금'!$D$6:$D$92,"미장",'09_CF_원금'!$A$6:$A$92,"&lt;="&amp;$A161)-SUMIFS('09_CF_원금'!$E$6:$E$92,'09_CF_원금'!$C$6:$C$92,"미장",'09_CF_원금'!$A$6:$A$92,"&lt;="&amp;$A161)</f>
        <v/>
      </c>
      <c r="Z161" s="249">
        <f>SUMIFS('09_CF_원금'!$E$6:$E$92,'09_CF_원금'!$D$6:$D$92,"ISA",'09_CF_원금'!$A$6:$A$92,"&lt;="&amp;$A161)-SUMIFS('09_CF_원금'!$E$6:$E$92,'09_CF_원금'!$C$6:$C$92,"ISA",'09_CF_원금'!$A$6:$A$92,"&lt;="&amp;$A161)</f>
        <v/>
      </c>
      <c r="AA161" s="249">
        <f>IF($A161="","",X161+Y161+Z161+SUMIFS('09_CF_원금'!$E$6:$E$92,'09_CF_원금'!$D$6:$D$92,"중국",'09_CF_원금'!$A$6:$A$92,"&lt;="&amp;$A161)-SUMIFS('09_CF_원금'!$E$6:$E$92,'09_CF_원금'!$C$6:$C$92,"중국",'09_CF_원금'!$A$6:$A$92,"&lt;="&amp;$A161)+SUMIFS('09_CF_원금'!$E$6:$E$92,'09_CF_원금'!$D$6:$D$92,"업비트",'09_CF_원금'!$A$6:$A$92,"&lt;="&amp;$A161)-SUMIFS('09_CF_원금'!$E$6:$E$92,'09_CF_원금'!$C$6:$C$92,"업비트",'09_CF_원금'!$A$6:$A$92,"&lt;="&amp;$A161))</f>
        <v/>
      </c>
      <c r="AB161" s="249">
        <f>IF(OR(U161="",V161=""),"",U161-(V161-IF(S161="",0,S161)))</f>
        <v/>
      </c>
      <c r="AC161" s="249">
        <f>IF(AB161="","",T161+AB161)</f>
        <v/>
      </c>
      <c r="AD161" s="249">
        <f>IF(B161="","",MAX($B$5:B161))</f>
        <v/>
      </c>
      <c r="AE161" s="256" t="n"/>
      <c r="AF161" s="255" t="n"/>
      <c r="AG161" s="255" t="n"/>
      <c r="AH161" s="255" t="n"/>
      <c r="AI161" s="255" t="n"/>
      <c r="AJ161" s="257">
        <f>IF($A161="","",YEAR($A161)*100+MONTH($A161))</f>
        <v/>
      </c>
      <c r="AK161" s="257">
        <f>IF($A161="","",IF($N161="",0,1))</f>
        <v/>
      </c>
    </row>
    <row r="162">
      <c r="A162" s="247" t="n">
        <v>46227</v>
      </c>
      <c r="B162" s="248">
        <f>IF(V162&lt;&gt;"",V162-T162,IF(AF162&lt;&gt;"",AA162+AF162,""))</f>
        <v/>
      </c>
      <c r="C162" s="249">
        <f>IF(OR(B162="",B161=""),"",B162-B161)</f>
        <v/>
      </c>
      <c r="D162" s="248">
        <f>IF(OR(B162="",AA162=""),"",B162-AA162)</f>
        <v/>
      </c>
      <c r="E162" s="250">
        <f>IF(OR(B162="",AD162=0),"",MIN(0,B162/AD162-1))</f>
        <v/>
      </c>
      <c r="F162" s="250">
        <f>IF(OR(U162="",T162=0,T162=""),"",(P162-T162*1.4)/U162)</f>
        <v/>
      </c>
      <c r="G162" s="251">
        <f>IF(OR(AC162="",'09_CF_원금'!$B$108=0),"",AC162/'09_CF_원금'!$B$108)</f>
        <v/>
      </c>
      <c r="H162" s="250">
        <f>IF(OR(U162="",U162=0,AC162=""),"",AC162/U162)</f>
        <v/>
      </c>
      <c r="I162" s="250">
        <f>IF(OR(S162="",U162=""),"",S162/(U162+S162))</f>
        <v/>
      </c>
      <c r="J162" s="248">
        <f>IF(W162&lt;&gt;"",W162-X162,IF(AG162&lt;&gt;"",AG162,""))</f>
        <v/>
      </c>
      <c r="K162" s="248">
        <f>IF(Q162&lt;&gt;"",Q162-Y162,IF(AH162&lt;&gt;"",AH162,""))</f>
        <v/>
      </c>
      <c r="L162" s="248">
        <f>IF(R162&lt;&gt;"",R162-Z162,IF(AI162&lt;&gt;"",AI162,""))</f>
        <v/>
      </c>
      <c r="M162" s="252" t="n"/>
      <c r="N162" s="253" t="n"/>
      <c r="O162" s="254" t="inlineStr">
        <is>
          <t>'26 누적수익 고점</t>
        </is>
      </c>
      <c r="P162" s="255" t="n">
        <v>1073995600</v>
      </c>
      <c r="Q162" s="258">
        <f>IF($A162="","",IF(Q161="","",Q161))</f>
        <v/>
      </c>
      <c r="R162" s="258">
        <f>IF($A162="","",IF(R161="","",R161))</f>
        <v/>
      </c>
      <c r="S162" s="258">
        <f>IF($A162="","",IF(S161="","",S161))</f>
        <v/>
      </c>
      <c r="T162" s="249">
        <f>IF(OR(P162="",W162=""),"",P162-W162)</f>
        <v/>
      </c>
      <c r="U162" s="258">
        <f>IF($A162="","",IF(U161="","",U161))</f>
        <v/>
      </c>
      <c r="V162" s="249">
        <f>IF(P162="","",P162+IF(Q162="",0,Q162)+IF(R162="",0,R162))</f>
        <v/>
      </c>
      <c r="W162" s="255" t="n">
        <v>357441626</v>
      </c>
      <c r="X162" s="249">
        <f>SUMIFS('09_CF_원금'!$E$6:$E$92,'09_CF_원금'!$D$6:$D$92,"국장",'09_CF_원금'!$A$6:$A$92,"&lt;="&amp;$A162)-SUMIFS('09_CF_원금'!$E$6:$E$92,'09_CF_원금'!$C$6:$C$92,"국장",'09_CF_원금'!$A$6:$A$92,"&lt;="&amp;$A162)</f>
        <v/>
      </c>
      <c r="Y162" s="249">
        <f>SUMIFS('09_CF_원금'!$E$6:$E$92,'09_CF_원금'!$D$6:$D$92,"미장",'09_CF_원금'!$A$6:$A$92,"&lt;="&amp;$A162)-SUMIFS('09_CF_원금'!$E$6:$E$92,'09_CF_원금'!$C$6:$C$92,"미장",'09_CF_원금'!$A$6:$A$92,"&lt;="&amp;$A162)</f>
        <v/>
      </c>
      <c r="Z162" s="249">
        <f>SUMIFS('09_CF_원금'!$E$6:$E$92,'09_CF_원금'!$D$6:$D$92,"ISA",'09_CF_원금'!$A$6:$A$92,"&lt;="&amp;$A162)-SUMIFS('09_CF_원금'!$E$6:$E$92,'09_CF_원금'!$C$6:$C$92,"ISA",'09_CF_원금'!$A$6:$A$92,"&lt;="&amp;$A162)</f>
        <v/>
      </c>
      <c r="AA162" s="249">
        <f>IF($A162="","",X162+Y162+Z162+SUMIFS('09_CF_원금'!$E$6:$E$92,'09_CF_원금'!$D$6:$D$92,"중국",'09_CF_원금'!$A$6:$A$92,"&lt;="&amp;$A162)-SUMIFS('09_CF_원금'!$E$6:$E$92,'09_CF_원금'!$C$6:$C$92,"중국",'09_CF_원금'!$A$6:$A$92,"&lt;="&amp;$A162)+SUMIFS('09_CF_원금'!$E$6:$E$92,'09_CF_원금'!$D$6:$D$92,"업비트",'09_CF_원금'!$A$6:$A$92,"&lt;="&amp;$A162)-SUMIFS('09_CF_원금'!$E$6:$E$92,'09_CF_원금'!$C$6:$C$92,"업비트",'09_CF_원금'!$A$6:$A$92,"&lt;="&amp;$A162))</f>
        <v/>
      </c>
      <c r="AB162" s="249">
        <f>IF(OR(U162="",V162=""),"",U162-(V162-IF(S162="",0,S162)))</f>
        <v/>
      </c>
      <c r="AC162" s="249">
        <f>IF(AB162="","",T162+AB162)</f>
        <v/>
      </c>
      <c r="AD162" s="249">
        <f>IF(B162="","",MAX($B$5:B162))</f>
        <v/>
      </c>
      <c r="AE162" s="256" t="n">
        <v>28701.25</v>
      </c>
      <c r="AF162" s="255" t="n">
        <v>426365469</v>
      </c>
      <c r="AG162" s="255" t="n">
        <v>242051322</v>
      </c>
      <c r="AH162" s="255" t="n">
        <v>164373395</v>
      </c>
      <c r="AI162" s="255" t="n">
        <v>19940752</v>
      </c>
      <c r="AJ162" s="257">
        <f>IF($A162="","",YEAR($A162)*100+MONTH($A162))</f>
        <v/>
      </c>
      <c r="AK162" s="257">
        <f>IF($A162="","",IF($N162="",0,1))</f>
        <v/>
      </c>
    </row>
    <row r="163">
      <c r="A163" s="247" t="n">
        <v>46230</v>
      </c>
      <c r="B163" s="248">
        <f>IF(V163&lt;&gt;"",V163-T163,IF(AF163&lt;&gt;"",AA163+AF163,""))</f>
        <v/>
      </c>
      <c r="C163" s="249">
        <f>IF(OR(B163="",B162=""),"",B163-B162)</f>
        <v/>
      </c>
      <c r="D163" s="248">
        <f>IF(OR(B163="",AA163=""),"",B163-AA163)</f>
        <v/>
      </c>
      <c r="E163" s="250">
        <f>IF(OR(B163="",AD163=0),"",MIN(0,B163/AD163-1))</f>
        <v/>
      </c>
      <c r="F163" s="250">
        <f>IF(OR(U163="",T163=0,T163=""),"",(P163-T163*1.4)/U163)</f>
        <v/>
      </c>
      <c r="G163" s="251">
        <f>IF(OR(AC163="",'09_CF_원금'!$B$108=0),"",AC163/'09_CF_원금'!$B$108)</f>
        <v/>
      </c>
      <c r="H163" s="250">
        <f>IF(OR(U163="",U163=0,AC163=""),"",AC163/U163)</f>
        <v/>
      </c>
      <c r="I163" s="250">
        <f>IF(OR(S163="",U163=""),"",S163/(U163+S163))</f>
        <v/>
      </c>
      <c r="J163" s="248">
        <f>IF(W163&lt;&gt;"",W163-X163,IF(AG163&lt;&gt;"",AG163,""))</f>
        <v/>
      </c>
      <c r="K163" s="248">
        <f>IF(Q163&lt;&gt;"",Q163-Y163,IF(AH163&lt;&gt;"",AH163,""))</f>
        <v/>
      </c>
      <c r="L163" s="248">
        <f>IF(R163&lt;&gt;"",R163-Z163,IF(AI163&lt;&gt;"",AI163,""))</f>
        <v/>
      </c>
      <c r="M163" s="252" t="n"/>
      <c r="N163" s="253" t="n"/>
      <c r="O163" s="254" t="n"/>
      <c r="P163" s="255" t="n">
        <v>1100689360</v>
      </c>
      <c r="Q163" s="258">
        <f>IF($A163="","",IF(Q162="","",Q162))</f>
        <v/>
      </c>
      <c r="R163" s="258">
        <f>IF($A163="","",IF(R162="","",R162))</f>
        <v/>
      </c>
      <c r="S163" s="258">
        <f>IF($A163="","",IF(S162="","",S162))</f>
        <v/>
      </c>
      <c r="T163" s="249">
        <f>IF(OR(P163="",W163=""),"",P163-W163)</f>
        <v/>
      </c>
      <c r="U163" s="258">
        <f>IF($A163="","",IF(U162="","",U162))</f>
        <v/>
      </c>
      <c r="V163" s="249">
        <f>IF(P163="","",P163+IF(Q163="",0,Q163)+IF(R163="",0,R163))</f>
        <v/>
      </c>
      <c r="W163" s="255" t="n">
        <v>384135386</v>
      </c>
      <c r="X163" s="249">
        <f>SUMIFS('09_CF_원금'!$E$6:$E$92,'09_CF_원금'!$D$6:$D$92,"국장",'09_CF_원금'!$A$6:$A$92,"&lt;="&amp;$A163)-SUMIFS('09_CF_원금'!$E$6:$E$92,'09_CF_원금'!$C$6:$C$92,"국장",'09_CF_원금'!$A$6:$A$92,"&lt;="&amp;$A163)</f>
        <v/>
      </c>
      <c r="Y163" s="249">
        <f>SUMIFS('09_CF_원금'!$E$6:$E$92,'09_CF_원금'!$D$6:$D$92,"미장",'09_CF_원금'!$A$6:$A$92,"&lt;="&amp;$A163)-SUMIFS('09_CF_원금'!$E$6:$E$92,'09_CF_원금'!$C$6:$C$92,"미장",'09_CF_원금'!$A$6:$A$92,"&lt;="&amp;$A163)</f>
        <v/>
      </c>
      <c r="Z163" s="249">
        <f>SUMIFS('09_CF_원금'!$E$6:$E$92,'09_CF_원금'!$D$6:$D$92,"ISA",'09_CF_원금'!$A$6:$A$92,"&lt;="&amp;$A163)-SUMIFS('09_CF_원금'!$E$6:$E$92,'09_CF_원금'!$C$6:$C$92,"ISA",'09_CF_원금'!$A$6:$A$92,"&lt;="&amp;$A163)</f>
        <v/>
      </c>
      <c r="AA163" s="249">
        <f>IF($A163="","",X163+Y163+Z163+SUMIFS('09_CF_원금'!$E$6:$E$92,'09_CF_원금'!$D$6:$D$92,"중국",'09_CF_원금'!$A$6:$A$92,"&lt;="&amp;$A163)-SUMIFS('09_CF_원금'!$E$6:$E$92,'09_CF_원금'!$C$6:$C$92,"중국",'09_CF_원금'!$A$6:$A$92,"&lt;="&amp;$A163)+SUMIFS('09_CF_원금'!$E$6:$E$92,'09_CF_원금'!$D$6:$D$92,"업비트",'09_CF_원금'!$A$6:$A$92,"&lt;="&amp;$A163)-SUMIFS('09_CF_원금'!$E$6:$E$92,'09_CF_원금'!$C$6:$C$92,"업비트",'09_CF_원금'!$A$6:$A$92,"&lt;="&amp;$A163))</f>
        <v/>
      </c>
      <c r="AB163" s="249">
        <f>IF(OR(U163="",V163=""),"",U163-(V163-IF(S163="",0,S163)))</f>
        <v/>
      </c>
      <c r="AC163" s="249">
        <f>IF(AB163="","",T163+AB163)</f>
        <v/>
      </c>
      <c r="AD163" s="249">
        <f>IF(B163="","",MAX($B$5:B163))</f>
        <v/>
      </c>
      <c r="AE163" s="256" t="n"/>
      <c r="AF163" s="255" t="n"/>
      <c r="AG163" s="255" t="n"/>
      <c r="AH163" s="255" t="n"/>
      <c r="AI163" s="255" t="n"/>
      <c r="AJ163" s="257">
        <f>IF($A163="","",YEAR($A163)*100+MONTH($A163))</f>
        <v/>
      </c>
      <c r="AK163" s="257">
        <f>IF($A163="","",IF($N163="",0,1))</f>
        <v/>
      </c>
    </row>
    <row r="164">
      <c r="A164" s="247" t="n">
        <v>46231</v>
      </c>
      <c r="B164" s="248">
        <f>IF(V164&lt;&gt;"",V164-T164,IF(AF164&lt;&gt;"",AA164+AF164,""))</f>
        <v/>
      </c>
      <c r="C164" s="249">
        <f>IF(OR(B164="",B163=""),"",B164-B163)</f>
        <v/>
      </c>
      <c r="D164" s="248">
        <f>IF(OR(B164="",AA164=""),"",B164-AA164)</f>
        <v/>
      </c>
      <c r="E164" s="250">
        <f>IF(OR(B164="",AD164=0),"",MIN(0,B164/AD164-1))</f>
        <v/>
      </c>
      <c r="F164" s="250">
        <f>IF(OR(U164="",T164=0,T164=""),"",(P164-T164*1.4)/U164)</f>
        <v/>
      </c>
      <c r="G164" s="251">
        <f>IF(OR(AC164="",'09_CF_원금'!$B$108=0),"",AC164/'09_CF_원금'!$B$108)</f>
        <v/>
      </c>
      <c r="H164" s="250">
        <f>IF(OR(U164="",U164=0,AC164=""),"",AC164/U164)</f>
        <v/>
      </c>
      <c r="I164" s="250">
        <f>IF(OR(S164="",U164=""),"",S164/(U164+S164))</f>
        <v/>
      </c>
      <c r="J164" s="248">
        <f>IF(W164&lt;&gt;"",W164-X164,IF(AG164&lt;&gt;"",AG164,""))</f>
        <v/>
      </c>
      <c r="K164" s="248">
        <f>IF(Q164&lt;&gt;"",Q164-Y164,IF(AH164&lt;&gt;"",AH164,""))</f>
        <v/>
      </c>
      <c r="L164" s="248">
        <f>IF(R164&lt;&gt;"",R164-Z164,IF(AI164&lt;&gt;"",AI164,""))</f>
        <v/>
      </c>
      <c r="M164" s="252" t="n"/>
      <c r="N164" s="253" t="n"/>
      <c r="O164" s="254" t="n"/>
      <c r="P164" s="255" t="n">
        <v>562800000</v>
      </c>
      <c r="Q164" s="258">
        <f>IF($A164="","",IF(Q163="","",Q163))</f>
        <v/>
      </c>
      <c r="R164" s="258">
        <f>IF($A164="","",IF(R163="","",R163))</f>
        <v/>
      </c>
      <c r="S164" s="258">
        <f>IF($A164="","",IF(S163="","",S163))</f>
        <v/>
      </c>
      <c r="T164" s="249">
        <f>IF(OR(P164="",W164=""),"",P164-W164)</f>
        <v/>
      </c>
      <c r="U164" s="258">
        <f>IF($A164="","",IF(U163="","",U163))</f>
        <v/>
      </c>
      <c r="V164" s="249">
        <f>IF(P164="","",P164+IF(Q164="",0,Q164)+IF(R164="",0,R164))</f>
        <v/>
      </c>
      <c r="W164" s="255" t="n">
        <v>217853502</v>
      </c>
      <c r="X164" s="249">
        <f>SUMIFS('09_CF_원금'!$E$6:$E$92,'09_CF_원금'!$D$6:$D$92,"국장",'09_CF_원금'!$A$6:$A$92,"&lt;="&amp;$A164)-SUMIFS('09_CF_원금'!$E$6:$E$92,'09_CF_원금'!$C$6:$C$92,"국장",'09_CF_원금'!$A$6:$A$92,"&lt;="&amp;$A164)</f>
        <v/>
      </c>
      <c r="Y164" s="249">
        <f>SUMIFS('09_CF_원금'!$E$6:$E$92,'09_CF_원금'!$D$6:$D$92,"미장",'09_CF_원금'!$A$6:$A$92,"&lt;="&amp;$A164)-SUMIFS('09_CF_원금'!$E$6:$E$92,'09_CF_원금'!$C$6:$C$92,"미장",'09_CF_원금'!$A$6:$A$92,"&lt;="&amp;$A164)</f>
        <v/>
      </c>
      <c r="Z164" s="249">
        <f>SUMIFS('09_CF_원금'!$E$6:$E$92,'09_CF_원금'!$D$6:$D$92,"ISA",'09_CF_원금'!$A$6:$A$92,"&lt;="&amp;$A164)-SUMIFS('09_CF_원금'!$E$6:$E$92,'09_CF_원금'!$C$6:$C$92,"ISA",'09_CF_원금'!$A$6:$A$92,"&lt;="&amp;$A164)</f>
        <v/>
      </c>
      <c r="AA164" s="249">
        <f>IF($A164="","",X164+Y164+Z164+SUMIFS('09_CF_원금'!$E$6:$E$92,'09_CF_원금'!$D$6:$D$92,"중국",'09_CF_원금'!$A$6:$A$92,"&lt;="&amp;$A164)-SUMIFS('09_CF_원금'!$E$6:$E$92,'09_CF_원금'!$C$6:$C$92,"중국",'09_CF_원금'!$A$6:$A$92,"&lt;="&amp;$A164)+SUMIFS('09_CF_원금'!$E$6:$E$92,'09_CF_원금'!$D$6:$D$92,"업비트",'09_CF_원금'!$A$6:$A$92,"&lt;="&amp;$A164)-SUMIFS('09_CF_원금'!$E$6:$E$92,'09_CF_원금'!$C$6:$C$92,"업비트",'09_CF_원금'!$A$6:$A$92,"&lt;="&amp;$A164))</f>
        <v/>
      </c>
      <c r="AB164" s="249">
        <f>IF(OR(U164="",V164=""),"",U164-(V164-IF(S164="",0,S164)))</f>
        <v/>
      </c>
      <c r="AC164" s="249">
        <f>IF(AB164="","",T164+AB164)</f>
        <v/>
      </c>
      <c r="AD164" s="249">
        <f>IF(B164="","",MAX($B$5:B164))</f>
        <v/>
      </c>
      <c r="AE164" s="256" t="n"/>
      <c r="AF164" s="255" t="n"/>
      <c r="AG164" s="255" t="n"/>
      <c r="AH164" s="255" t="n"/>
      <c r="AI164" s="255" t="n"/>
      <c r="AJ164" s="257">
        <f>IF($A164="","",YEAR($A164)*100+MONTH($A164))</f>
        <v/>
      </c>
      <c r="AK164" s="257">
        <f>IF($A164="","",IF($N164="",0,1))</f>
        <v/>
      </c>
    </row>
    <row r="165">
      <c r="A165" s="247" t="n">
        <v>46232</v>
      </c>
      <c r="B165" s="248">
        <f>IF(V165&lt;&gt;"",V165-T165,IF(AF165&lt;&gt;"",AA165+AF165,""))</f>
        <v/>
      </c>
      <c r="C165" s="249">
        <f>IF(OR(B165="",B164=""),"",B165-B164)</f>
        <v/>
      </c>
      <c r="D165" s="248">
        <f>IF(OR(B165="",AA165=""),"",B165-AA165)</f>
        <v/>
      </c>
      <c r="E165" s="250">
        <f>IF(OR(B165="",AD165=0),"",MIN(0,B165/AD165-1))</f>
        <v/>
      </c>
      <c r="F165" s="250">
        <f>IF(OR(U165="",T165=0,T165=""),"",(P165-T165*1.4)/U165)</f>
        <v/>
      </c>
      <c r="G165" s="251">
        <f>IF(OR(AC165="",'09_CF_원금'!$B$108=0),"",AC165/'09_CF_원금'!$B$108)</f>
        <v/>
      </c>
      <c r="H165" s="250">
        <f>IF(OR(U165="",U165=0,AC165=""),"",AC165/U165)</f>
        <v/>
      </c>
      <c r="I165" s="250">
        <f>IF(OR(S165="",U165=""),"",S165/(U165+S165))</f>
        <v/>
      </c>
      <c r="J165" s="248">
        <f>IF(W165&lt;&gt;"",W165-X165,IF(AG165&lt;&gt;"",AG165,""))</f>
        <v/>
      </c>
      <c r="K165" s="248">
        <f>IF(Q165&lt;&gt;"",Q165-Y165,IF(AH165&lt;&gt;"",AH165,""))</f>
        <v/>
      </c>
      <c r="L165" s="248">
        <f>IF(R165&lt;&gt;"",R165-Z165,IF(AI165&lt;&gt;"",AI165,""))</f>
        <v/>
      </c>
      <c r="M165" s="252" t="n"/>
      <c r="N165" s="253" t="n"/>
      <c r="O165" s="254" t="n"/>
      <c r="P165" s="255" t="n">
        <v>585280000</v>
      </c>
      <c r="Q165" s="258">
        <f>IF($A165="","",IF(Q164="","",Q164))</f>
        <v/>
      </c>
      <c r="R165" s="258">
        <f>IF($A165="","",IF(R164="","",R164))</f>
        <v/>
      </c>
      <c r="S165" s="258">
        <f>IF($A165="","",IF(S164="","",S164))</f>
        <v/>
      </c>
      <c r="T165" s="249">
        <f>IF(OR(P165="",W165=""),"",P165-W165)</f>
        <v/>
      </c>
      <c r="U165" s="258">
        <f>IF($A165="","",IF(U164="","",U164))</f>
        <v/>
      </c>
      <c r="V165" s="249">
        <f>IF(P165="","",P165+IF(Q165="",0,Q165)+IF(R165="",0,R165))</f>
        <v/>
      </c>
      <c r="W165" s="255" t="n">
        <v>216135728</v>
      </c>
      <c r="X165" s="249">
        <f>SUMIFS('09_CF_원금'!$E$6:$E$92,'09_CF_원금'!$D$6:$D$92,"국장",'09_CF_원금'!$A$6:$A$92,"&lt;="&amp;$A165)-SUMIFS('09_CF_원금'!$E$6:$E$92,'09_CF_원금'!$C$6:$C$92,"국장",'09_CF_원금'!$A$6:$A$92,"&lt;="&amp;$A165)</f>
        <v/>
      </c>
      <c r="Y165" s="249">
        <f>SUMIFS('09_CF_원금'!$E$6:$E$92,'09_CF_원금'!$D$6:$D$92,"미장",'09_CF_원금'!$A$6:$A$92,"&lt;="&amp;$A165)-SUMIFS('09_CF_원금'!$E$6:$E$92,'09_CF_원금'!$C$6:$C$92,"미장",'09_CF_원금'!$A$6:$A$92,"&lt;="&amp;$A165)</f>
        <v/>
      </c>
      <c r="Z165" s="249">
        <f>SUMIFS('09_CF_원금'!$E$6:$E$92,'09_CF_원금'!$D$6:$D$92,"ISA",'09_CF_원금'!$A$6:$A$92,"&lt;="&amp;$A165)-SUMIFS('09_CF_원금'!$E$6:$E$92,'09_CF_원금'!$C$6:$C$92,"ISA",'09_CF_원금'!$A$6:$A$92,"&lt;="&amp;$A165)</f>
        <v/>
      </c>
      <c r="AA165" s="249">
        <f>IF($A165="","",X165+Y165+Z165+SUMIFS('09_CF_원금'!$E$6:$E$92,'09_CF_원금'!$D$6:$D$92,"중국",'09_CF_원금'!$A$6:$A$92,"&lt;="&amp;$A165)-SUMIFS('09_CF_원금'!$E$6:$E$92,'09_CF_원금'!$C$6:$C$92,"중국",'09_CF_원금'!$A$6:$A$92,"&lt;="&amp;$A165)+SUMIFS('09_CF_원금'!$E$6:$E$92,'09_CF_원금'!$D$6:$D$92,"업비트",'09_CF_원금'!$A$6:$A$92,"&lt;="&amp;$A165)-SUMIFS('09_CF_원금'!$E$6:$E$92,'09_CF_원금'!$C$6:$C$92,"업비트",'09_CF_원금'!$A$6:$A$92,"&lt;="&amp;$A165))</f>
        <v/>
      </c>
      <c r="AB165" s="249">
        <f>IF(OR(U165="",V165=""),"",U165-(V165-IF(S165="",0,S165)))</f>
        <v/>
      </c>
      <c r="AC165" s="249">
        <f>IF(AB165="","",T165+AB165)</f>
        <v/>
      </c>
      <c r="AD165" s="249">
        <f>IF(B165="","",MAX($B$5:B165))</f>
        <v/>
      </c>
      <c r="AE165" s="256" t="n"/>
      <c r="AF165" s="255" t="n"/>
      <c r="AG165" s="255" t="n"/>
      <c r="AH165" s="255" t="n"/>
      <c r="AI165" s="255" t="n"/>
      <c r="AJ165" s="257">
        <f>IF($A165="","",YEAR($A165)*100+MONTH($A165))</f>
        <v/>
      </c>
      <c r="AK165" s="257">
        <f>IF($A165="","",IF($N165="",0,1))</f>
        <v/>
      </c>
    </row>
    <row r="166">
      <c r="A166" s="247" t="n">
        <v>46233</v>
      </c>
      <c r="B166" s="248">
        <f>IF(V166&lt;&gt;"",V166-T166,IF(AF166&lt;&gt;"",AA166+AF166,""))</f>
        <v/>
      </c>
      <c r="C166" s="249">
        <f>IF(OR(B166="",B165=""),"",B166-B165)</f>
        <v/>
      </c>
      <c r="D166" s="248">
        <f>IF(OR(B166="",AA166=""),"",B166-AA166)</f>
        <v/>
      </c>
      <c r="E166" s="250">
        <f>IF(OR(B166="",AD166=0),"",MIN(0,B166/AD166-1))</f>
        <v/>
      </c>
      <c r="F166" s="250">
        <f>IF(OR(U166="",T166=0,T166=""),"",(P166-T166*1.4)/U166)</f>
        <v/>
      </c>
      <c r="G166" s="251">
        <f>IF(OR(AC166="",'09_CF_원금'!$B$108=0),"",AC166/'09_CF_원금'!$B$108)</f>
        <v/>
      </c>
      <c r="H166" s="250">
        <f>IF(OR(U166="",U166=0,AC166=""),"",AC166/U166)</f>
        <v/>
      </c>
      <c r="I166" s="250">
        <f>IF(OR(S166="",U166=""),"",S166/(U166+S166))</f>
        <v/>
      </c>
      <c r="J166" s="248">
        <f>IF(W166&lt;&gt;"",W166-X166,IF(AG166&lt;&gt;"",AG166,""))</f>
        <v/>
      </c>
      <c r="K166" s="248">
        <f>IF(Q166&lt;&gt;"",Q166-Y166,IF(AH166&lt;&gt;"",AH166,""))</f>
        <v/>
      </c>
      <c r="L166" s="248">
        <f>IF(R166&lt;&gt;"",R166-Z166,IF(AI166&lt;&gt;"",AI166,""))</f>
        <v/>
      </c>
      <c r="M166" s="252" t="n">
        <v>1</v>
      </c>
      <c r="N166" s="253" t="inlineStr">
        <is>
          <t>R01,R03,R04,R05,R08,R11,R12,R13</t>
        </is>
      </c>
      <c r="O166" s="254" t="inlineStr">
        <is>
          <t>7/28 반대매매 방지 위해 미장→국장 자금 이동. 재기 시작점.</t>
        </is>
      </c>
      <c r="P166" s="255" t="n">
        <v>565857956</v>
      </c>
      <c r="Q166" s="255" t="n">
        <v>56579497</v>
      </c>
      <c r="R166" s="255" t="n">
        <v>29117438</v>
      </c>
      <c r="S166" s="255" t="n">
        <v>44528891</v>
      </c>
      <c r="T166" s="255" t="n">
        <v>370964010</v>
      </c>
      <c r="U166" s="255" t="n">
        <v>869542000</v>
      </c>
      <c r="V166" s="249">
        <f>IF(P166="","",P166+IF(Q166="",0,Q166)+IF(R166="",0,R166))</f>
        <v/>
      </c>
      <c r="W166" s="255" t="n"/>
      <c r="X166" s="249">
        <f>SUMIFS('09_CF_원금'!$E$6:$E$92,'09_CF_원금'!$D$6:$D$92,"국장",'09_CF_원금'!$A$6:$A$92,"&lt;="&amp;$A166)-SUMIFS('09_CF_원금'!$E$6:$E$92,'09_CF_원금'!$C$6:$C$92,"국장",'09_CF_원금'!$A$6:$A$92,"&lt;="&amp;$A166)</f>
        <v/>
      </c>
      <c r="Y166" s="249">
        <f>SUMIFS('09_CF_원금'!$E$6:$E$92,'09_CF_원금'!$D$6:$D$92,"미장",'09_CF_원금'!$A$6:$A$92,"&lt;="&amp;$A166)-SUMIFS('09_CF_원금'!$E$6:$E$92,'09_CF_원금'!$C$6:$C$92,"미장",'09_CF_원금'!$A$6:$A$92,"&lt;="&amp;$A166)</f>
        <v/>
      </c>
      <c r="Z166" s="249">
        <f>SUMIFS('09_CF_원금'!$E$6:$E$92,'09_CF_원금'!$D$6:$D$92,"ISA",'09_CF_원금'!$A$6:$A$92,"&lt;="&amp;$A166)-SUMIFS('09_CF_원금'!$E$6:$E$92,'09_CF_원금'!$C$6:$C$92,"ISA",'09_CF_원금'!$A$6:$A$92,"&lt;="&amp;$A166)</f>
        <v/>
      </c>
      <c r="AA166" s="249">
        <f>IF($A166="","",X166+Y166+Z166+SUMIFS('09_CF_원금'!$E$6:$E$92,'09_CF_원금'!$D$6:$D$92,"중국",'09_CF_원금'!$A$6:$A$92,"&lt;="&amp;$A166)-SUMIFS('09_CF_원금'!$E$6:$E$92,'09_CF_원금'!$C$6:$C$92,"중국",'09_CF_원금'!$A$6:$A$92,"&lt;="&amp;$A166)+SUMIFS('09_CF_원금'!$E$6:$E$92,'09_CF_원금'!$D$6:$D$92,"업비트",'09_CF_원금'!$A$6:$A$92,"&lt;="&amp;$A166)-SUMIFS('09_CF_원금'!$E$6:$E$92,'09_CF_원금'!$C$6:$C$92,"업비트",'09_CF_원금'!$A$6:$A$92,"&lt;="&amp;$A166))</f>
        <v/>
      </c>
      <c r="AB166" s="249">
        <f>IF(OR(U166="",V166=""),"",U166-(V166-IF(S166="",0,S166)))</f>
        <v/>
      </c>
      <c r="AC166" s="249">
        <f>IF(AB166="","",T166+AB166)</f>
        <v/>
      </c>
      <c r="AD166" s="249">
        <f>IF(B166="","",MAX($B$5:B166))</f>
        <v/>
      </c>
      <c r="AE166" s="256" t="n">
        <v>28701.25</v>
      </c>
      <c r="AF166" s="255" t="n"/>
      <c r="AG166" s="255" t="n"/>
      <c r="AH166" s="255" t="n"/>
      <c r="AI166" s="255" t="n"/>
      <c r="AJ166" s="257">
        <f>IF($A166="","",YEAR($A166)*100+MONTH($A166))</f>
        <v/>
      </c>
      <c r="AK166" s="257">
        <f>IF($A166="","",IF($N166="",0,1))</f>
        <v/>
      </c>
    </row>
    <row r="167">
      <c r="A167" s="247" t="n">
        <v>46234</v>
      </c>
      <c r="B167" s="248">
        <f>IF(V167&lt;&gt;"",V167-T167,IF(AF167&lt;&gt;"",AA167+AF167,""))</f>
        <v/>
      </c>
      <c r="C167" s="249">
        <f>IF(OR(B167="",B166=""),"",B167-B166)</f>
        <v/>
      </c>
      <c r="D167" s="248">
        <f>IF(OR(B167="",AA167=""),"",B167-AA167)</f>
        <v/>
      </c>
      <c r="E167" s="250">
        <f>IF(OR(B167="",AD167=0),"",MIN(0,B167/AD167-1))</f>
        <v/>
      </c>
      <c r="F167" s="250">
        <f>IF(OR(U167="",T167=0,T167=""),"",(P167-T167*1.4)/U167)</f>
        <v/>
      </c>
      <c r="G167" s="251">
        <f>IF(OR(AC167="",'09_CF_원금'!$B$108=0),"",AC167/'09_CF_원금'!$B$108)</f>
        <v/>
      </c>
      <c r="H167" s="250">
        <f>IF(OR(U167="",U167=0,AC167=""),"",AC167/U167)</f>
        <v/>
      </c>
      <c r="I167" s="250">
        <f>IF(OR(S167="",U167=""),"",S167/(U167+S167))</f>
        <v/>
      </c>
      <c r="J167" s="248">
        <f>IF(W167&lt;&gt;"",W167-X167,IF(AG167&lt;&gt;"",AG167,""))</f>
        <v/>
      </c>
      <c r="K167" s="248">
        <f>IF(Q167&lt;&gt;"",Q167-Y167,IF(AH167&lt;&gt;"",AH167,""))</f>
        <v/>
      </c>
      <c r="L167" s="248">
        <f>IF(R167&lt;&gt;"",R167-Z167,IF(AI167&lt;&gt;"",AI167,""))</f>
        <v/>
      </c>
      <c r="M167" s="252" t="n">
        <v>3</v>
      </c>
      <c r="N167" s="253" t="n"/>
      <c r="O167" s="254" t="n"/>
      <c r="P167" s="255" t="n">
        <v>837173357</v>
      </c>
      <c r="Q167" s="255" t="n">
        <v>59980010</v>
      </c>
      <c r="R167" s="255" t="n">
        <v>41355748</v>
      </c>
      <c r="S167" s="255" t="n">
        <v>5557615</v>
      </c>
      <c r="T167" s="255" t="n">
        <v>424609085</v>
      </c>
      <c r="U167" s="255" t="n">
        <v>1311434500</v>
      </c>
      <c r="V167" s="249">
        <f>IF(P167="","",P167+IF(Q167="",0,Q167)+IF(R167="",0,R167))</f>
        <v/>
      </c>
      <c r="W167" s="255" t="n"/>
      <c r="X167" s="249">
        <f>SUMIFS('09_CF_원금'!$E$6:$E$92,'09_CF_원금'!$D$6:$D$92,"국장",'09_CF_원금'!$A$6:$A$92,"&lt;="&amp;$A167)-SUMIFS('09_CF_원금'!$E$6:$E$92,'09_CF_원금'!$C$6:$C$92,"국장",'09_CF_원금'!$A$6:$A$92,"&lt;="&amp;$A167)</f>
        <v/>
      </c>
      <c r="Y167" s="249">
        <f>SUMIFS('09_CF_원금'!$E$6:$E$92,'09_CF_원금'!$D$6:$D$92,"미장",'09_CF_원금'!$A$6:$A$92,"&lt;="&amp;$A167)-SUMIFS('09_CF_원금'!$E$6:$E$92,'09_CF_원금'!$C$6:$C$92,"미장",'09_CF_원금'!$A$6:$A$92,"&lt;="&amp;$A167)</f>
        <v/>
      </c>
      <c r="Z167" s="249">
        <f>SUMIFS('09_CF_원금'!$E$6:$E$92,'09_CF_원금'!$D$6:$D$92,"ISA",'09_CF_원금'!$A$6:$A$92,"&lt;="&amp;$A167)-SUMIFS('09_CF_원금'!$E$6:$E$92,'09_CF_원금'!$C$6:$C$92,"ISA",'09_CF_원금'!$A$6:$A$92,"&lt;="&amp;$A167)</f>
        <v/>
      </c>
      <c r="AA167" s="249">
        <f>IF($A167="","",X167+Y167+Z167+SUMIFS('09_CF_원금'!$E$6:$E$92,'09_CF_원금'!$D$6:$D$92,"중국",'09_CF_원금'!$A$6:$A$92,"&lt;="&amp;$A167)-SUMIFS('09_CF_원금'!$E$6:$E$92,'09_CF_원금'!$C$6:$C$92,"중국",'09_CF_원금'!$A$6:$A$92,"&lt;="&amp;$A167)+SUMIFS('09_CF_원금'!$E$6:$E$92,'09_CF_원금'!$D$6:$D$92,"업비트",'09_CF_원금'!$A$6:$A$92,"&lt;="&amp;$A167)-SUMIFS('09_CF_원금'!$E$6:$E$92,'09_CF_원금'!$C$6:$C$92,"업비트",'09_CF_원금'!$A$6:$A$92,"&lt;="&amp;$A167))</f>
        <v/>
      </c>
      <c r="AB167" s="249">
        <f>IF(OR(U167="",V167=""),"",U167-(V167-IF(S167="",0,S167)))</f>
        <v/>
      </c>
      <c r="AC167" s="249">
        <f>IF(AB167="","",T167+AB167)</f>
        <v/>
      </c>
      <c r="AD167" s="249">
        <f>IF(B167="","",MAX($B$5:B167))</f>
        <v/>
      </c>
      <c r="AE167" s="256" t="n"/>
      <c r="AF167" s="255" t="n"/>
      <c r="AG167" s="255" t="n"/>
      <c r="AH167" s="255" t="n"/>
      <c r="AI167" s="255" t="n"/>
      <c r="AJ167" s="257">
        <f>IF($A167="","",YEAR($A167)*100+MONTH($A167))</f>
        <v/>
      </c>
      <c r="AK167" s="257">
        <f>IF($A167="","",IF($N167="",0,1))</f>
        <v/>
      </c>
    </row>
    <row r="168">
      <c r="A168" s="247" t="n">
        <v>46237</v>
      </c>
      <c r="B168" s="248">
        <f>IF(V168&lt;&gt;"",V168-T168,IF(AF168&lt;&gt;"",AA168+AF168,""))</f>
        <v/>
      </c>
      <c r="C168" s="249">
        <f>IF(OR(B168="",B167=""),"",B168-B167)</f>
        <v/>
      </c>
      <c r="D168" s="248">
        <f>IF(OR(B168="",AA168=""),"",B168-AA168)</f>
        <v/>
      </c>
      <c r="E168" s="250">
        <f>IF(OR(B168="",AD168=0),"",MIN(0,B168/AD168-1))</f>
        <v/>
      </c>
      <c r="F168" s="250">
        <f>IF(OR(U168="",T168=0,T168=""),"",(P168-T168*1.4)/U168)</f>
        <v/>
      </c>
      <c r="G168" s="251">
        <f>IF(OR(AC168="",'09_CF_원금'!$B$108=0),"",AC168/'09_CF_원금'!$B$108)</f>
        <v/>
      </c>
      <c r="H168" s="250">
        <f>IF(OR(U168="",U168=0,AC168=""),"",AC168/U168)</f>
        <v/>
      </c>
      <c r="I168" s="250">
        <f>IF(OR(S168="",U168=""),"",S168/(U168+S168))</f>
        <v/>
      </c>
      <c r="J168" s="248">
        <f>IF(W168&lt;&gt;"",W168-X168,IF(AG168&lt;&gt;"",AG168,""))</f>
        <v/>
      </c>
      <c r="K168" s="248">
        <f>IF(Q168&lt;&gt;"",Q168-Y168,IF(AH168&lt;&gt;"",AH168,""))</f>
        <v/>
      </c>
      <c r="L168" s="248">
        <f>IF(R168&lt;&gt;"",R168-Z168,IF(AI168&lt;&gt;"",AI168,""))</f>
        <v/>
      </c>
      <c r="M168" s="252" t="n"/>
      <c r="N168" s="253" t="n"/>
      <c r="O168" s="254" t="n"/>
      <c r="P168" s="255" t="n"/>
      <c r="Q168" s="258">
        <f>IF($A168="","",IF(Q167="","",Q167))</f>
        <v/>
      </c>
      <c r="R168" s="258">
        <f>IF($A168="","",IF(R167="","",R167))</f>
        <v/>
      </c>
      <c r="S168" s="258">
        <f>IF($A168="","",IF(S167="","",S167))</f>
        <v/>
      </c>
      <c r="T168" s="249">
        <f>IF(OR(P168="",W168=""),"",P168-W168)</f>
        <v/>
      </c>
      <c r="U168" s="258">
        <f>IF($A168="","",IF(U167="","",U167))</f>
        <v/>
      </c>
      <c r="V168" s="249">
        <f>IF(P168="","",P168+IF(Q168="",0,Q168)+IF(R168="",0,R168))</f>
        <v/>
      </c>
      <c r="W168" s="255" t="n"/>
      <c r="X168" s="249">
        <f>SUMIFS('09_CF_원금'!$E$6:$E$92,'09_CF_원금'!$D$6:$D$92,"국장",'09_CF_원금'!$A$6:$A$92,"&lt;="&amp;$A168)-SUMIFS('09_CF_원금'!$E$6:$E$92,'09_CF_원금'!$C$6:$C$92,"국장",'09_CF_원금'!$A$6:$A$92,"&lt;="&amp;$A168)</f>
        <v/>
      </c>
      <c r="Y168" s="249">
        <f>SUMIFS('09_CF_원금'!$E$6:$E$92,'09_CF_원금'!$D$6:$D$92,"미장",'09_CF_원금'!$A$6:$A$92,"&lt;="&amp;$A168)-SUMIFS('09_CF_원금'!$E$6:$E$92,'09_CF_원금'!$C$6:$C$92,"미장",'09_CF_원금'!$A$6:$A$92,"&lt;="&amp;$A168)</f>
        <v/>
      </c>
      <c r="Z168" s="249">
        <f>SUMIFS('09_CF_원금'!$E$6:$E$92,'09_CF_원금'!$D$6:$D$92,"ISA",'09_CF_원금'!$A$6:$A$92,"&lt;="&amp;$A168)-SUMIFS('09_CF_원금'!$E$6:$E$92,'09_CF_원금'!$C$6:$C$92,"ISA",'09_CF_원금'!$A$6:$A$92,"&lt;="&amp;$A168)</f>
        <v/>
      </c>
      <c r="AA168" s="249">
        <f>IF($A168="","",X168+Y168+Z168+SUMIFS('09_CF_원금'!$E$6:$E$92,'09_CF_원금'!$D$6:$D$92,"중국",'09_CF_원금'!$A$6:$A$92,"&lt;="&amp;$A168)-SUMIFS('09_CF_원금'!$E$6:$E$92,'09_CF_원금'!$C$6:$C$92,"중국",'09_CF_원금'!$A$6:$A$92,"&lt;="&amp;$A168)+SUMIFS('09_CF_원금'!$E$6:$E$92,'09_CF_원금'!$D$6:$D$92,"업비트",'09_CF_원금'!$A$6:$A$92,"&lt;="&amp;$A168)-SUMIFS('09_CF_원금'!$E$6:$E$92,'09_CF_원금'!$C$6:$C$92,"업비트",'09_CF_원금'!$A$6:$A$92,"&lt;="&amp;$A168))</f>
        <v/>
      </c>
      <c r="AB168" s="249">
        <f>IF(OR(U168="",V168=""),"",U168-(V168-IF(S168="",0,S168)))</f>
        <v/>
      </c>
      <c r="AC168" s="249">
        <f>IF(AB168="","",T168+AB168)</f>
        <v/>
      </c>
      <c r="AD168" s="249">
        <f>IF(B168="","",MAX($B$5:B168))</f>
        <v/>
      </c>
      <c r="AE168" s="256" t="n"/>
      <c r="AF168" s="255" t="n"/>
      <c r="AG168" s="255" t="n"/>
      <c r="AH168" s="255" t="n"/>
      <c r="AI168" s="255" t="n"/>
      <c r="AJ168" s="257">
        <f>IF($A168="","",YEAR($A168)*100+MONTH($A168))</f>
        <v/>
      </c>
      <c r="AK168" s="257">
        <f>IF($A168="","",IF($N168="",0,1))</f>
        <v/>
      </c>
    </row>
    <row r="169">
      <c r="A169" s="247" t="n">
        <v>46238</v>
      </c>
      <c r="B169" s="248">
        <f>IF(V169&lt;&gt;"",V169-T169,IF(AF169&lt;&gt;"",AA169+AF169,""))</f>
        <v/>
      </c>
      <c r="C169" s="249">
        <f>IF(OR(B169="",B168=""),"",B169-B168)</f>
        <v/>
      </c>
      <c r="D169" s="248">
        <f>IF(OR(B169="",AA169=""),"",B169-AA169)</f>
        <v/>
      </c>
      <c r="E169" s="250">
        <f>IF(OR(B169="",AD169=0),"",MIN(0,B169/AD169-1))</f>
        <v/>
      </c>
      <c r="F169" s="250">
        <f>IF(OR(U169="",T169=0,T169=""),"",(P169-T169*1.4)/U169)</f>
        <v/>
      </c>
      <c r="G169" s="251">
        <f>IF(OR(AC169="",'09_CF_원금'!$B$108=0),"",AC169/'09_CF_원금'!$B$108)</f>
        <v/>
      </c>
      <c r="H169" s="250">
        <f>IF(OR(U169="",U169=0,AC169=""),"",AC169/U169)</f>
        <v/>
      </c>
      <c r="I169" s="250">
        <f>IF(OR(S169="",U169=""),"",S169/(U169+S169))</f>
        <v/>
      </c>
      <c r="J169" s="248">
        <f>IF(W169&lt;&gt;"",W169-X169,IF(AG169&lt;&gt;"",AG169,""))</f>
        <v/>
      </c>
      <c r="K169" s="248">
        <f>IF(Q169&lt;&gt;"",Q169-Y169,IF(AH169&lt;&gt;"",AH169,""))</f>
        <v/>
      </c>
      <c r="L169" s="248">
        <f>IF(R169&lt;&gt;"",R169-Z169,IF(AI169&lt;&gt;"",AI169,""))</f>
        <v/>
      </c>
      <c r="M169" s="252" t="n"/>
      <c r="N169" s="253" t="n"/>
      <c r="O169" s="254" t="n"/>
      <c r="P169" s="255" t="n">
        <v>876353938</v>
      </c>
      <c r="Q169" s="255" t="n">
        <v>50400000</v>
      </c>
      <c r="R169" s="255" t="n">
        <v>36971366</v>
      </c>
      <c r="S169" s="255" t="n">
        <v>2471304</v>
      </c>
      <c r="T169" s="255" t="n">
        <v>478436585</v>
      </c>
      <c r="U169" s="255" t="n">
        <v>1247404000</v>
      </c>
      <c r="V169" s="249">
        <f>IF(P169="","",P169+IF(Q169="",0,Q169)+IF(R169="",0,R169))</f>
        <v/>
      </c>
      <c r="W169" s="255" t="n"/>
      <c r="X169" s="249">
        <f>SUMIFS('09_CF_원금'!$E$6:$E$92,'09_CF_원금'!$D$6:$D$92,"국장",'09_CF_원금'!$A$6:$A$92,"&lt;="&amp;$A169)-SUMIFS('09_CF_원금'!$E$6:$E$92,'09_CF_원금'!$C$6:$C$92,"국장",'09_CF_원금'!$A$6:$A$92,"&lt;="&amp;$A169)</f>
        <v/>
      </c>
      <c r="Y169" s="249">
        <f>SUMIFS('09_CF_원금'!$E$6:$E$92,'09_CF_원금'!$D$6:$D$92,"미장",'09_CF_원금'!$A$6:$A$92,"&lt;="&amp;$A169)-SUMIFS('09_CF_원금'!$E$6:$E$92,'09_CF_원금'!$C$6:$C$92,"미장",'09_CF_원금'!$A$6:$A$92,"&lt;="&amp;$A169)</f>
        <v/>
      </c>
      <c r="Z169" s="249">
        <f>SUMIFS('09_CF_원금'!$E$6:$E$92,'09_CF_원금'!$D$6:$D$92,"ISA",'09_CF_원금'!$A$6:$A$92,"&lt;="&amp;$A169)-SUMIFS('09_CF_원금'!$E$6:$E$92,'09_CF_원금'!$C$6:$C$92,"ISA",'09_CF_원금'!$A$6:$A$92,"&lt;="&amp;$A169)</f>
        <v/>
      </c>
      <c r="AA169" s="249">
        <f>IF($A169="","",X169+Y169+Z169+SUMIFS('09_CF_원금'!$E$6:$E$92,'09_CF_원금'!$D$6:$D$92,"중국",'09_CF_원금'!$A$6:$A$92,"&lt;="&amp;$A169)-SUMIFS('09_CF_원금'!$E$6:$E$92,'09_CF_원금'!$C$6:$C$92,"중국",'09_CF_원금'!$A$6:$A$92,"&lt;="&amp;$A169)+SUMIFS('09_CF_원금'!$E$6:$E$92,'09_CF_원금'!$D$6:$D$92,"업비트",'09_CF_원금'!$A$6:$A$92,"&lt;="&amp;$A169)-SUMIFS('09_CF_원금'!$E$6:$E$92,'09_CF_원금'!$C$6:$C$92,"업비트",'09_CF_원금'!$A$6:$A$92,"&lt;="&amp;$A169))</f>
        <v/>
      </c>
      <c r="AB169" s="249">
        <f>IF(OR(U169="",V169=""),"",U169-(V169-IF(S169="",0,S169)))</f>
        <v/>
      </c>
      <c r="AC169" s="249">
        <f>IF(AB169="","",T169+AB169)</f>
        <v/>
      </c>
      <c r="AD169" s="249">
        <f>IF(B169="","",MAX($B$5:B169))</f>
        <v/>
      </c>
      <c r="AE169" s="256" t="n"/>
      <c r="AF169" s="255" t="n"/>
      <c r="AG169" s="255" t="n"/>
      <c r="AH169" s="255" t="n"/>
      <c r="AI169" s="255" t="n"/>
      <c r="AJ169" s="257">
        <f>IF($A169="","",YEAR($A169)*100+MONTH($A169))</f>
        <v/>
      </c>
      <c r="AK169" s="257">
        <f>IF($A169="","",IF($N169="",0,1))</f>
        <v/>
      </c>
    </row>
    <row r="170">
      <c r="A170" s="247" t="n">
        <v>46239</v>
      </c>
      <c r="B170" s="248">
        <f>IF(V170&lt;&gt;"",V170-T170,IF(AF170&lt;&gt;"",AA170+AF170,""))</f>
        <v/>
      </c>
      <c r="C170" s="249">
        <f>IF(OR(B170="",B169=""),"",B170-B169)</f>
        <v/>
      </c>
      <c r="D170" s="248">
        <f>IF(OR(B170="",AA170=""),"",B170-AA170)</f>
        <v/>
      </c>
      <c r="E170" s="250">
        <f>IF(OR(B170="",AD170=0),"",MIN(0,B170/AD170-1))</f>
        <v/>
      </c>
      <c r="F170" s="250">
        <f>IF(OR(U170="",T170=0,T170=""),"",(P170-T170*1.4)/U170)</f>
        <v/>
      </c>
      <c r="G170" s="251">
        <f>IF(OR(AC170="",'09_CF_원금'!$B$108=0),"",AC170/'09_CF_원금'!$B$108)</f>
        <v/>
      </c>
      <c r="H170" s="250">
        <f>IF(OR(U170="",U170=0,AC170=""),"",AC170/U170)</f>
        <v/>
      </c>
      <c r="I170" s="250">
        <f>IF(OR(S170="",U170=""),"",S170/(U170+S170))</f>
        <v/>
      </c>
      <c r="J170" s="248">
        <f>IF(W170&lt;&gt;"",W170-X170,IF(AG170&lt;&gt;"",AG170,""))</f>
        <v/>
      </c>
      <c r="K170" s="248">
        <f>IF(Q170&lt;&gt;"",Q170-Y170,IF(AH170&lt;&gt;"",AH170,""))</f>
        <v/>
      </c>
      <c r="L170" s="248">
        <f>IF(R170&lt;&gt;"",R170-Z170,IF(AI170&lt;&gt;"",AI170,""))</f>
        <v/>
      </c>
      <c r="M170" s="252" t="n"/>
      <c r="N170" s="253" t="n"/>
      <c r="O170" s="254" t="n"/>
      <c r="P170" s="255" t="n"/>
      <c r="Q170" s="258">
        <f>IF($A170="","",IF(Q169="","",Q169))</f>
        <v/>
      </c>
      <c r="R170" s="258">
        <f>IF($A170="","",IF(R169="","",R169))</f>
        <v/>
      </c>
      <c r="S170" s="258">
        <f>IF($A170="","",IF(S169="","",S169))</f>
        <v/>
      </c>
      <c r="T170" s="249">
        <f>IF(OR(P170="",W170=""),"",P170-W170)</f>
        <v/>
      </c>
      <c r="U170" s="258">
        <f>IF($A170="","",IF(U169="","",U169))</f>
        <v/>
      </c>
      <c r="V170" s="249">
        <f>IF(P170="","",P170+IF(Q170="",0,Q170)+IF(R170="",0,R170))</f>
        <v/>
      </c>
      <c r="W170" s="255" t="n"/>
      <c r="X170" s="249">
        <f>SUMIFS('09_CF_원금'!$E$6:$E$92,'09_CF_원금'!$D$6:$D$92,"국장",'09_CF_원금'!$A$6:$A$92,"&lt;="&amp;$A170)-SUMIFS('09_CF_원금'!$E$6:$E$92,'09_CF_원금'!$C$6:$C$92,"국장",'09_CF_원금'!$A$6:$A$92,"&lt;="&amp;$A170)</f>
        <v/>
      </c>
      <c r="Y170" s="249">
        <f>SUMIFS('09_CF_원금'!$E$6:$E$92,'09_CF_원금'!$D$6:$D$92,"미장",'09_CF_원금'!$A$6:$A$92,"&lt;="&amp;$A170)-SUMIFS('09_CF_원금'!$E$6:$E$92,'09_CF_원금'!$C$6:$C$92,"미장",'09_CF_원금'!$A$6:$A$92,"&lt;="&amp;$A170)</f>
        <v/>
      </c>
      <c r="Z170" s="249">
        <f>SUMIFS('09_CF_원금'!$E$6:$E$92,'09_CF_원금'!$D$6:$D$92,"ISA",'09_CF_원금'!$A$6:$A$92,"&lt;="&amp;$A170)-SUMIFS('09_CF_원금'!$E$6:$E$92,'09_CF_원금'!$C$6:$C$92,"ISA",'09_CF_원금'!$A$6:$A$92,"&lt;="&amp;$A170)</f>
        <v/>
      </c>
      <c r="AA170" s="249">
        <f>IF($A170="","",X170+Y170+Z170+SUMIFS('09_CF_원금'!$E$6:$E$92,'09_CF_원금'!$D$6:$D$92,"중국",'09_CF_원금'!$A$6:$A$92,"&lt;="&amp;$A170)-SUMIFS('09_CF_원금'!$E$6:$E$92,'09_CF_원금'!$C$6:$C$92,"중국",'09_CF_원금'!$A$6:$A$92,"&lt;="&amp;$A170)+SUMIFS('09_CF_원금'!$E$6:$E$92,'09_CF_원금'!$D$6:$D$92,"업비트",'09_CF_원금'!$A$6:$A$92,"&lt;="&amp;$A170)-SUMIFS('09_CF_원금'!$E$6:$E$92,'09_CF_원금'!$C$6:$C$92,"업비트",'09_CF_원금'!$A$6:$A$92,"&lt;="&amp;$A170))</f>
        <v/>
      </c>
      <c r="AB170" s="249">
        <f>IF(OR(U170="",V170=""),"",U170-(V170-IF(S170="",0,S170)))</f>
        <v/>
      </c>
      <c r="AC170" s="249">
        <f>IF(AB170="","",T170+AB170)</f>
        <v/>
      </c>
      <c r="AD170" s="249">
        <f>IF(B170="","",MAX($B$5:B170))</f>
        <v/>
      </c>
      <c r="AE170" s="256" t="n"/>
      <c r="AF170" s="255" t="n"/>
      <c r="AG170" s="255" t="n"/>
      <c r="AH170" s="255" t="n"/>
      <c r="AI170" s="255" t="n"/>
      <c r="AJ170" s="257">
        <f>IF($A170="","",YEAR($A170)*100+MONTH($A170))</f>
        <v/>
      </c>
      <c r="AK170" s="257">
        <f>IF($A170="","",IF($N170="",0,1))</f>
        <v/>
      </c>
    </row>
    <row r="171">
      <c r="A171" s="247" t="n">
        <v>46240</v>
      </c>
      <c r="B171" s="248">
        <f>IF(V171&lt;&gt;"",V171-T171,IF(AF171&lt;&gt;"",AA171+AF171,""))</f>
        <v/>
      </c>
      <c r="C171" s="249">
        <f>IF(OR(B171="",B170=""),"",B171-B170)</f>
        <v/>
      </c>
      <c r="D171" s="248">
        <f>IF(OR(B171="",AA171=""),"",B171-AA171)</f>
        <v/>
      </c>
      <c r="E171" s="250">
        <f>IF(OR(B171="",AD171=0),"",MIN(0,B171/AD171-1))</f>
        <v/>
      </c>
      <c r="F171" s="250">
        <f>IF(OR(U171="",T171=0,T171=""),"",(P171-T171*1.4)/U171)</f>
        <v/>
      </c>
      <c r="G171" s="251">
        <f>IF(OR(AC171="",'09_CF_원금'!$B$108=0),"",AC171/'09_CF_원금'!$B$108)</f>
        <v/>
      </c>
      <c r="H171" s="250">
        <f>IF(OR(U171="",U171=0,AC171=""),"",AC171/U171)</f>
        <v/>
      </c>
      <c r="I171" s="250">
        <f>IF(OR(S171="",U171=""),"",S171/(U171+S171))</f>
        <v/>
      </c>
      <c r="J171" s="248">
        <f>IF(W171&lt;&gt;"",W171-X171,IF(AG171&lt;&gt;"",AG171,""))</f>
        <v/>
      </c>
      <c r="K171" s="248">
        <f>IF(Q171&lt;&gt;"",Q171-Y171,IF(AH171&lt;&gt;"",AH171,""))</f>
        <v/>
      </c>
      <c r="L171" s="248">
        <f>IF(R171&lt;&gt;"",R171-Z171,IF(AI171&lt;&gt;"",AI171,""))</f>
        <v/>
      </c>
      <c r="M171" s="252" t="n"/>
      <c r="N171" s="253" t="n"/>
      <c r="O171" s="254" t="n"/>
      <c r="P171" s="255" t="n"/>
      <c r="Q171" s="258">
        <f>IF($A171="","",IF(Q170="","",Q170))</f>
        <v/>
      </c>
      <c r="R171" s="258">
        <f>IF($A171="","",IF(R170="","",R170))</f>
        <v/>
      </c>
      <c r="S171" s="258">
        <f>IF($A171="","",IF(S170="","",S170))</f>
        <v/>
      </c>
      <c r="T171" s="249">
        <f>IF(OR(P171="",W171=""),"",P171-W171)</f>
        <v/>
      </c>
      <c r="U171" s="258">
        <f>IF($A171="","",IF(U170="","",U170))</f>
        <v/>
      </c>
      <c r="V171" s="249">
        <f>IF(P171="","",P171+IF(Q171="",0,Q171)+IF(R171="",0,R171))</f>
        <v/>
      </c>
      <c r="W171" s="255" t="n"/>
      <c r="X171" s="249">
        <f>SUMIFS('09_CF_원금'!$E$6:$E$92,'09_CF_원금'!$D$6:$D$92,"국장",'09_CF_원금'!$A$6:$A$92,"&lt;="&amp;$A171)-SUMIFS('09_CF_원금'!$E$6:$E$92,'09_CF_원금'!$C$6:$C$92,"국장",'09_CF_원금'!$A$6:$A$92,"&lt;="&amp;$A171)</f>
        <v/>
      </c>
      <c r="Y171" s="249">
        <f>SUMIFS('09_CF_원금'!$E$6:$E$92,'09_CF_원금'!$D$6:$D$92,"미장",'09_CF_원금'!$A$6:$A$92,"&lt;="&amp;$A171)-SUMIFS('09_CF_원금'!$E$6:$E$92,'09_CF_원금'!$C$6:$C$92,"미장",'09_CF_원금'!$A$6:$A$92,"&lt;="&amp;$A171)</f>
        <v/>
      </c>
      <c r="Z171" s="249">
        <f>SUMIFS('09_CF_원금'!$E$6:$E$92,'09_CF_원금'!$D$6:$D$92,"ISA",'09_CF_원금'!$A$6:$A$92,"&lt;="&amp;$A171)-SUMIFS('09_CF_원금'!$E$6:$E$92,'09_CF_원금'!$C$6:$C$92,"ISA",'09_CF_원금'!$A$6:$A$92,"&lt;="&amp;$A171)</f>
        <v/>
      </c>
      <c r="AA171" s="249">
        <f>IF($A171="","",X171+Y171+Z171+SUMIFS('09_CF_원금'!$E$6:$E$92,'09_CF_원금'!$D$6:$D$92,"중국",'09_CF_원금'!$A$6:$A$92,"&lt;="&amp;$A171)-SUMIFS('09_CF_원금'!$E$6:$E$92,'09_CF_원금'!$C$6:$C$92,"중국",'09_CF_원금'!$A$6:$A$92,"&lt;="&amp;$A171)+SUMIFS('09_CF_원금'!$E$6:$E$92,'09_CF_원금'!$D$6:$D$92,"업비트",'09_CF_원금'!$A$6:$A$92,"&lt;="&amp;$A171)-SUMIFS('09_CF_원금'!$E$6:$E$92,'09_CF_원금'!$C$6:$C$92,"업비트",'09_CF_원금'!$A$6:$A$92,"&lt;="&amp;$A171))</f>
        <v/>
      </c>
      <c r="AB171" s="249">
        <f>IF(OR(U171="",V171=""),"",U171-(V171-IF(S171="",0,S171)))</f>
        <v/>
      </c>
      <c r="AC171" s="249">
        <f>IF(AB171="","",T171+AB171)</f>
        <v/>
      </c>
      <c r="AD171" s="249">
        <f>IF(B171="","",MAX($B$5:B171))</f>
        <v/>
      </c>
      <c r="AE171" s="256" t="n"/>
      <c r="AF171" s="255" t="n"/>
      <c r="AG171" s="255" t="n"/>
      <c r="AH171" s="255" t="n"/>
      <c r="AI171" s="255" t="n"/>
      <c r="AJ171" s="257">
        <f>IF($A171="","",YEAR($A171)*100+MONTH($A171))</f>
        <v/>
      </c>
      <c r="AK171" s="257">
        <f>IF($A171="","",IF($N171="",0,1))</f>
        <v/>
      </c>
    </row>
    <row r="172">
      <c r="A172" s="247" t="n">
        <v>46241</v>
      </c>
      <c r="B172" s="248">
        <f>IF(V172&lt;&gt;"",V172-T172,IF(AF172&lt;&gt;"",AA172+AF172,""))</f>
        <v/>
      </c>
      <c r="C172" s="249">
        <f>IF(OR(B172="",B171=""),"",B172-B171)</f>
        <v/>
      </c>
      <c r="D172" s="248">
        <f>IF(OR(B172="",AA172=""),"",B172-AA172)</f>
        <v/>
      </c>
      <c r="E172" s="250">
        <f>IF(OR(B172="",AD172=0),"",MIN(0,B172/AD172-1))</f>
        <v/>
      </c>
      <c r="F172" s="250">
        <f>IF(OR(U172="",T172=0,T172=""),"",(P172-T172*1.4)/U172)</f>
        <v/>
      </c>
      <c r="G172" s="251">
        <f>IF(OR(AC172="",'09_CF_원금'!$B$108=0),"",AC172/'09_CF_원금'!$B$108)</f>
        <v/>
      </c>
      <c r="H172" s="250">
        <f>IF(OR(U172="",U172=0,AC172=""),"",AC172/U172)</f>
        <v/>
      </c>
      <c r="I172" s="250">
        <f>IF(OR(S172="",U172=""),"",S172/(U172+S172))</f>
        <v/>
      </c>
      <c r="J172" s="248">
        <f>IF(W172&lt;&gt;"",W172-X172,IF(AG172&lt;&gt;"",AG172,""))</f>
        <v/>
      </c>
      <c r="K172" s="248">
        <f>IF(Q172&lt;&gt;"",Q172-Y172,IF(AH172&lt;&gt;"",AH172,""))</f>
        <v/>
      </c>
      <c r="L172" s="248">
        <f>IF(R172&lt;&gt;"",R172-Z172,IF(AI172&lt;&gt;"",AI172,""))</f>
        <v/>
      </c>
      <c r="M172" s="252" t="n"/>
      <c r="N172" s="253" t="n"/>
      <c r="O172" s="254" t="n"/>
      <c r="P172" s="255" t="n"/>
      <c r="Q172" s="258">
        <f>IF($A172="","",IF(Q171="","",Q171))</f>
        <v/>
      </c>
      <c r="R172" s="258">
        <f>IF($A172="","",IF(R171="","",R171))</f>
        <v/>
      </c>
      <c r="S172" s="258">
        <f>IF($A172="","",IF(S171="","",S171))</f>
        <v/>
      </c>
      <c r="T172" s="249">
        <f>IF(OR(P172="",W172=""),"",P172-W172)</f>
        <v/>
      </c>
      <c r="U172" s="258">
        <f>IF($A172="","",IF(U171="","",U171))</f>
        <v/>
      </c>
      <c r="V172" s="249">
        <f>IF(P172="","",P172+IF(Q172="",0,Q172)+IF(R172="",0,R172))</f>
        <v/>
      </c>
      <c r="W172" s="255" t="n"/>
      <c r="X172" s="249">
        <f>SUMIFS('09_CF_원금'!$E$6:$E$92,'09_CF_원금'!$D$6:$D$92,"국장",'09_CF_원금'!$A$6:$A$92,"&lt;="&amp;$A172)-SUMIFS('09_CF_원금'!$E$6:$E$92,'09_CF_원금'!$C$6:$C$92,"국장",'09_CF_원금'!$A$6:$A$92,"&lt;="&amp;$A172)</f>
        <v/>
      </c>
      <c r="Y172" s="249">
        <f>SUMIFS('09_CF_원금'!$E$6:$E$92,'09_CF_원금'!$D$6:$D$92,"미장",'09_CF_원금'!$A$6:$A$92,"&lt;="&amp;$A172)-SUMIFS('09_CF_원금'!$E$6:$E$92,'09_CF_원금'!$C$6:$C$92,"미장",'09_CF_원금'!$A$6:$A$92,"&lt;="&amp;$A172)</f>
        <v/>
      </c>
      <c r="Z172" s="249">
        <f>SUMIFS('09_CF_원금'!$E$6:$E$92,'09_CF_원금'!$D$6:$D$92,"ISA",'09_CF_원금'!$A$6:$A$92,"&lt;="&amp;$A172)-SUMIFS('09_CF_원금'!$E$6:$E$92,'09_CF_원금'!$C$6:$C$92,"ISA",'09_CF_원금'!$A$6:$A$92,"&lt;="&amp;$A172)</f>
        <v/>
      </c>
      <c r="AA172" s="249">
        <f>IF($A172="","",X172+Y172+Z172+SUMIFS('09_CF_원금'!$E$6:$E$92,'09_CF_원금'!$D$6:$D$92,"중국",'09_CF_원금'!$A$6:$A$92,"&lt;="&amp;$A172)-SUMIFS('09_CF_원금'!$E$6:$E$92,'09_CF_원금'!$C$6:$C$92,"중국",'09_CF_원금'!$A$6:$A$92,"&lt;="&amp;$A172)+SUMIFS('09_CF_원금'!$E$6:$E$92,'09_CF_원금'!$D$6:$D$92,"업비트",'09_CF_원금'!$A$6:$A$92,"&lt;="&amp;$A172)-SUMIFS('09_CF_원금'!$E$6:$E$92,'09_CF_원금'!$C$6:$C$92,"업비트",'09_CF_원금'!$A$6:$A$92,"&lt;="&amp;$A172))</f>
        <v/>
      </c>
      <c r="AB172" s="249">
        <f>IF(OR(U172="",V172=""),"",U172-(V172-IF(S172="",0,S172)))</f>
        <v/>
      </c>
      <c r="AC172" s="249">
        <f>IF(AB172="","",T172+AB172)</f>
        <v/>
      </c>
      <c r="AD172" s="249">
        <f>IF(B172="","",MAX($B$5:B172))</f>
        <v/>
      </c>
      <c r="AE172" s="256" t="n"/>
      <c r="AF172" s="255" t="n"/>
      <c r="AG172" s="255" t="n"/>
      <c r="AH172" s="255" t="n"/>
      <c r="AI172" s="255" t="n"/>
      <c r="AJ172" s="257">
        <f>IF($A172="","",YEAR($A172)*100+MONTH($A172))</f>
        <v/>
      </c>
      <c r="AK172" s="257">
        <f>IF($A172="","",IF($N172="",0,1))</f>
        <v/>
      </c>
    </row>
    <row r="173">
      <c r="A173" s="247" t="n">
        <v>46244</v>
      </c>
      <c r="B173" s="248">
        <f>IF(V173&lt;&gt;"",V173-T173,IF(AF173&lt;&gt;"",AA173+AF173,""))</f>
        <v/>
      </c>
      <c r="C173" s="249">
        <f>IF(OR(B173="",B172=""),"",B173-B172)</f>
        <v/>
      </c>
      <c r="D173" s="248">
        <f>IF(OR(B173="",AA173=""),"",B173-AA173)</f>
        <v/>
      </c>
      <c r="E173" s="250">
        <f>IF(OR(B173="",AD173=0),"",MIN(0,B173/AD173-1))</f>
        <v/>
      </c>
      <c r="F173" s="250">
        <f>IF(OR(U173="",T173=0,T173=""),"",(P173-T173*1.4)/U173)</f>
        <v/>
      </c>
      <c r="G173" s="251">
        <f>IF(OR(AC173="",'09_CF_원금'!$B$108=0),"",AC173/'09_CF_원금'!$B$108)</f>
        <v/>
      </c>
      <c r="H173" s="250">
        <f>IF(OR(U173="",U173=0,AC173=""),"",AC173/U173)</f>
        <v/>
      </c>
      <c r="I173" s="250">
        <f>IF(OR(S173="",U173=""),"",S173/(U173+S173))</f>
        <v/>
      </c>
      <c r="J173" s="248">
        <f>IF(W173&lt;&gt;"",W173-X173,IF(AG173&lt;&gt;"",AG173,""))</f>
        <v/>
      </c>
      <c r="K173" s="248">
        <f>IF(Q173&lt;&gt;"",Q173-Y173,IF(AH173&lt;&gt;"",AH173,""))</f>
        <v/>
      </c>
      <c r="L173" s="248">
        <f>IF(R173&lt;&gt;"",R173-Z173,IF(AI173&lt;&gt;"",AI173,""))</f>
        <v/>
      </c>
      <c r="M173" s="252" t="n"/>
      <c r="N173" s="253" t="n"/>
      <c r="O173" s="254" t="n"/>
      <c r="P173" s="255" t="n"/>
      <c r="Q173" s="258">
        <f>IF($A173="","",IF(Q172="","",Q172))</f>
        <v/>
      </c>
      <c r="R173" s="258">
        <f>IF($A173="","",IF(R172="","",R172))</f>
        <v/>
      </c>
      <c r="S173" s="258">
        <f>IF($A173="","",IF(S172="","",S172))</f>
        <v/>
      </c>
      <c r="T173" s="249">
        <f>IF(OR(P173="",W173=""),"",P173-W173)</f>
        <v/>
      </c>
      <c r="U173" s="258">
        <f>IF($A173="","",IF(U172="","",U172))</f>
        <v/>
      </c>
      <c r="V173" s="249">
        <f>IF(P173="","",P173+IF(Q173="",0,Q173)+IF(R173="",0,R173))</f>
        <v/>
      </c>
      <c r="W173" s="255" t="n"/>
      <c r="X173" s="249">
        <f>SUMIFS('09_CF_원금'!$E$6:$E$92,'09_CF_원금'!$D$6:$D$92,"국장",'09_CF_원금'!$A$6:$A$92,"&lt;="&amp;$A173)-SUMIFS('09_CF_원금'!$E$6:$E$92,'09_CF_원금'!$C$6:$C$92,"국장",'09_CF_원금'!$A$6:$A$92,"&lt;="&amp;$A173)</f>
        <v/>
      </c>
      <c r="Y173" s="249">
        <f>SUMIFS('09_CF_원금'!$E$6:$E$92,'09_CF_원금'!$D$6:$D$92,"미장",'09_CF_원금'!$A$6:$A$92,"&lt;="&amp;$A173)-SUMIFS('09_CF_원금'!$E$6:$E$92,'09_CF_원금'!$C$6:$C$92,"미장",'09_CF_원금'!$A$6:$A$92,"&lt;="&amp;$A173)</f>
        <v/>
      </c>
      <c r="Z173" s="249">
        <f>SUMIFS('09_CF_원금'!$E$6:$E$92,'09_CF_원금'!$D$6:$D$92,"ISA",'09_CF_원금'!$A$6:$A$92,"&lt;="&amp;$A173)-SUMIFS('09_CF_원금'!$E$6:$E$92,'09_CF_원금'!$C$6:$C$92,"ISA",'09_CF_원금'!$A$6:$A$92,"&lt;="&amp;$A173)</f>
        <v/>
      </c>
      <c r="AA173" s="249">
        <f>IF($A173="","",X173+Y173+Z173+SUMIFS('09_CF_원금'!$E$6:$E$92,'09_CF_원금'!$D$6:$D$92,"중국",'09_CF_원금'!$A$6:$A$92,"&lt;="&amp;$A173)-SUMIFS('09_CF_원금'!$E$6:$E$92,'09_CF_원금'!$C$6:$C$92,"중국",'09_CF_원금'!$A$6:$A$92,"&lt;="&amp;$A173)+SUMIFS('09_CF_원금'!$E$6:$E$92,'09_CF_원금'!$D$6:$D$92,"업비트",'09_CF_원금'!$A$6:$A$92,"&lt;="&amp;$A173)-SUMIFS('09_CF_원금'!$E$6:$E$92,'09_CF_원금'!$C$6:$C$92,"업비트",'09_CF_원금'!$A$6:$A$92,"&lt;="&amp;$A173))</f>
        <v/>
      </c>
      <c r="AB173" s="249">
        <f>IF(OR(U173="",V173=""),"",U173-(V173-IF(S173="",0,S173)))</f>
        <v/>
      </c>
      <c r="AC173" s="249">
        <f>IF(AB173="","",T173+AB173)</f>
        <v/>
      </c>
      <c r="AD173" s="249">
        <f>IF(B173="","",MAX($B$5:B173))</f>
        <v/>
      </c>
      <c r="AE173" s="256" t="n"/>
      <c r="AF173" s="255" t="n"/>
      <c r="AG173" s="255" t="n"/>
      <c r="AH173" s="255" t="n"/>
      <c r="AI173" s="255" t="n"/>
      <c r="AJ173" s="257">
        <f>IF($A173="","",YEAR($A173)*100+MONTH($A173))</f>
        <v/>
      </c>
      <c r="AK173" s="257">
        <f>IF($A173="","",IF($N173="",0,1))</f>
        <v/>
      </c>
    </row>
    <row r="174">
      <c r="A174" s="247" t="n">
        <v>46245</v>
      </c>
      <c r="B174" s="248">
        <f>IF(V174&lt;&gt;"",V174-T174,IF(AF174&lt;&gt;"",AA174+AF174,""))</f>
        <v/>
      </c>
      <c r="C174" s="249">
        <f>IF(OR(B174="",B173=""),"",B174-B173)</f>
        <v/>
      </c>
      <c r="D174" s="248">
        <f>IF(OR(B174="",AA174=""),"",B174-AA174)</f>
        <v/>
      </c>
      <c r="E174" s="250">
        <f>IF(OR(B174="",AD174=0),"",MIN(0,B174/AD174-1))</f>
        <v/>
      </c>
      <c r="F174" s="250">
        <f>IF(OR(U174="",T174=0,T174=""),"",(P174-T174*1.4)/U174)</f>
        <v/>
      </c>
      <c r="G174" s="251">
        <f>IF(OR(AC174="",'09_CF_원금'!$B$108=0),"",AC174/'09_CF_원금'!$B$108)</f>
        <v/>
      </c>
      <c r="H174" s="250">
        <f>IF(OR(U174="",U174=0,AC174=""),"",AC174/U174)</f>
        <v/>
      </c>
      <c r="I174" s="250">
        <f>IF(OR(S174="",U174=""),"",S174/(U174+S174))</f>
        <v/>
      </c>
      <c r="J174" s="248">
        <f>IF(W174&lt;&gt;"",W174-X174,IF(AG174&lt;&gt;"",AG174,""))</f>
        <v/>
      </c>
      <c r="K174" s="248">
        <f>IF(Q174&lt;&gt;"",Q174-Y174,IF(AH174&lt;&gt;"",AH174,""))</f>
        <v/>
      </c>
      <c r="L174" s="248">
        <f>IF(R174&lt;&gt;"",R174-Z174,IF(AI174&lt;&gt;"",AI174,""))</f>
        <v/>
      </c>
      <c r="M174" s="252" t="n"/>
      <c r="N174" s="253" t="n"/>
      <c r="O174" s="254" t="n"/>
      <c r="P174" s="255" t="n"/>
      <c r="Q174" s="258">
        <f>IF($A174="","",IF(Q173="","",Q173))</f>
        <v/>
      </c>
      <c r="R174" s="258">
        <f>IF($A174="","",IF(R173="","",R173))</f>
        <v/>
      </c>
      <c r="S174" s="258">
        <f>IF($A174="","",IF(S173="","",S173))</f>
        <v/>
      </c>
      <c r="T174" s="249">
        <f>IF(OR(P174="",W174=""),"",P174-W174)</f>
        <v/>
      </c>
      <c r="U174" s="258">
        <f>IF($A174="","",IF(U173="","",U173))</f>
        <v/>
      </c>
      <c r="V174" s="249">
        <f>IF(P174="","",P174+IF(Q174="",0,Q174)+IF(R174="",0,R174))</f>
        <v/>
      </c>
      <c r="W174" s="255" t="n"/>
      <c r="X174" s="249">
        <f>SUMIFS('09_CF_원금'!$E$6:$E$92,'09_CF_원금'!$D$6:$D$92,"국장",'09_CF_원금'!$A$6:$A$92,"&lt;="&amp;$A174)-SUMIFS('09_CF_원금'!$E$6:$E$92,'09_CF_원금'!$C$6:$C$92,"국장",'09_CF_원금'!$A$6:$A$92,"&lt;="&amp;$A174)</f>
        <v/>
      </c>
      <c r="Y174" s="249">
        <f>SUMIFS('09_CF_원금'!$E$6:$E$92,'09_CF_원금'!$D$6:$D$92,"미장",'09_CF_원금'!$A$6:$A$92,"&lt;="&amp;$A174)-SUMIFS('09_CF_원금'!$E$6:$E$92,'09_CF_원금'!$C$6:$C$92,"미장",'09_CF_원금'!$A$6:$A$92,"&lt;="&amp;$A174)</f>
        <v/>
      </c>
      <c r="Z174" s="249">
        <f>SUMIFS('09_CF_원금'!$E$6:$E$92,'09_CF_원금'!$D$6:$D$92,"ISA",'09_CF_원금'!$A$6:$A$92,"&lt;="&amp;$A174)-SUMIFS('09_CF_원금'!$E$6:$E$92,'09_CF_원금'!$C$6:$C$92,"ISA",'09_CF_원금'!$A$6:$A$92,"&lt;="&amp;$A174)</f>
        <v/>
      </c>
      <c r="AA174" s="249">
        <f>IF($A174="","",X174+Y174+Z174+SUMIFS('09_CF_원금'!$E$6:$E$92,'09_CF_원금'!$D$6:$D$92,"중국",'09_CF_원금'!$A$6:$A$92,"&lt;="&amp;$A174)-SUMIFS('09_CF_원금'!$E$6:$E$92,'09_CF_원금'!$C$6:$C$92,"중국",'09_CF_원금'!$A$6:$A$92,"&lt;="&amp;$A174)+SUMIFS('09_CF_원금'!$E$6:$E$92,'09_CF_원금'!$D$6:$D$92,"업비트",'09_CF_원금'!$A$6:$A$92,"&lt;="&amp;$A174)-SUMIFS('09_CF_원금'!$E$6:$E$92,'09_CF_원금'!$C$6:$C$92,"업비트",'09_CF_원금'!$A$6:$A$92,"&lt;="&amp;$A174))</f>
        <v/>
      </c>
      <c r="AB174" s="249">
        <f>IF(OR(U174="",V174=""),"",U174-(V174-IF(S174="",0,S174)))</f>
        <v/>
      </c>
      <c r="AC174" s="249">
        <f>IF(AB174="","",T174+AB174)</f>
        <v/>
      </c>
      <c r="AD174" s="249">
        <f>IF(B174="","",MAX($B$5:B174))</f>
        <v/>
      </c>
      <c r="AE174" s="256" t="n"/>
      <c r="AF174" s="255" t="n"/>
      <c r="AG174" s="255" t="n"/>
      <c r="AH174" s="255" t="n"/>
      <c r="AI174" s="255" t="n"/>
      <c r="AJ174" s="257">
        <f>IF($A174="","",YEAR($A174)*100+MONTH($A174))</f>
        <v/>
      </c>
      <c r="AK174" s="257">
        <f>IF($A174="","",IF($N174="",0,1))</f>
        <v/>
      </c>
    </row>
    <row r="175">
      <c r="A175" s="247" t="n">
        <v>46246</v>
      </c>
      <c r="B175" s="248">
        <f>IF(V175&lt;&gt;"",V175-T175,IF(AF175&lt;&gt;"",AA175+AF175,""))</f>
        <v/>
      </c>
      <c r="C175" s="249">
        <f>IF(OR(B175="",B174=""),"",B175-B174)</f>
        <v/>
      </c>
      <c r="D175" s="248">
        <f>IF(OR(B175="",AA175=""),"",B175-AA175)</f>
        <v/>
      </c>
      <c r="E175" s="250">
        <f>IF(OR(B175="",AD175=0),"",MIN(0,B175/AD175-1))</f>
        <v/>
      </c>
      <c r="F175" s="250">
        <f>IF(OR(U175="",T175=0,T175=""),"",(P175-T175*1.4)/U175)</f>
        <v/>
      </c>
      <c r="G175" s="251">
        <f>IF(OR(AC175="",'09_CF_원금'!$B$108=0),"",AC175/'09_CF_원금'!$B$108)</f>
        <v/>
      </c>
      <c r="H175" s="250">
        <f>IF(OR(U175="",U175=0,AC175=""),"",AC175/U175)</f>
        <v/>
      </c>
      <c r="I175" s="250">
        <f>IF(OR(S175="",U175=""),"",S175/(U175+S175))</f>
        <v/>
      </c>
      <c r="J175" s="248">
        <f>IF(W175&lt;&gt;"",W175-X175,IF(AG175&lt;&gt;"",AG175,""))</f>
        <v/>
      </c>
      <c r="K175" s="248">
        <f>IF(Q175&lt;&gt;"",Q175-Y175,IF(AH175&lt;&gt;"",AH175,""))</f>
        <v/>
      </c>
      <c r="L175" s="248">
        <f>IF(R175&lt;&gt;"",R175-Z175,IF(AI175&lt;&gt;"",AI175,""))</f>
        <v/>
      </c>
      <c r="M175" s="252" t="n"/>
      <c r="N175" s="253" t="n"/>
      <c r="O175" s="254" t="n"/>
      <c r="P175" s="255" t="n"/>
      <c r="Q175" s="258">
        <f>IF($A175="","",IF(Q174="","",Q174))</f>
        <v/>
      </c>
      <c r="R175" s="258">
        <f>IF($A175="","",IF(R174="","",R174))</f>
        <v/>
      </c>
      <c r="S175" s="258">
        <f>IF($A175="","",IF(S174="","",S174))</f>
        <v/>
      </c>
      <c r="T175" s="249">
        <f>IF(OR(P175="",W175=""),"",P175-W175)</f>
        <v/>
      </c>
      <c r="U175" s="258">
        <f>IF($A175="","",IF(U174="","",U174))</f>
        <v/>
      </c>
      <c r="V175" s="249">
        <f>IF(P175="","",P175+IF(Q175="",0,Q175)+IF(R175="",0,R175))</f>
        <v/>
      </c>
      <c r="W175" s="255" t="n"/>
      <c r="X175" s="249">
        <f>SUMIFS('09_CF_원금'!$E$6:$E$92,'09_CF_원금'!$D$6:$D$92,"국장",'09_CF_원금'!$A$6:$A$92,"&lt;="&amp;$A175)-SUMIFS('09_CF_원금'!$E$6:$E$92,'09_CF_원금'!$C$6:$C$92,"국장",'09_CF_원금'!$A$6:$A$92,"&lt;="&amp;$A175)</f>
        <v/>
      </c>
      <c r="Y175" s="249">
        <f>SUMIFS('09_CF_원금'!$E$6:$E$92,'09_CF_원금'!$D$6:$D$92,"미장",'09_CF_원금'!$A$6:$A$92,"&lt;="&amp;$A175)-SUMIFS('09_CF_원금'!$E$6:$E$92,'09_CF_원금'!$C$6:$C$92,"미장",'09_CF_원금'!$A$6:$A$92,"&lt;="&amp;$A175)</f>
        <v/>
      </c>
      <c r="Z175" s="249">
        <f>SUMIFS('09_CF_원금'!$E$6:$E$92,'09_CF_원금'!$D$6:$D$92,"ISA",'09_CF_원금'!$A$6:$A$92,"&lt;="&amp;$A175)-SUMIFS('09_CF_원금'!$E$6:$E$92,'09_CF_원금'!$C$6:$C$92,"ISA",'09_CF_원금'!$A$6:$A$92,"&lt;="&amp;$A175)</f>
        <v/>
      </c>
      <c r="AA175" s="249">
        <f>IF($A175="","",X175+Y175+Z175+SUMIFS('09_CF_원금'!$E$6:$E$92,'09_CF_원금'!$D$6:$D$92,"중국",'09_CF_원금'!$A$6:$A$92,"&lt;="&amp;$A175)-SUMIFS('09_CF_원금'!$E$6:$E$92,'09_CF_원금'!$C$6:$C$92,"중국",'09_CF_원금'!$A$6:$A$92,"&lt;="&amp;$A175)+SUMIFS('09_CF_원금'!$E$6:$E$92,'09_CF_원금'!$D$6:$D$92,"업비트",'09_CF_원금'!$A$6:$A$92,"&lt;="&amp;$A175)-SUMIFS('09_CF_원금'!$E$6:$E$92,'09_CF_원금'!$C$6:$C$92,"업비트",'09_CF_원금'!$A$6:$A$92,"&lt;="&amp;$A175))</f>
        <v/>
      </c>
      <c r="AB175" s="249">
        <f>IF(OR(U175="",V175=""),"",U175-(V175-IF(S175="",0,S175)))</f>
        <v/>
      </c>
      <c r="AC175" s="249">
        <f>IF(AB175="","",T175+AB175)</f>
        <v/>
      </c>
      <c r="AD175" s="249">
        <f>IF(B175="","",MAX($B$5:B175))</f>
        <v/>
      </c>
      <c r="AE175" s="256" t="n"/>
      <c r="AF175" s="255" t="n"/>
      <c r="AG175" s="255" t="n"/>
      <c r="AH175" s="255" t="n"/>
      <c r="AI175" s="255" t="n"/>
      <c r="AJ175" s="257">
        <f>IF($A175="","",YEAR($A175)*100+MONTH($A175))</f>
        <v/>
      </c>
      <c r="AK175" s="257">
        <f>IF($A175="","",IF($N175="",0,1))</f>
        <v/>
      </c>
    </row>
    <row r="176">
      <c r="A176" s="247" t="n">
        <v>46247</v>
      </c>
      <c r="B176" s="248">
        <f>IF(V176&lt;&gt;"",V176-T176,IF(AF176&lt;&gt;"",AA176+AF176,""))</f>
        <v/>
      </c>
      <c r="C176" s="249">
        <f>IF(OR(B176="",B175=""),"",B176-B175)</f>
        <v/>
      </c>
      <c r="D176" s="248">
        <f>IF(OR(B176="",AA176=""),"",B176-AA176)</f>
        <v/>
      </c>
      <c r="E176" s="250">
        <f>IF(OR(B176="",AD176=0),"",MIN(0,B176/AD176-1))</f>
        <v/>
      </c>
      <c r="F176" s="250">
        <f>IF(OR(U176="",T176=0,T176=""),"",(P176-T176*1.4)/U176)</f>
        <v/>
      </c>
      <c r="G176" s="251">
        <f>IF(OR(AC176="",'09_CF_원금'!$B$108=0),"",AC176/'09_CF_원금'!$B$108)</f>
        <v/>
      </c>
      <c r="H176" s="250">
        <f>IF(OR(U176="",U176=0,AC176=""),"",AC176/U176)</f>
        <v/>
      </c>
      <c r="I176" s="250">
        <f>IF(OR(S176="",U176=""),"",S176/(U176+S176))</f>
        <v/>
      </c>
      <c r="J176" s="248">
        <f>IF(W176&lt;&gt;"",W176-X176,IF(AG176&lt;&gt;"",AG176,""))</f>
        <v/>
      </c>
      <c r="K176" s="248">
        <f>IF(Q176&lt;&gt;"",Q176-Y176,IF(AH176&lt;&gt;"",AH176,""))</f>
        <v/>
      </c>
      <c r="L176" s="248">
        <f>IF(R176&lt;&gt;"",R176-Z176,IF(AI176&lt;&gt;"",AI176,""))</f>
        <v/>
      </c>
      <c r="M176" s="252" t="n"/>
      <c r="N176" s="253" t="n"/>
      <c r="O176" s="254" t="n"/>
      <c r="P176" s="255" t="n"/>
      <c r="Q176" s="258">
        <f>IF($A176="","",IF(Q175="","",Q175))</f>
        <v/>
      </c>
      <c r="R176" s="258">
        <f>IF($A176="","",IF(R175="","",R175))</f>
        <v/>
      </c>
      <c r="S176" s="258">
        <f>IF($A176="","",IF(S175="","",S175))</f>
        <v/>
      </c>
      <c r="T176" s="249">
        <f>IF(OR(P176="",W176=""),"",P176-W176)</f>
        <v/>
      </c>
      <c r="U176" s="258">
        <f>IF($A176="","",IF(U175="","",U175))</f>
        <v/>
      </c>
      <c r="V176" s="249">
        <f>IF(P176="","",P176+IF(Q176="",0,Q176)+IF(R176="",0,R176))</f>
        <v/>
      </c>
      <c r="W176" s="255" t="n"/>
      <c r="X176" s="249">
        <f>SUMIFS('09_CF_원금'!$E$6:$E$92,'09_CF_원금'!$D$6:$D$92,"국장",'09_CF_원금'!$A$6:$A$92,"&lt;="&amp;$A176)-SUMIFS('09_CF_원금'!$E$6:$E$92,'09_CF_원금'!$C$6:$C$92,"국장",'09_CF_원금'!$A$6:$A$92,"&lt;="&amp;$A176)</f>
        <v/>
      </c>
      <c r="Y176" s="249">
        <f>SUMIFS('09_CF_원금'!$E$6:$E$92,'09_CF_원금'!$D$6:$D$92,"미장",'09_CF_원금'!$A$6:$A$92,"&lt;="&amp;$A176)-SUMIFS('09_CF_원금'!$E$6:$E$92,'09_CF_원금'!$C$6:$C$92,"미장",'09_CF_원금'!$A$6:$A$92,"&lt;="&amp;$A176)</f>
        <v/>
      </c>
      <c r="Z176" s="249">
        <f>SUMIFS('09_CF_원금'!$E$6:$E$92,'09_CF_원금'!$D$6:$D$92,"ISA",'09_CF_원금'!$A$6:$A$92,"&lt;="&amp;$A176)-SUMIFS('09_CF_원금'!$E$6:$E$92,'09_CF_원금'!$C$6:$C$92,"ISA",'09_CF_원금'!$A$6:$A$92,"&lt;="&amp;$A176)</f>
        <v/>
      </c>
      <c r="AA176" s="249">
        <f>IF($A176="","",X176+Y176+Z176+SUMIFS('09_CF_원금'!$E$6:$E$92,'09_CF_원금'!$D$6:$D$92,"중국",'09_CF_원금'!$A$6:$A$92,"&lt;="&amp;$A176)-SUMIFS('09_CF_원금'!$E$6:$E$92,'09_CF_원금'!$C$6:$C$92,"중국",'09_CF_원금'!$A$6:$A$92,"&lt;="&amp;$A176)+SUMIFS('09_CF_원금'!$E$6:$E$92,'09_CF_원금'!$D$6:$D$92,"업비트",'09_CF_원금'!$A$6:$A$92,"&lt;="&amp;$A176)-SUMIFS('09_CF_원금'!$E$6:$E$92,'09_CF_원금'!$C$6:$C$92,"업비트",'09_CF_원금'!$A$6:$A$92,"&lt;="&amp;$A176))</f>
        <v/>
      </c>
      <c r="AB176" s="249">
        <f>IF(OR(U176="",V176=""),"",U176-(V176-IF(S176="",0,S176)))</f>
        <v/>
      </c>
      <c r="AC176" s="249">
        <f>IF(AB176="","",T176+AB176)</f>
        <v/>
      </c>
      <c r="AD176" s="249">
        <f>IF(B176="","",MAX($B$5:B176))</f>
        <v/>
      </c>
      <c r="AE176" s="256" t="n"/>
      <c r="AF176" s="255" t="n"/>
      <c r="AG176" s="255" t="n"/>
      <c r="AH176" s="255" t="n"/>
      <c r="AI176" s="255" t="n"/>
      <c r="AJ176" s="257">
        <f>IF($A176="","",YEAR($A176)*100+MONTH($A176))</f>
        <v/>
      </c>
      <c r="AK176" s="257">
        <f>IF($A176="","",IF($N176="",0,1))</f>
        <v/>
      </c>
    </row>
    <row r="177">
      <c r="A177" s="247" t="n">
        <v>46248</v>
      </c>
      <c r="B177" s="248">
        <f>IF(V177&lt;&gt;"",V177-T177,IF(AF177&lt;&gt;"",AA177+AF177,""))</f>
        <v/>
      </c>
      <c r="C177" s="249">
        <f>IF(OR(B177="",B176=""),"",B177-B176)</f>
        <v/>
      </c>
      <c r="D177" s="248">
        <f>IF(OR(B177="",AA177=""),"",B177-AA177)</f>
        <v/>
      </c>
      <c r="E177" s="250">
        <f>IF(OR(B177="",AD177=0),"",MIN(0,B177/AD177-1))</f>
        <v/>
      </c>
      <c r="F177" s="250">
        <f>IF(OR(U177="",T177=0,T177=""),"",(P177-T177*1.4)/U177)</f>
        <v/>
      </c>
      <c r="G177" s="251">
        <f>IF(OR(AC177="",'09_CF_원금'!$B$108=0),"",AC177/'09_CF_원금'!$B$108)</f>
        <v/>
      </c>
      <c r="H177" s="250">
        <f>IF(OR(U177="",U177=0,AC177=""),"",AC177/U177)</f>
        <v/>
      </c>
      <c r="I177" s="250">
        <f>IF(OR(S177="",U177=""),"",S177/(U177+S177))</f>
        <v/>
      </c>
      <c r="J177" s="248">
        <f>IF(W177&lt;&gt;"",W177-X177,IF(AG177&lt;&gt;"",AG177,""))</f>
        <v/>
      </c>
      <c r="K177" s="248">
        <f>IF(Q177&lt;&gt;"",Q177-Y177,IF(AH177&lt;&gt;"",AH177,""))</f>
        <v/>
      </c>
      <c r="L177" s="248">
        <f>IF(R177&lt;&gt;"",R177-Z177,IF(AI177&lt;&gt;"",AI177,""))</f>
        <v/>
      </c>
      <c r="M177" s="252" t="n"/>
      <c r="N177" s="253" t="n"/>
      <c r="O177" s="254" t="n"/>
      <c r="P177" s="255" t="n"/>
      <c r="Q177" s="258">
        <f>IF($A177="","",IF(Q176="","",Q176))</f>
        <v/>
      </c>
      <c r="R177" s="258">
        <f>IF($A177="","",IF(R176="","",R176))</f>
        <v/>
      </c>
      <c r="S177" s="258">
        <f>IF($A177="","",IF(S176="","",S176))</f>
        <v/>
      </c>
      <c r="T177" s="249">
        <f>IF(OR(P177="",W177=""),"",P177-W177)</f>
        <v/>
      </c>
      <c r="U177" s="258">
        <f>IF($A177="","",IF(U176="","",U176))</f>
        <v/>
      </c>
      <c r="V177" s="249">
        <f>IF(P177="","",P177+IF(Q177="",0,Q177)+IF(R177="",0,R177))</f>
        <v/>
      </c>
      <c r="W177" s="255" t="n"/>
      <c r="X177" s="249">
        <f>SUMIFS('09_CF_원금'!$E$6:$E$92,'09_CF_원금'!$D$6:$D$92,"국장",'09_CF_원금'!$A$6:$A$92,"&lt;="&amp;$A177)-SUMIFS('09_CF_원금'!$E$6:$E$92,'09_CF_원금'!$C$6:$C$92,"국장",'09_CF_원금'!$A$6:$A$92,"&lt;="&amp;$A177)</f>
        <v/>
      </c>
      <c r="Y177" s="249">
        <f>SUMIFS('09_CF_원금'!$E$6:$E$92,'09_CF_원금'!$D$6:$D$92,"미장",'09_CF_원금'!$A$6:$A$92,"&lt;="&amp;$A177)-SUMIFS('09_CF_원금'!$E$6:$E$92,'09_CF_원금'!$C$6:$C$92,"미장",'09_CF_원금'!$A$6:$A$92,"&lt;="&amp;$A177)</f>
        <v/>
      </c>
      <c r="Z177" s="249">
        <f>SUMIFS('09_CF_원금'!$E$6:$E$92,'09_CF_원금'!$D$6:$D$92,"ISA",'09_CF_원금'!$A$6:$A$92,"&lt;="&amp;$A177)-SUMIFS('09_CF_원금'!$E$6:$E$92,'09_CF_원금'!$C$6:$C$92,"ISA",'09_CF_원금'!$A$6:$A$92,"&lt;="&amp;$A177)</f>
        <v/>
      </c>
      <c r="AA177" s="249">
        <f>IF($A177="","",X177+Y177+Z177+SUMIFS('09_CF_원금'!$E$6:$E$92,'09_CF_원금'!$D$6:$D$92,"중국",'09_CF_원금'!$A$6:$A$92,"&lt;="&amp;$A177)-SUMIFS('09_CF_원금'!$E$6:$E$92,'09_CF_원금'!$C$6:$C$92,"중국",'09_CF_원금'!$A$6:$A$92,"&lt;="&amp;$A177)+SUMIFS('09_CF_원금'!$E$6:$E$92,'09_CF_원금'!$D$6:$D$92,"업비트",'09_CF_원금'!$A$6:$A$92,"&lt;="&amp;$A177)-SUMIFS('09_CF_원금'!$E$6:$E$92,'09_CF_원금'!$C$6:$C$92,"업비트",'09_CF_원금'!$A$6:$A$92,"&lt;="&amp;$A177))</f>
        <v/>
      </c>
      <c r="AB177" s="249">
        <f>IF(OR(U177="",V177=""),"",U177-(V177-IF(S177="",0,S177)))</f>
        <v/>
      </c>
      <c r="AC177" s="249">
        <f>IF(AB177="","",T177+AB177)</f>
        <v/>
      </c>
      <c r="AD177" s="249">
        <f>IF(B177="","",MAX($B$5:B177))</f>
        <v/>
      </c>
      <c r="AE177" s="256" t="n"/>
      <c r="AF177" s="255" t="n"/>
      <c r="AG177" s="255" t="n"/>
      <c r="AH177" s="255" t="n"/>
      <c r="AI177" s="255" t="n"/>
      <c r="AJ177" s="257">
        <f>IF($A177="","",YEAR($A177)*100+MONTH($A177))</f>
        <v/>
      </c>
      <c r="AK177" s="257">
        <f>IF($A177="","",IF($N177="",0,1))</f>
        <v/>
      </c>
    </row>
    <row r="178">
      <c r="A178" s="247" t="n">
        <v>46251</v>
      </c>
      <c r="B178" s="248">
        <f>IF(V178&lt;&gt;"",V178-T178,IF(AF178&lt;&gt;"",AA178+AF178,""))</f>
        <v/>
      </c>
      <c r="C178" s="249">
        <f>IF(OR(B178="",B177=""),"",B178-B177)</f>
        <v/>
      </c>
      <c r="D178" s="248">
        <f>IF(OR(B178="",AA178=""),"",B178-AA178)</f>
        <v/>
      </c>
      <c r="E178" s="250">
        <f>IF(OR(B178="",AD178=0),"",MIN(0,B178/AD178-1))</f>
        <v/>
      </c>
      <c r="F178" s="250">
        <f>IF(OR(U178="",T178=0,T178=""),"",(P178-T178*1.4)/U178)</f>
        <v/>
      </c>
      <c r="G178" s="251">
        <f>IF(OR(AC178="",'09_CF_원금'!$B$108=0),"",AC178/'09_CF_원금'!$B$108)</f>
        <v/>
      </c>
      <c r="H178" s="250">
        <f>IF(OR(U178="",U178=0,AC178=""),"",AC178/U178)</f>
        <v/>
      </c>
      <c r="I178" s="250">
        <f>IF(OR(S178="",U178=""),"",S178/(U178+S178))</f>
        <v/>
      </c>
      <c r="J178" s="248">
        <f>IF(W178&lt;&gt;"",W178-X178,IF(AG178&lt;&gt;"",AG178,""))</f>
        <v/>
      </c>
      <c r="K178" s="248">
        <f>IF(Q178&lt;&gt;"",Q178-Y178,IF(AH178&lt;&gt;"",AH178,""))</f>
        <v/>
      </c>
      <c r="L178" s="248">
        <f>IF(R178&lt;&gt;"",R178-Z178,IF(AI178&lt;&gt;"",AI178,""))</f>
        <v/>
      </c>
      <c r="M178" s="252" t="n"/>
      <c r="N178" s="253" t="n"/>
      <c r="O178" s="254" t="n"/>
      <c r="P178" s="255" t="n"/>
      <c r="Q178" s="258">
        <f>IF($A178="","",IF(Q177="","",Q177))</f>
        <v/>
      </c>
      <c r="R178" s="258">
        <f>IF($A178="","",IF(R177="","",R177))</f>
        <v/>
      </c>
      <c r="S178" s="258">
        <f>IF($A178="","",IF(S177="","",S177))</f>
        <v/>
      </c>
      <c r="T178" s="249">
        <f>IF(OR(P178="",W178=""),"",P178-W178)</f>
        <v/>
      </c>
      <c r="U178" s="258">
        <f>IF($A178="","",IF(U177="","",U177))</f>
        <v/>
      </c>
      <c r="V178" s="249">
        <f>IF(P178="","",P178+IF(Q178="",0,Q178)+IF(R178="",0,R178))</f>
        <v/>
      </c>
      <c r="W178" s="255" t="n"/>
      <c r="X178" s="249">
        <f>SUMIFS('09_CF_원금'!$E$6:$E$92,'09_CF_원금'!$D$6:$D$92,"국장",'09_CF_원금'!$A$6:$A$92,"&lt;="&amp;$A178)-SUMIFS('09_CF_원금'!$E$6:$E$92,'09_CF_원금'!$C$6:$C$92,"국장",'09_CF_원금'!$A$6:$A$92,"&lt;="&amp;$A178)</f>
        <v/>
      </c>
      <c r="Y178" s="249">
        <f>SUMIFS('09_CF_원금'!$E$6:$E$92,'09_CF_원금'!$D$6:$D$92,"미장",'09_CF_원금'!$A$6:$A$92,"&lt;="&amp;$A178)-SUMIFS('09_CF_원금'!$E$6:$E$92,'09_CF_원금'!$C$6:$C$92,"미장",'09_CF_원금'!$A$6:$A$92,"&lt;="&amp;$A178)</f>
        <v/>
      </c>
      <c r="Z178" s="249">
        <f>SUMIFS('09_CF_원금'!$E$6:$E$92,'09_CF_원금'!$D$6:$D$92,"ISA",'09_CF_원금'!$A$6:$A$92,"&lt;="&amp;$A178)-SUMIFS('09_CF_원금'!$E$6:$E$92,'09_CF_원금'!$C$6:$C$92,"ISA",'09_CF_원금'!$A$6:$A$92,"&lt;="&amp;$A178)</f>
        <v/>
      </c>
      <c r="AA178" s="249">
        <f>IF($A178="","",X178+Y178+Z178+SUMIFS('09_CF_원금'!$E$6:$E$92,'09_CF_원금'!$D$6:$D$92,"중국",'09_CF_원금'!$A$6:$A$92,"&lt;="&amp;$A178)-SUMIFS('09_CF_원금'!$E$6:$E$92,'09_CF_원금'!$C$6:$C$92,"중국",'09_CF_원금'!$A$6:$A$92,"&lt;="&amp;$A178)+SUMIFS('09_CF_원금'!$E$6:$E$92,'09_CF_원금'!$D$6:$D$92,"업비트",'09_CF_원금'!$A$6:$A$92,"&lt;="&amp;$A178)-SUMIFS('09_CF_원금'!$E$6:$E$92,'09_CF_원금'!$C$6:$C$92,"업비트",'09_CF_원금'!$A$6:$A$92,"&lt;="&amp;$A178))</f>
        <v/>
      </c>
      <c r="AB178" s="249">
        <f>IF(OR(U178="",V178=""),"",U178-(V178-IF(S178="",0,S178)))</f>
        <v/>
      </c>
      <c r="AC178" s="249">
        <f>IF(AB178="","",T178+AB178)</f>
        <v/>
      </c>
      <c r="AD178" s="249">
        <f>IF(B178="","",MAX($B$5:B178))</f>
        <v/>
      </c>
      <c r="AE178" s="256" t="n"/>
      <c r="AF178" s="255" t="n"/>
      <c r="AG178" s="255" t="n"/>
      <c r="AH178" s="255" t="n"/>
      <c r="AI178" s="255" t="n"/>
      <c r="AJ178" s="257">
        <f>IF($A178="","",YEAR($A178)*100+MONTH($A178))</f>
        <v/>
      </c>
      <c r="AK178" s="257">
        <f>IF($A178="","",IF($N178="",0,1))</f>
        <v/>
      </c>
    </row>
    <row r="179">
      <c r="A179" s="247" t="n">
        <v>46252</v>
      </c>
      <c r="B179" s="248">
        <f>IF(V179&lt;&gt;"",V179-T179,IF(AF179&lt;&gt;"",AA179+AF179,""))</f>
        <v/>
      </c>
      <c r="C179" s="249">
        <f>IF(OR(B179="",B178=""),"",B179-B178)</f>
        <v/>
      </c>
      <c r="D179" s="248">
        <f>IF(OR(B179="",AA179=""),"",B179-AA179)</f>
        <v/>
      </c>
      <c r="E179" s="250">
        <f>IF(OR(B179="",AD179=0),"",MIN(0,B179/AD179-1))</f>
        <v/>
      </c>
      <c r="F179" s="250">
        <f>IF(OR(U179="",T179=0,T179=""),"",(P179-T179*1.4)/U179)</f>
        <v/>
      </c>
      <c r="G179" s="251">
        <f>IF(OR(AC179="",'09_CF_원금'!$B$108=0),"",AC179/'09_CF_원금'!$B$108)</f>
        <v/>
      </c>
      <c r="H179" s="250">
        <f>IF(OR(U179="",U179=0,AC179=""),"",AC179/U179)</f>
        <v/>
      </c>
      <c r="I179" s="250">
        <f>IF(OR(S179="",U179=""),"",S179/(U179+S179))</f>
        <v/>
      </c>
      <c r="J179" s="248">
        <f>IF(W179&lt;&gt;"",W179-X179,IF(AG179&lt;&gt;"",AG179,""))</f>
        <v/>
      </c>
      <c r="K179" s="248">
        <f>IF(Q179&lt;&gt;"",Q179-Y179,IF(AH179&lt;&gt;"",AH179,""))</f>
        <v/>
      </c>
      <c r="L179" s="248">
        <f>IF(R179&lt;&gt;"",R179-Z179,IF(AI179&lt;&gt;"",AI179,""))</f>
        <v/>
      </c>
      <c r="M179" s="252" t="n"/>
      <c r="N179" s="253" t="n"/>
      <c r="O179" s="254" t="n"/>
      <c r="P179" s="255" t="n"/>
      <c r="Q179" s="258">
        <f>IF($A179="","",IF(Q178="","",Q178))</f>
        <v/>
      </c>
      <c r="R179" s="258">
        <f>IF($A179="","",IF(R178="","",R178))</f>
        <v/>
      </c>
      <c r="S179" s="258">
        <f>IF($A179="","",IF(S178="","",S178))</f>
        <v/>
      </c>
      <c r="T179" s="249">
        <f>IF(OR(P179="",W179=""),"",P179-W179)</f>
        <v/>
      </c>
      <c r="U179" s="258">
        <f>IF($A179="","",IF(U178="","",U178))</f>
        <v/>
      </c>
      <c r="V179" s="249">
        <f>IF(P179="","",P179+IF(Q179="",0,Q179)+IF(R179="",0,R179))</f>
        <v/>
      </c>
      <c r="W179" s="255" t="n"/>
      <c r="X179" s="249">
        <f>SUMIFS('09_CF_원금'!$E$6:$E$92,'09_CF_원금'!$D$6:$D$92,"국장",'09_CF_원금'!$A$6:$A$92,"&lt;="&amp;$A179)-SUMIFS('09_CF_원금'!$E$6:$E$92,'09_CF_원금'!$C$6:$C$92,"국장",'09_CF_원금'!$A$6:$A$92,"&lt;="&amp;$A179)</f>
        <v/>
      </c>
      <c r="Y179" s="249">
        <f>SUMIFS('09_CF_원금'!$E$6:$E$92,'09_CF_원금'!$D$6:$D$92,"미장",'09_CF_원금'!$A$6:$A$92,"&lt;="&amp;$A179)-SUMIFS('09_CF_원금'!$E$6:$E$92,'09_CF_원금'!$C$6:$C$92,"미장",'09_CF_원금'!$A$6:$A$92,"&lt;="&amp;$A179)</f>
        <v/>
      </c>
      <c r="Z179" s="249">
        <f>SUMIFS('09_CF_원금'!$E$6:$E$92,'09_CF_원금'!$D$6:$D$92,"ISA",'09_CF_원금'!$A$6:$A$92,"&lt;="&amp;$A179)-SUMIFS('09_CF_원금'!$E$6:$E$92,'09_CF_원금'!$C$6:$C$92,"ISA",'09_CF_원금'!$A$6:$A$92,"&lt;="&amp;$A179)</f>
        <v/>
      </c>
      <c r="AA179" s="249">
        <f>IF($A179="","",X179+Y179+Z179+SUMIFS('09_CF_원금'!$E$6:$E$92,'09_CF_원금'!$D$6:$D$92,"중국",'09_CF_원금'!$A$6:$A$92,"&lt;="&amp;$A179)-SUMIFS('09_CF_원금'!$E$6:$E$92,'09_CF_원금'!$C$6:$C$92,"중국",'09_CF_원금'!$A$6:$A$92,"&lt;="&amp;$A179)+SUMIFS('09_CF_원금'!$E$6:$E$92,'09_CF_원금'!$D$6:$D$92,"업비트",'09_CF_원금'!$A$6:$A$92,"&lt;="&amp;$A179)-SUMIFS('09_CF_원금'!$E$6:$E$92,'09_CF_원금'!$C$6:$C$92,"업비트",'09_CF_원금'!$A$6:$A$92,"&lt;="&amp;$A179))</f>
        <v/>
      </c>
      <c r="AB179" s="249">
        <f>IF(OR(U179="",V179=""),"",U179-(V179-IF(S179="",0,S179)))</f>
        <v/>
      </c>
      <c r="AC179" s="249">
        <f>IF(AB179="","",T179+AB179)</f>
        <v/>
      </c>
      <c r="AD179" s="249">
        <f>IF(B179="","",MAX($B$5:B179))</f>
        <v/>
      </c>
      <c r="AE179" s="256" t="n"/>
      <c r="AF179" s="255" t="n"/>
      <c r="AG179" s="255" t="n"/>
      <c r="AH179" s="255" t="n"/>
      <c r="AI179" s="255" t="n"/>
      <c r="AJ179" s="257">
        <f>IF($A179="","",YEAR($A179)*100+MONTH($A179))</f>
        <v/>
      </c>
      <c r="AK179" s="257">
        <f>IF($A179="","",IF($N179="",0,1))</f>
        <v/>
      </c>
    </row>
    <row r="180">
      <c r="A180" s="247" t="n">
        <v>46253</v>
      </c>
      <c r="B180" s="248">
        <f>IF(V180&lt;&gt;"",V180-T180,IF(AF180&lt;&gt;"",AA180+AF180,""))</f>
        <v/>
      </c>
      <c r="C180" s="249">
        <f>IF(OR(B180="",B179=""),"",B180-B179)</f>
        <v/>
      </c>
      <c r="D180" s="248">
        <f>IF(OR(B180="",AA180=""),"",B180-AA180)</f>
        <v/>
      </c>
      <c r="E180" s="250">
        <f>IF(OR(B180="",AD180=0),"",MIN(0,B180/AD180-1))</f>
        <v/>
      </c>
      <c r="F180" s="250">
        <f>IF(OR(U180="",T180=0,T180=""),"",(P180-T180*1.4)/U180)</f>
        <v/>
      </c>
      <c r="G180" s="251">
        <f>IF(OR(AC180="",'09_CF_원금'!$B$108=0),"",AC180/'09_CF_원금'!$B$108)</f>
        <v/>
      </c>
      <c r="H180" s="250">
        <f>IF(OR(U180="",U180=0,AC180=""),"",AC180/U180)</f>
        <v/>
      </c>
      <c r="I180" s="250">
        <f>IF(OR(S180="",U180=""),"",S180/(U180+S180))</f>
        <v/>
      </c>
      <c r="J180" s="248">
        <f>IF(W180&lt;&gt;"",W180-X180,IF(AG180&lt;&gt;"",AG180,""))</f>
        <v/>
      </c>
      <c r="K180" s="248">
        <f>IF(Q180&lt;&gt;"",Q180-Y180,IF(AH180&lt;&gt;"",AH180,""))</f>
        <v/>
      </c>
      <c r="L180" s="248">
        <f>IF(R180&lt;&gt;"",R180-Z180,IF(AI180&lt;&gt;"",AI180,""))</f>
        <v/>
      </c>
      <c r="M180" s="252" t="n"/>
      <c r="N180" s="253" t="n"/>
      <c r="O180" s="254" t="n"/>
      <c r="P180" s="255" t="n"/>
      <c r="Q180" s="258">
        <f>IF($A180="","",IF(Q179="","",Q179))</f>
        <v/>
      </c>
      <c r="R180" s="258">
        <f>IF($A180="","",IF(R179="","",R179))</f>
        <v/>
      </c>
      <c r="S180" s="258">
        <f>IF($A180="","",IF(S179="","",S179))</f>
        <v/>
      </c>
      <c r="T180" s="249">
        <f>IF(OR(P180="",W180=""),"",P180-W180)</f>
        <v/>
      </c>
      <c r="U180" s="258">
        <f>IF($A180="","",IF(U179="","",U179))</f>
        <v/>
      </c>
      <c r="V180" s="249">
        <f>IF(P180="","",P180+IF(Q180="",0,Q180)+IF(R180="",0,R180))</f>
        <v/>
      </c>
      <c r="W180" s="255" t="n"/>
      <c r="X180" s="249">
        <f>SUMIFS('09_CF_원금'!$E$6:$E$92,'09_CF_원금'!$D$6:$D$92,"국장",'09_CF_원금'!$A$6:$A$92,"&lt;="&amp;$A180)-SUMIFS('09_CF_원금'!$E$6:$E$92,'09_CF_원금'!$C$6:$C$92,"국장",'09_CF_원금'!$A$6:$A$92,"&lt;="&amp;$A180)</f>
        <v/>
      </c>
      <c r="Y180" s="249">
        <f>SUMIFS('09_CF_원금'!$E$6:$E$92,'09_CF_원금'!$D$6:$D$92,"미장",'09_CF_원금'!$A$6:$A$92,"&lt;="&amp;$A180)-SUMIFS('09_CF_원금'!$E$6:$E$92,'09_CF_원금'!$C$6:$C$92,"미장",'09_CF_원금'!$A$6:$A$92,"&lt;="&amp;$A180)</f>
        <v/>
      </c>
      <c r="Z180" s="249">
        <f>SUMIFS('09_CF_원금'!$E$6:$E$92,'09_CF_원금'!$D$6:$D$92,"ISA",'09_CF_원금'!$A$6:$A$92,"&lt;="&amp;$A180)-SUMIFS('09_CF_원금'!$E$6:$E$92,'09_CF_원금'!$C$6:$C$92,"ISA",'09_CF_원금'!$A$6:$A$92,"&lt;="&amp;$A180)</f>
        <v/>
      </c>
      <c r="AA180" s="249">
        <f>IF($A180="","",X180+Y180+Z180+SUMIFS('09_CF_원금'!$E$6:$E$92,'09_CF_원금'!$D$6:$D$92,"중국",'09_CF_원금'!$A$6:$A$92,"&lt;="&amp;$A180)-SUMIFS('09_CF_원금'!$E$6:$E$92,'09_CF_원금'!$C$6:$C$92,"중국",'09_CF_원금'!$A$6:$A$92,"&lt;="&amp;$A180)+SUMIFS('09_CF_원금'!$E$6:$E$92,'09_CF_원금'!$D$6:$D$92,"업비트",'09_CF_원금'!$A$6:$A$92,"&lt;="&amp;$A180)-SUMIFS('09_CF_원금'!$E$6:$E$92,'09_CF_원금'!$C$6:$C$92,"업비트",'09_CF_원금'!$A$6:$A$92,"&lt;="&amp;$A180))</f>
        <v/>
      </c>
      <c r="AB180" s="249">
        <f>IF(OR(U180="",V180=""),"",U180-(V180-IF(S180="",0,S180)))</f>
        <v/>
      </c>
      <c r="AC180" s="249">
        <f>IF(AB180="","",T180+AB180)</f>
        <v/>
      </c>
      <c r="AD180" s="249">
        <f>IF(B180="","",MAX($B$5:B180))</f>
        <v/>
      </c>
      <c r="AE180" s="256" t="n"/>
      <c r="AF180" s="255" t="n"/>
      <c r="AG180" s="255" t="n"/>
      <c r="AH180" s="255" t="n"/>
      <c r="AI180" s="255" t="n"/>
      <c r="AJ180" s="257">
        <f>IF($A180="","",YEAR($A180)*100+MONTH($A180))</f>
        <v/>
      </c>
      <c r="AK180" s="257">
        <f>IF($A180="","",IF($N180="",0,1))</f>
        <v/>
      </c>
    </row>
    <row r="181">
      <c r="A181" s="247" t="n">
        <v>46254</v>
      </c>
      <c r="B181" s="248">
        <f>IF(V181&lt;&gt;"",V181-T181,IF(AF181&lt;&gt;"",AA181+AF181,""))</f>
        <v/>
      </c>
      <c r="C181" s="249">
        <f>IF(OR(B181="",B180=""),"",B181-B180)</f>
        <v/>
      </c>
      <c r="D181" s="248">
        <f>IF(OR(B181="",AA181=""),"",B181-AA181)</f>
        <v/>
      </c>
      <c r="E181" s="250">
        <f>IF(OR(B181="",AD181=0),"",MIN(0,B181/AD181-1))</f>
        <v/>
      </c>
      <c r="F181" s="250">
        <f>IF(OR(U181="",T181=0,T181=""),"",(P181-T181*1.4)/U181)</f>
        <v/>
      </c>
      <c r="G181" s="251">
        <f>IF(OR(AC181="",'09_CF_원금'!$B$108=0),"",AC181/'09_CF_원금'!$B$108)</f>
        <v/>
      </c>
      <c r="H181" s="250">
        <f>IF(OR(U181="",U181=0,AC181=""),"",AC181/U181)</f>
        <v/>
      </c>
      <c r="I181" s="250">
        <f>IF(OR(S181="",U181=""),"",S181/(U181+S181))</f>
        <v/>
      </c>
      <c r="J181" s="248">
        <f>IF(W181&lt;&gt;"",W181-X181,IF(AG181&lt;&gt;"",AG181,""))</f>
        <v/>
      </c>
      <c r="K181" s="248">
        <f>IF(Q181&lt;&gt;"",Q181-Y181,IF(AH181&lt;&gt;"",AH181,""))</f>
        <v/>
      </c>
      <c r="L181" s="248">
        <f>IF(R181&lt;&gt;"",R181-Z181,IF(AI181&lt;&gt;"",AI181,""))</f>
        <v/>
      </c>
      <c r="M181" s="252" t="n"/>
      <c r="N181" s="253" t="n"/>
      <c r="O181" s="254" t="n"/>
      <c r="P181" s="255" t="n"/>
      <c r="Q181" s="258">
        <f>IF($A181="","",IF(Q180="","",Q180))</f>
        <v/>
      </c>
      <c r="R181" s="258">
        <f>IF($A181="","",IF(R180="","",R180))</f>
        <v/>
      </c>
      <c r="S181" s="258">
        <f>IF($A181="","",IF(S180="","",S180))</f>
        <v/>
      </c>
      <c r="T181" s="249">
        <f>IF(OR(P181="",W181=""),"",P181-W181)</f>
        <v/>
      </c>
      <c r="U181" s="258">
        <f>IF($A181="","",IF(U180="","",U180))</f>
        <v/>
      </c>
      <c r="V181" s="249">
        <f>IF(P181="","",P181+IF(Q181="",0,Q181)+IF(R181="",0,R181))</f>
        <v/>
      </c>
      <c r="W181" s="255" t="n"/>
      <c r="X181" s="249">
        <f>SUMIFS('09_CF_원금'!$E$6:$E$92,'09_CF_원금'!$D$6:$D$92,"국장",'09_CF_원금'!$A$6:$A$92,"&lt;="&amp;$A181)-SUMIFS('09_CF_원금'!$E$6:$E$92,'09_CF_원금'!$C$6:$C$92,"국장",'09_CF_원금'!$A$6:$A$92,"&lt;="&amp;$A181)</f>
        <v/>
      </c>
      <c r="Y181" s="249">
        <f>SUMIFS('09_CF_원금'!$E$6:$E$92,'09_CF_원금'!$D$6:$D$92,"미장",'09_CF_원금'!$A$6:$A$92,"&lt;="&amp;$A181)-SUMIFS('09_CF_원금'!$E$6:$E$92,'09_CF_원금'!$C$6:$C$92,"미장",'09_CF_원금'!$A$6:$A$92,"&lt;="&amp;$A181)</f>
        <v/>
      </c>
      <c r="Z181" s="249">
        <f>SUMIFS('09_CF_원금'!$E$6:$E$92,'09_CF_원금'!$D$6:$D$92,"ISA",'09_CF_원금'!$A$6:$A$92,"&lt;="&amp;$A181)-SUMIFS('09_CF_원금'!$E$6:$E$92,'09_CF_원금'!$C$6:$C$92,"ISA",'09_CF_원금'!$A$6:$A$92,"&lt;="&amp;$A181)</f>
        <v/>
      </c>
      <c r="AA181" s="249">
        <f>IF($A181="","",X181+Y181+Z181+SUMIFS('09_CF_원금'!$E$6:$E$92,'09_CF_원금'!$D$6:$D$92,"중국",'09_CF_원금'!$A$6:$A$92,"&lt;="&amp;$A181)-SUMIFS('09_CF_원금'!$E$6:$E$92,'09_CF_원금'!$C$6:$C$92,"중국",'09_CF_원금'!$A$6:$A$92,"&lt;="&amp;$A181)+SUMIFS('09_CF_원금'!$E$6:$E$92,'09_CF_원금'!$D$6:$D$92,"업비트",'09_CF_원금'!$A$6:$A$92,"&lt;="&amp;$A181)-SUMIFS('09_CF_원금'!$E$6:$E$92,'09_CF_원금'!$C$6:$C$92,"업비트",'09_CF_원금'!$A$6:$A$92,"&lt;="&amp;$A181))</f>
        <v/>
      </c>
      <c r="AB181" s="249">
        <f>IF(OR(U181="",V181=""),"",U181-(V181-IF(S181="",0,S181)))</f>
        <v/>
      </c>
      <c r="AC181" s="249">
        <f>IF(AB181="","",T181+AB181)</f>
        <v/>
      </c>
      <c r="AD181" s="249">
        <f>IF(B181="","",MAX($B$5:B181))</f>
        <v/>
      </c>
      <c r="AE181" s="256" t="n"/>
      <c r="AF181" s="255" t="n"/>
      <c r="AG181" s="255" t="n"/>
      <c r="AH181" s="255" t="n"/>
      <c r="AI181" s="255" t="n"/>
      <c r="AJ181" s="257">
        <f>IF($A181="","",YEAR($A181)*100+MONTH($A181))</f>
        <v/>
      </c>
      <c r="AK181" s="257">
        <f>IF($A181="","",IF($N181="",0,1))</f>
        <v/>
      </c>
    </row>
    <row r="182">
      <c r="A182" s="247" t="n">
        <v>46255</v>
      </c>
      <c r="B182" s="248">
        <f>IF(V182&lt;&gt;"",V182-T182,IF(AF182&lt;&gt;"",AA182+AF182,""))</f>
        <v/>
      </c>
      <c r="C182" s="249">
        <f>IF(OR(B182="",B181=""),"",B182-B181)</f>
        <v/>
      </c>
      <c r="D182" s="248">
        <f>IF(OR(B182="",AA182=""),"",B182-AA182)</f>
        <v/>
      </c>
      <c r="E182" s="250">
        <f>IF(OR(B182="",AD182=0),"",MIN(0,B182/AD182-1))</f>
        <v/>
      </c>
      <c r="F182" s="250">
        <f>IF(OR(U182="",T182=0,T182=""),"",(P182-T182*1.4)/U182)</f>
        <v/>
      </c>
      <c r="G182" s="251">
        <f>IF(OR(AC182="",'09_CF_원금'!$B$108=0),"",AC182/'09_CF_원금'!$B$108)</f>
        <v/>
      </c>
      <c r="H182" s="250">
        <f>IF(OR(U182="",U182=0,AC182=""),"",AC182/U182)</f>
        <v/>
      </c>
      <c r="I182" s="250">
        <f>IF(OR(S182="",U182=""),"",S182/(U182+S182))</f>
        <v/>
      </c>
      <c r="J182" s="248">
        <f>IF(W182&lt;&gt;"",W182-X182,IF(AG182&lt;&gt;"",AG182,""))</f>
        <v/>
      </c>
      <c r="K182" s="248">
        <f>IF(Q182&lt;&gt;"",Q182-Y182,IF(AH182&lt;&gt;"",AH182,""))</f>
        <v/>
      </c>
      <c r="L182" s="248">
        <f>IF(R182&lt;&gt;"",R182-Z182,IF(AI182&lt;&gt;"",AI182,""))</f>
        <v/>
      </c>
      <c r="M182" s="252" t="n"/>
      <c r="N182" s="253" t="n"/>
      <c r="O182" s="254" t="n"/>
      <c r="P182" s="255" t="n"/>
      <c r="Q182" s="258">
        <f>IF($A182="","",IF(Q181="","",Q181))</f>
        <v/>
      </c>
      <c r="R182" s="258">
        <f>IF($A182="","",IF(R181="","",R181))</f>
        <v/>
      </c>
      <c r="S182" s="258">
        <f>IF($A182="","",IF(S181="","",S181))</f>
        <v/>
      </c>
      <c r="T182" s="249">
        <f>IF(OR(P182="",W182=""),"",P182-W182)</f>
        <v/>
      </c>
      <c r="U182" s="258">
        <f>IF($A182="","",IF(U181="","",U181))</f>
        <v/>
      </c>
      <c r="V182" s="249">
        <f>IF(P182="","",P182+IF(Q182="",0,Q182)+IF(R182="",0,R182))</f>
        <v/>
      </c>
      <c r="W182" s="255" t="n"/>
      <c r="X182" s="249">
        <f>SUMIFS('09_CF_원금'!$E$6:$E$92,'09_CF_원금'!$D$6:$D$92,"국장",'09_CF_원금'!$A$6:$A$92,"&lt;="&amp;$A182)-SUMIFS('09_CF_원금'!$E$6:$E$92,'09_CF_원금'!$C$6:$C$92,"국장",'09_CF_원금'!$A$6:$A$92,"&lt;="&amp;$A182)</f>
        <v/>
      </c>
      <c r="Y182" s="249">
        <f>SUMIFS('09_CF_원금'!$E$6:$E$92,'09_CF_원금'!$D$6:$D$92,"미장",'09_CF_원금'!$A$6:$A$92,"&lt;="&amp;$A182)-SUMIFS('09_CF_원금'!$E$6:$E$92,'09_CF_원금'!$C$6:$C$92,"미장",'09_CF_원금'!$A$6:$A$92,"&lt;="&amp;$A182)</f>
        <v/>
      </c>
      <c r="Z182" s="249">
        <f>SUMIFS('09_CF_원금'!$E$6:$E$92,'09_CF_원금'!$D$6:$D$92,"ISA",'09_CF_원금'!$A$6:$A$92,"&lt;="&amp;$A182)-SUMIFS('09_CF_원금'!$E$6:$E$92,'09_CF_원금'!$C$6:$C$92,"ISA",'09_CF_원금'!$A$6:$A$92,"&lt;="&amp;$A182)</f>
        <v/>
      </c>
      <c r="AA182" s="249">
        <f>IF($A182="","",X182+Y182+Z182+SUMIFS('09_CF_원금'!$E$6:$E$92,'09_CF_원금'!$D$6:$D$92,"중국",'09_CF_원금'!$A$6:$A$92,"&lt;="&amp;$A182)-SUMIFS('09_CF_원금'!$E$6:$E$92,'09_CF_원금'!$C$6:$C$92,"중국",'09_CF_원금'!$A$6:$A$92,"&lt;="&amp;$A182)+SUMIFS('09_CF_원금'!$E$6:$E$92,'09_CF_원금'!$D$6:$D$92,"업비트",'09_CF_원금'!$A$6:$A$92,"&lt;="&amp;$A182)-SUMIFS('09_CF_원금'!$E$6:$E$92,'09_CF_원금'!$C$6:$C$92,"업비트",'09_CF_원금'!$A$6:$A$92,"&lt;="&amp;$A182))</f>
        <v/>
      </c>
      <c r="AB182" s="249">
        <f>IF(OR(U182="",V182=""),"",U182-(V182-IF(S182="",0,S182)))</f>
        <v/>
      </c>
      <c r="AC182" s="249">
        <f>IF(AB182="","",T182+AB182)</f>
        <v/>
      </c>
      <c r="AD182" s="249">
        <f>IF(B182="","",MAX($B$5:B182))</f>
        <v/>
      </c>
      <c r="AE182" s="256" t="n"/>
      <c r="AF182" s="255" t="n"/>
      <c r="AG182" s="255" t="n"/>
      <c r="AH182" s="255" t="n"/>
      <c r="AI182" s="255" t="n"/>
      <c r="AJ182" s="257">
        <f>IF($A182="","",YEAR($A182)*100+MONTH($A182))</f>
        <v/>
      </c>
      <c r="AK182" s="257">
        <f>IF($A182="","",IF($N182="",0,1))</f>
        <v/>
      </c>
    </row>
    <row r="183">
      <c r="A183" s="247" t="n">
        <v>46258</v>
      </c>
      <c r="B183" s="248">
        <f>IF(V183&lt;&gt;"",V183-T183,IF(AF183&lt;&gt;"",AA183+AF183,""))</f>
        <v/>
      </c>
      <c r="C183" s="249">
        <f>IF(OR(B183="",B182=""),"",B183-B182)</f>
        <v/>
      </c>
      <c r="D183" s="248">
        <f>IF(OR(B183="",AA183=""),"",B183-AA183)</f>
        <v/>
      </c>
      <c r="E183" s="250">
        <f>IF(OR(B183="",AD183=0),"",MIN(0,B183/AD183-1))</f>
        <v/>
      </c>
      <c r="F183" s="250">
        <f>IF(OR(U183="",T183=0,T183=""),"",(P183-T183*1.4)/U183)</f>
        <v/>
      </c>
      <c r="G183" s="251">
        <f>IF(OR(AC183="",'09_CF_원금'!$B$108=0),"",AC183/'09_CF_원금'!$B$108)</f>
        <v/>
      </c>
      <c r="H183" s="250">
        <f>IF(OR(U183="",U183=0,AC183=""),"",AC183/U183)</f>
        <v/>
      </c>
      <c r="I183" s="250">
        <f>IF(OR(S183="",U183=""),"",S183/(U183+S183))</f>
        <v/>
      </c>
      <c r="J183" s="248">
        <f>IF(W183&lt;&gt;"",W183-X183,IF(AG183&lt;&gt;"",AG183,""))</f>
        <v/>
      </c>
      <c r="K183" s="248">
        <f>IF(Q183&lt;&gt;"",Q183-Y183,IF(AH183&lt;&gt;"",AH183,""))</f>
        <v/>
      </c>
      <c r="L183" s="248">
        <f>IF(R183&lt;&gt;"",R183-Z183,IF(AI183&lt;&gt;"",AI183,""))</f>
        <v/>
      </c>
      <c r="M183" s="252" t="n"/>
      <c r="N183" s="253" t="n"/>
      <c r="O183" s="254" t="n"/>
      <c r="P183" s="255" t="n"/>
      <c r="Q183" s="258">
        <f>IF($A183="","",IF(Q182="","",Q182))</f>
        <v/>
      </c>
      <c r="R183" s="258">
        <f>IF($A183="","",IF(R182="","",R182))</f>
        <v/>
      </c>
      <c r="S183" s="258">
        <f>IF($A183="","",IF(S182="","",S182))</f>
        <v/>
      </c>
      <c r="T183" s="249">
        <f>IF(OR(P183="",W183=""),"",P183-W183)</f>
        <v/>
      </c>
      <c r="U183" s="258">
        <f>IF($A183="","",IF(U182="","",U182))</f>
        <v/>
      </c>
      <c r="V183" s="249">
        <f>IF(P183="","",P183+IF(Q183="",0,Q183)+IF(R183="",0,R183))</f>
        <v/>
      </c>
      <c r="W183" s="255" t="n"/>
      <c r="X183" s="249">
        <f>SUMIFS('09_CF_원금'!$E$6:$E$92,'09_CF_원금'!$D$6:$D$92,"국장",'09_CF_원금'!$A$6:$A$92,"&lt;="&amp;$A183)-SUMIFS('09_CF_원금'!$E$6:$E$92,'09_CF_원금'!$C$6:$C$92,"국장",'09_CF_원금'!$A$6:$A$92,"&lt;="&amp;$A183)</f>
        <v/>
      </c>
      <c r="Y183" s="249">
        <f>SUMIFS('09_CF_원금'!$E$6:$E$92,'09_CF_원금'!$D$6:$D$92,"미장",'09_CF_원금'!$A$6:$A$92,"&lt;="&amp;$A183)-SUMIFS('09_CF_원금'!$E$6:$E$92,'09_CF_원금'!$C$6:$C$92,"미장",'09_CF_원금'!$A$6:$A$92,"&lt;="&amp;$A183)</f>
        <v/>
      </c>
      <c r="Z183" s="249">
        <f>SUMIFS('09_CF_원금'!$E$6:$E$92,'09_CF_원금'!$D$6:$D$92,"ISA",'09_CF_원금'!$A$6:$A$92,"&lt;="&amp;$A183)-SUMIFS('09_CF_원금'!$E$6:$E$92,'09_CF_원금'!$C$6:$C$92,"ISA",'09_CF_원금'!$A$6:$A$92,"&lt;="&amp;$A183)</f>
        <v/>
      </c>
      <c r="AA183" s="249">
        <f>IF($A183="","",X183+Y183+Z183+SUMIFS('09_CF_원금'!$E$6:$E$92,'09_CF_원금'!$D$6:$D$92,"중국",'09_CF_원금'!$A$6:$A$92,"&lt;="&amp;$A183)-SUMIFS('09_CF_원금'!$E$6:$E$92,'09_CF_원금'!$C$6:$C$92,"중국",'09_CF_원금'!$A$6:$A$92,"&lt;="&amp;$A183)+SUMIFS('09_CF_원금'!$E$6:$E$92,'09_CF_원금'!$D$6:$D$92,"업비트",'09_CF_원금'!$A$6:$A$92,"&lt;="&amp;$A183)-SUMIFS('09_CF_원금'!$E$6:$E$92,'09_CF_원금'!$C$6:$C$92,"업비트",'09_CF_원금'!$A$6:$A$92,"&lt;="&amp;$A183))</f>
        <v/>
      </c>
      <c r="AB183" s="249">
        <f>IF(OR(U183="",V183=""),"",U183-(V183-IF(S183="",0,S183)))</f>
        <v/>
      </c>
      <c r="AC183" s="249">
        <f>IF(AB183="","",T183+AB183)</f>
        <v/>
      </c>
      <c r="AD183" s="249">
        <f>IF(B183="","",MAX($B$5:B183))</f>
        <v/>
      </c>
      <c r="AE183" s="256" t="n"/>
      <c r="AF183" s="255" t="n"/>
      <c r="AG183" s="255" t="n"/>
      <c r="AH183" s="255" t="n"/>
      <c r="AI183" s="255" t="n"/>
      <c r="AJ183" s="257">
        <f>IF($A183="","",YEAR($A183)*100+MONTH($A183))</f>
        <v/>
      </c>
      <c r="AK183" s="257">
        <f>IF($A183="","",IF($N183="",0,1))</f>
        <v/>
      </c>
    </row>
    <row r="184">
      <c r="A184" s="247" t="n">
        <v>46259</v>
      </c>
      <c r="B184" s="248">
        <f>IF(V184&lt;&gt;"",V184-T184,IF(AF184&lt;&gt;"",AA184+AF184,""))</f>
        <v/>
      </c>
      <c r="C184" s="249">
        <f>IF(OR(B184="",B183=""),"",B184-B183)</f>
        <v/>
      </c>
      <c r="D184" s="248">
        <f>IF(OR(B184="",AA184=""),"",B184-AA184)</f>
        <v/>
      </c>
      <c r="E184" s="250">
        <f>IF(OR(B184="",AD184=0),"",MIN(0,B184/AD184-1))</f>
        <v/>
      </c>
      <c r="F184" s="250">
        <f>IF(OR(U184="",T184=0,T184=""),"",(P184-T184*1.4)/U184)</f>
        <v/>
      </c>
      <c r="G184" s="251">
        <f>IF(OR(AC184="",'09_CF_원금'!$B$108=0),"",AC184/'09_CF_원금'!$B$108)</f>
        <v/>
      </c>
      <c r="H184" s="250">
        <f>IF(OR(U184="",U184=0,AC184=""),"",AC184/U184)</f>
        <v/>
      </c>
      <c r="I184" s="250">
        <f>IF(OR(S184="",U184=""),"",S184/(U184+S184))</f>
        <v/>
      </c>
      <c r="J184" s="248">
        <f>IF(W184&lt;&gt;"",W184-X184,IF(AG184&lt;&gt;"",AG184,""))</f>
        <v/>
      </c>
      <c r="K184" s="248">
        <f>IF(Q184&lt;&gt;"",Q184-Y184,IF(AH184&lt;&gt;"",AH184,""))</f>
        <v/>
      </c>
      <c r="L184" s="248">
        <f>IF(R184&lt;&gt;"",R184-Z184,IF(AI184&lt;&gt;"",AI184,""))</f>
        <v/>
      </c>
      <c r="M184" s="252" t="n"/>
      <c r="N184" s="253" t="n"/>
      <c r="O184" s="254" t="n"/>
      <c r="P184" s="255" t="n"/>
      <c r="Q184" s="258">
        <f>IF($A184="","",IF(Q183="","",Q183))</f>
        <v/>
      </c>
      <c r="R184" s="258">
        <f>IF($A184="","",IF(R183="","",R183))</f>
        <v/>
      </c>
      <c r="S184" s="258">
        <f>IF($A184="","",IF(S183="","",S183))</f>
        <v/>
      </c>
      <c r="T184" s="249">
        <f>IF(OR(P184="",W184=""),"",P184-W184)</f>
        <v/>
      </c>
      <c r="U184" s="258">
        <f>IF($A184="","",IF(U183="","",U183))</f>
        <v/>
      </c>
      <c r="V184" s="249">
        <f>IF(P184="","",P184+IF(Q184="",0,Q184)+IF(R184="",0,R184))</f>
        <v/>
      </c>
      <c r="W184" s="255" t="n"/>
      <c r="X184" s="249">
        <f>SUMIFS('09_CF_원금'!$E$6:$E$92,'09_CF_원금'!$D$6:$D$92,"국장",'09_CF_원금'!$A$6:$A$92,"&lt;="&amp;$A184)-SUMIFS('09_CF_원금'!$E$6:$E$92,'09_CF_원금'!$C$6:$C$92,"국장",'09_CF_원금'!$A$6:$A$92,"&lt;="&amp;$A184)</f>
        <v/>
      </c>
      <c r="Y184" s="249">
        <f>SUMIFS('09_CF_원금'!$E$6:$E$92,'09_CF_원금'!$D$6:$D$92,"미장",'09_CF_원금'!$A$6:$A$92,"&lt;="&amp;$A184)-SUMIFS('09_CF_원금'!$E$6:$E$92,'09_CF_원금'!$C$6:$C$92,"미장",'09_CF_원금'!$A$6:$A$92,"&lt;="&amp;$A184)</f>
        <v/>
      </c>
      <c r="Z184" s="249">
        <f>SUMIFS('09_CF_원금'!$E$6:$E$92,'09_CF_원금'!$D$6:$D$92,"ISA",'09_CF_원금'!$A$6:$A$92,"&lt;="&amp;$A184)-SUMIFS('09_CF_원금'!$E$6:$E$92,'09_CF_원금'!$C$6:$C$92,"ISA",'09_CF_원금'!$A$6:$A$92,"&lt;="&amp;$A184)</f>
        <v/>
      </c>
      <c r="AA184" s="249">
        <f>IF($A184="","",X184+Y184+Z184+SUMIFS('09_CF_원금'!$E$6:$E$92,'09_CF_원금'!$D$6:$D$92,"중국",'09_CF_원금'!$A$6:$A$92,"&lt;="&amp;$A184)-SUMIFS('09_CF_원금'!$E$6:$E$92,'09_CF_원금'!$C$6:$C$92,"중국",'09_CF_원금'!$A$6:$A$92,"&lt;="&amp;$A184)+SUMIFS('09_CF_원금'!$E$6:$E$92,'09_CF_원금'!$D$6:$D$92,"업비트",'09_CF_원금'!$A$6:$A$92,"&lt;="&amp;$A184)-SUMIFS('09_CF_원금'!$E$6:$E$92,'09_CF_원금'!$C$6:$C$92,"업비트",'09_CF_원금'!$A$6:$A$92,"&lt;="&amp;$A184))</f>
        <v/>
      </c>
      <c r="AB184" s="249">
        <f>IF(OR(U184="",V184=""),"",U184-(V184-IF(S184="",0,S184)))</f>
        <v/>
      </c>
      <c r="AC184" s="249">
        <f>IF(AB184="","",T184+AB184)</f>
        <v/>
      </c>
      <c r="AD184" s="249">
        <f>IF(B184="","",MAX($B$5:B184))</f>
        <v/>
      </c>
      <c r="AE184" s="256" t="n"/>
      <c r="AF184" s="255" t="n"/>
      <c r="AG184" s="255" t="n"/>
      <c r="AH184" s="255" t="n"/>
      <c r="AI184" s="255" t="n"/>
      <c r="AJ184" s="257">
        <f>IF($A184="","",YEAR($A184)*100+MONTH($A184))</f>
        <v/>
      </c>
      <c r="AK184" s="257">
        <f>IF($A184="","",IF($N184="",0,1))</f>
        <v/>
      </c>
    </row>
    <row r="185">
      <c r="A185" s="247" t="n">
        <v>46260</v>
      </c>
      <c r="B185" s="248">
        <f>IF(V185&lt;&gt;"",V185-T185,IF(AF185&lt;&gt;"",AA185+AF185,""))</f>
        <v/>
      </c>
      <c r="C185" s="249">
        <f>IF(OR(B185="",B184=""),"",B185-B184)</f>
        <v/>
      </c>
      <c r="D185" s="248">
        <f>IF(OR(B185="",AA185=""),"",B185-AA185)</f>
        <v/>
      </c>
      <c r="E185" s="250">
        <f>IF(OR(B185="",AD185=0),"",MIN(0,B185/AD185-1))</f>
        <v/>
      </c>
      <c r="F185" s="250">
        <f>IF(OR(U185="",T185=0,T185=""),"",(P185-T185*1.4)/U185)</f>
        <v/>
      </c>
      <c r="G185" s="251">
        <f>IF(OR(AC185="",'09_CF_원금'!$B$108=0),"",AC185/'09_CF_원금'!$B$108)</f>
        <v/>
      </c>
      <c r="H185" s="250">
        <f>IF(OR(U185="",U185=0,AC185=""),"",AC185/U185)</f>
        <v/>
      </c>
      <c r="I185" s="250">
        <f>IF(OR(S185="",U185=""),"",S185/(U185+S185))</f>
        <v/>
      </c>
      <c r="J185" s="248">
        <f>IF(W185&lt;&gt;"",W185-X185,IF(AG185&lt;&gt;"",AG185,""))</f>
        <v/>
      </c>
      <c r="K185" s="248">
        <f>IF(Q185&lt;&gt;"",Q185-Y185,IF(AH185&lt;&gt;"",AH185,""))</f>
        <v/>
      </c>
      <c r="L185" s="248">
        <f>IF(R185&lt;&gt;"",R185-Z185,IF(AI185&lt;&gt;"",AI185,""))</f>
        <v/>
      </c>
      <c r="M185" s="252" t="n"/>
      <c r="N185" s="253" t="n"/>
      <c r="O185" s="254" t="n"/>
      <c r="P185" s="255" t="n"/>
      <c r="Q185" s="258">
        <f>IF($A185="","",IF(Q184="","",Q184))</f>
        <v/>
      </c>
      <c r="R185" s="258">
        <f>IF($A185="","",IF(R184="","",R184))</f>
        <v/>
      </c>
      <c r="S185" s="258">
        <f>IF($A185="","",IF(S184="","",S184))</f>
        <v/>
      </c>
      <c r="T185" s="249">
        <f>IF(OR(P185="",W185=""),"",P185-W185)</f>
        <v/>
      </c>
      <c r="U185" s="258">
        <f>IF($A185="","",IF(U184="","",U184))</f>
        <v/>
      </c>
      <c r="V185" s="249">
        <f>IF(P185="","",P185+IF(Q185="",0,Q185)+IF(R185="",0,R185))</f>
        <v/>
      </c>
      <c r="W185" s="255" t="n"/>
      <c r="X185" s="249">
        <f>SUMIFS('09_CF_원금'!$E$6:$E$92,'09_CF_원금'!$D$6:$D$92,"국장",'09_CF_원금'!$A$6:$A$92,"&lt;="&amp;$A185)-SUMIFS('09_CF_원금'!$E$6:$E$92,'09_CF_원금'!$C$6:$C$92,"국장",'09_CF_원금'!$A$6:$A$92,"&lt;="&amp;$A185)</f>
        <v/>
      </c>
      <c r="Y185" s="249">
        <f>SUMIFS('09_CF_원금'!$E$6:$E$92,'09_CF_원금'!$D$6:$D$92,"미장",'09_CF_원금'!$A$6:$A$92,"&lt;="&amp;$A185)-SUMIFS('09_CF_원금'!$E$6:$E$92,'09_CF_원금'!$C$6:$C$92,"미장",'09_CF_원금'!$A$6:$A$92,"&lt;="&amp;$A185)</f>
        <v/>
      </c>
      <c r="Z185" s="249">
        <f>SUMIFS('09_CF_원금'!$E$6:$E$92,'09_CF_원금'!$D$6:$D$92,"ISA",'09_CF_원금'!$A$6:$A$92,"&lt;="&amp;$A185)-SUMIFS('09_CF_원금'!$E$6:$E$92,'09_CF_원금'!$C$6:$C$92,"ISA",'09_CF_원금'!$A$6:$A$92,"&lt;="&amp;$A185)</f>
        <v/>
      </c>
      <c r="AA185" s="249">
        <f>IF($A185="","",X185+Y185+Z185+SUMIFS('09_CF_원금'!$E$6:$E$92,'09_CF_원금'!$D$6:$D$92,"중국",'09_CF_원금'!$A$6:$A$92,"&lt;="&amp;$A185)-SUMIFS('09_CF_원금'!$E$6:$E$92,'09_CF_원금'!$C$6:$C$92,"중국",'09_CF_원금'!$A$6:$A$92,"&lt;="&amp;$A185)+SUMIFS('09_CF_원금'!$E$6:$E$92,'09_CF_원금'!$D$6:$D$92,"업비트",'09_CF_원금'!$A$6:$A$92,"&lt;="&amp;$A185)-SUMIFS('09_CF_원금'!$E$6:$E$92,'09_CF_원금'!$C$6:$C$92,"업비트",'09_CF_원금'!$A$6:$A$92,"&lt;="&amp;$A185))</f>
        <v/>
      </c>
      <c r="AB185" s="249">
        <f>IF(OR(U185="",V185=""),"",U185-(V185-IF(S185="",0,S185)))</f>
        <v/>
      </c>
      <c r="AC185" s="249">
        <f>IF(AB185="","",T185+AB185)</f>
        <v/>
      </c>
      <c r="AD185" s="249">
        <f>IF(B185="","",MAX($B$5:B185))</f>
        <v/>
      </c>
      <c r="AE185" s="256" t="n"/>
      <c r="AF185" s="255" t="n"/>
      <c r="AG185" s="255" t="n"/>
      <c r="AH185" s="255" t="n"/>
      <c r="AI185" s="255" t="n"/>
      <c r="AJ185" s="257">
        <f>IF($A185="","",YEAR($A185)*100+MONTH($A185))</f>
        <v/>
      </c>
      <c r="AK185" s="257">
        <f>IF($A185="","",IF($N185="",0,1))</f>
        <v/>
      </c>
    </row>
    <row r="186">
      <c r="A186" s="247" t="n">
        <v>46261</v>
      </c>
      <c r="B186" s="248">
        <f>IF(V186&lt;&gt;"",V186-T186,IF(AF186&lt;&gt;"",AA186+AF186,""))</f>
        <v/>
      </c>
      <c r="C186" s="249">
        <f>IF(OR(B186="",B185=""),"",B186-B185)</f>
        <v/>
      </c>
      <c r="D186" s="248">
        <f>IF(OR(B186="",AA186=""),"",B186-AA186)</f>
        <v/>
      </c>
      <c r="E186" s="250">
        <f>IF(OR(B186="",AD186=0),"",MIN(0,B186/AD186-1))</f>
        <v/>
      </c>
      <c r="F186" s="250">
        <f>IF(OR(U186="",T186=0,T186=""),"",(P186-T186*1.4)/U186)</f>
        <v/>
      </c>
      <c r="G186" s="251">
        <f>IF(OR(AC186="",'09_CF_원금'!$B$108=0),"",AC186/'09_CF_원금'!$B$108)</f>
        <v/>
      </c>
      <c r="H186" s="250">
        <f>IF(OR(U186="",U186=0,AC186=""),"",AC186/U186)</f>
        <v/>
      </c>
      <c r="I186" s="250">
        <f>IF(OR(S186="",U186=""),"",S186/(U186+S186))</f>
        <v/>
      </c>
      <c r="J186" s="248">
        <f>IF(W186&lt;&gt;"",W186-X186,IF(AG186&lt;&gt;"",AG186,""))</f>
        <v/>
      </c>
      <c r="K186" s="248">
        <f>IF(Q186&lt;&gt;"",Q186-Y186,IF(AH186&lt;&gt;"",AH186,""))</f>
        <v/>
      </c>
      <c r="L186" s="248">
        <f>IF(R186&lt;&gt;"",R186-Z186,IF(AI186&lt;&gt;"",AI186,""))</f>
        <v/>
      </c>
      <c r="M186" s="252" t="n"/>
      <c r="N186" s="253" t="n"/>
      <c r="O186" s="254" t="n"/>
      <c r="P186" s="255" t="n"/>
      <c r="Q186" s="258">
        <f>IF($A186="","",IF(Q185="","",Q185))</f>
        <v/>
      </c>
      <c r="R186" s="258">
        <f>IF($A186="","",IF(R185="","",R185))</f>
        <v/>
      </c>
      <c r="S186" s="258">
        <f>IF($A186="","",IF(S185="","",S185))</f>
        <v/>
      </c>
      <c r="T186" s="249">
        <f>IF(OR(P186="",W186=""),"",P186-W186)</f>
        <v/>
      </c>
      <c r="U186" s="258">
        <f>IF($A186="","",IF(U185="","",U185))</f>
        <v/>
      </c>
      <c r="V186" s="249">
        <f>IF(P186="","",P186+IF(Q186="",0,Q186)+IF(R186="",0,R186))</f>
        <v/>
      </c>
      <c r="W186" s="255" t="n"/>
      <c r="X186" s="249">
        <f>SUMIFS('09_CF_원금'!$E$6:$E$92,'09_CF_원금'!$D$6:$D$92,"국장",'09_CF_원금'!$A$6:$A$92,"&lt;="&amp;$A186)-SUMIFS('09_CF_원금'!$E$6:$E$92,'09_CF_원금'!$C$6:$C$92,"국장",'09_CF_원금'!$A$6:$A$92,"&lt;="&amp;$A186)</f>
        <v/>
      </c>
      <c r="Y186" s="249">
        <f>SUMIFS('09_CF_원금'!$E$6:$E$92,'09_CF_원금'!$D$6:$D$92,"미장",'09_CF_원금'!$A$6:$A$92,"&lt;="&amp;$A186)-SUMIFS('09_CF_원금'!$E$6:$E$92,'09_CF_원금'!$C$6:$C$92,"미장",'09_CF_원금'!$A$6:$A$92,"&lt;="&amp;$A186)</f>
        <v/>
      </c>
      <c r="Z186" s="249">
        <f>SUMIFS('09_CF_원금'!$E$6:$E$92,'09_CF_원금'!$D$6:$D$92,"ISA",'09_CF_원금'!$A$6:$A$92,"&lt;="&amp;$A186)-SUMIFS('09_CF_원금'!$E$6:$E$92,'09_CF_원금'!$C$6:$C$92,"ISA",'09_CF_원금'!$A$6:$A$92,"&lt;="&amp;$A186)</f>
        <v/>
      </c>
      <c r="AA186" s="249">
        <f>IF($A186="","",X186+Y186+Z186+SUMIFS('09_CF_원금'!$E$6:$E$92,'09_CF_원금'!$D$6:$D$92,"중국",'09_CF_원금'!$A$6:$A$92,"&lt;="&amp;$A186)-SUMIFS('09_CF_원금'!$E$6:$E$92,'09_CF_원금'!$C$6:$C$92,"중국",'09_CF_원금'!$A$6:$A$92,"&lt;="&amp;$A186)+SUMIFS('09_CF_원금'!$E$6:$E$92,'09_CF_원금'!$D$6:$D$92,"업비트",'09_CF_원금'!$A$6:$A$92,"&lt;="&amp;$A186)-SUMIFS('09_CF_원금'!$E$6:$E$92,'09_CF_원금'!$C$6:$C$92,"업비트",'09_CF_원금'!$A$6:$A$92,"&lt;="&amp;$A186))</f>
        <v/>
      </c>
      <c r="AB186" s="249">
        <f>IF(OR(U186="",V186=""),"",U186-(V186-IF(S186="",0,S186)))</f>
        <v/>
      </c>
      <c r="AC186" s="249">
        <f>IF(AB186="","",T186+AB186)</f>
        <v/>
      </c>
      <c r="AD186" s="249">
        <f>IF(B186="","",MAX($B$5:B186))</f>
        <v/>
      </c>
      <c r="AE186" s="256" t="n"/>
      <c r="AF186" s="255" t="n"/>
      <c r="AG186" s="255" t="n"/>
      <c r="AH186" s="255" t="n"/>
      <c r="AI186" s="255" t="n"/>
      <c r="AJ186" s="257">
        <f>IF($A186="","",YEAR($A186)*100+MONTH($A186))</f>
        <v/>
      </c>
      <c r="AK186" s="257">
        <f>IF($A186="","",IF($N186="",0,1))</f>
        <v/>
      </c>
    </row>
    <row r="187">
      <c r="A187" s="247" t="n">
        <v>46262</v>
      </c>
      <c r="B187" s="248">
        <f>IF(V187&lt;&gt;"",V187-T187,IF(AF187&lt;&gt;"",AA187+AF187,""))</f>
        <v/>
      </c>
      <c r="C187" s="249">
        <f>IF(OR(B187="",B186=""),"",B187-B186)</f>
        <v/>
      </c>
      <c r="D187" s="248">
        <f>IF(OR(B187="",AA187=""),"",B187-AA187)</f>
        <v/>
      </c>
      <c r="E187" s="250">
        <f>IF(OR(B187="",AD187=0),"",MIN(0,B187/AD187-1))</f>
        <v/>
      </c>
      <c r="F187" s="250">
        <f>IF(OR(U187="",T187=0,T187=""),"",(P187-T187*1.4)/U187)</f>
        <v/>
      </c>
      <c r="G187" s="251">
        <f>IF(OR(AC187="",'09_CF_원금'!$B$108=0),"",AC187/'09_CF_원금'!$B$108)</f>
        <v/>
      </c>
      <c r="H187" s="250">
        <f>IF(OR(U187="",U187=0,AC187=""),"",AC187/U187)</f>
        <v/>
      </c>
      <c r="I187" s="250">
        <f>IF(OR(S187="",U187=""),"",S187/(U187+S187))</f>
        <v/>
      </c>
      <c r="J187" s="248">
        <f>IF(W187&lt;&gt;"",W187-X187,IF(AG187&lt;&gt;"",AG187,""))</f>
        <v/>
      </c>
      <c r="K187" s="248">
        <f>IF(Q187&lt;&gt;"",Q187-Y187,IF(AH187&lt;&gt;"",AH187,""))</f>
        <v/>
      </c>
      <c r="L187" s="248">
        <f>IF(R187&lt;&gt;"",R187-Z187,IF(AI187&lt;&gt;"",AI187,""))</f>
        <v/>
      </c>
      <c r="M187" s="252" t="n"/>
      <c r="N187" s="253" t="n"/>
      <c r="O187" s="254" t="n"/>
      <c r="P187" s="255" t="n"/>
      <c r="Q187" s="258">
        <f>IF($A187="","",IF(Q186="","",Q186))</f>
        <v/>
      </c>
      <c r="R187" s="258">
        <f>IF($A187="","",IF(R186="","",R186))</f>
        <v/>
      </c>
      <c r="S187" s="258">
        <f>IF($A187="","",IF(S186="","",S186))</f>
        <v/>
      </c>
      <c r="T187" s="249">
        <f>IF(OR(P187="",W187=""),"",P187-W187)</f>
        <v/>
      </c>
      <c r="U187" s="258">
        <f>IF($A187="","",IF(U186="","",U186))</f>
        <v/>
      </c>
      <c r="V187" s="249">
        <f>IF(P187="","",P187+IF(Q187="",0,Q187)+IF(R187="",0,R187))</f>
        <v/>
      </c>
      <c r="W187" s="255" t="n"/>
      <c r="X187" s="249">
        <f>SUMIFS('09_CF_원금'!$E$6:$E$92,'09_CF_원금'!$D$6:$D$92,"국장",'09_CF_원금'!$A$6:$A$92,"&lt;="&amp;$A187)-SUMIFS('09_CF_원금'!$E$6:$E$92,'09_CF_원금'!$C$6:$C$92,"국장",'09_CF_원금'!$A$6:$A$92,"&lt;="&amp;$A187)</f>
        <v/>
      </c>
      <c r="Y187" s="249">
        <f>SUMIFS('09_CF_원금'!$E$6:$E$92,'09_CF_원금'!$D$6:$D$92,"미장",'09_CF_원금'!$A$6:$A$92,"&lt;="&amp;$A187)-SUMIFS('09_CF_원금'!$E$6:$E$92,'09_CF_원금'!$C$6:$C$92,"미장",'09_CF_원금'!$A$6:$A$92,"&lt;="&amp;$A187)</f>
        <v/>
      </c>
      <c r="Z187" s="249">
        <f>SUMIFS('09_CF_원금'!$E$6:$E$92,'09_CF_원금'!$D$6:$D$92,"ISA",'09_CF_원금'!$A$6:$A$92,"&lt;="&amp;$A187)-SUMIFS('09_CF_원금'!$E$6:$E$92,'09_CF_원금'!$C$6:$C$92,"ISA",'09_CF_원금'!$A$6:$A$92,"&lt;="&amp;$A187)</f>
        <v/>
      </c>
      <c r="AA187" s="249">
        <f>IF($A187="","",X187+Y187+Z187+SUMIFS('09_CF_원금'!$E$6:$E$92,'09_CF_원금'!$D$6:$D$92,"중국",'09_CF_원금'!$A$6:$A$92,"&lt;="&amp;$A187)-SUMIFS('09_CF_원금'!$E$6:$E$92,'09_CF_원금'!$C$6:$C$92,"중국",'09_CF_원금'!$A$6:$A$92,"&lt;="&amp;$A187)+SUMIFS('09_CF_원금'!$E$6:$E$92,'09_CF_원금'!$D$6:$D$92,"업비트",'09_CF_원금'!$A$6:$A$92,"&lt;="&amp;$A187)-SUMIFS('09_CF_원금'!$E$6:$E$92,'09_CF_원금'!$C$6:$C$92,"업비트",'09_CF_원금'!$A$6:$A$92,"&lt;="&amp;$A187))</f>
        <v/>
      </c>
      <c r="AB187" s="249">
        <f>IF(OR(U187="",V187=""),"",U187-(V187-IF(S187="",0,S187)))</f>
        <v/>
      </c>
      <c r="AC187" s="249">
        <f>IF(AB187="","",T187+AB187)</f>
        <v/>
      </c>
      <c r="AD187" s="249">
        <f>IF(B187="","",MAX($B$5:B187))</f>
        <v/>
      </c>
      <c r="AE187" s="256" t="n"/>
      <c r="AF187" s="255" t="n"/>
      <c r="AG187" s="255" t="n"/>
      <c r="AH187" s="255" t="n"/>
      <c r="AI187" s="255" t="n"/>
      <c r="AJ187" s="257">
        <f>IF($A187="","",YEAR($A187)*100+MONTH($A187))</f>
        <v/>
      </c>
      <c r="AK187" s="257">
        <f>IF($A187="","",IF($N187="",0,1))</f>
        <v/>
      </c>
    </row>
    <row r="188">
      <c r="A188" s="247" t="n">
        <v>46265</v>
      </c>
      <c r="B188" s="248">
        <f>IF(V188&lt;&gt;"",V188-T188,IF(AF188&lt;&gt;"",AA188+AF188,""))</f>
        <v/>
      </c>
      <c r="C188" s="249">
        <f>IF(OR(B188="",B187=""),"",B188-B187)</f>
        <v/>
      </c>
      <c r="D188" s="248">
        <f>IF(OR(B188="",AA188=""),"",B188-AA188)</f>
        <v/>
      </c>
      <c r="E188" s="250">
        <f>IF(OR(B188="",AD188=0),"",MIN(0,B188/AD188-1))</f>
        <v/>
      </c>
      <c r="F188" s="250">
        <f>IF(OR(U188="",T188=0,T188=""),"",(P188-T188*1.4)/U188)</f>
        <v/>
      </c>
      <c r="G188" s="251">
        <f>IF(OR(AC188="",'09_CF_원금'!$B$108=0),"",AC188/'09_CF_원금'!$B$108)</f>
        <v/>
      </c>
      <c r="H188" s="250">
        <f>IF(OR(U188="",U188=0,AC188=""),"",AC188/U188)</f>
        <v/>
      </c>
      <c r="I188" s="250">
        <f>IF(OR(S188="",U188=""),"",S188/(U188+S188))</f>
        <v/>
      </c>
      <c r="J188" s="248">
        <f>IF(W188&lt;&gt;"",W188-X188,IF(AG188&lt;&gt;"",AG188,""))</f>
        <v/>
      </c>
      <c r="K188" s="248">
        <f>IF(Q188&lt;&gt;"",Q188-Y188,IF(AH188&lt;&gt;"",AH188,""))</f>
        <v/>
      </c>
      <c r="L188" s="248">
        <f>IF(R188&lt;&gt;"",R188-Z188,IF(AI188&lt;&gt;"",AI188,""))</f>
        <v/>
      </c>
      <c r="M188" s="252" t="n"/>
      <c r="N188" s="253" t="n"/>
      <c r="O188" s="254" t="n"/>
      <c r="P188" s="255" t="n"/>
      <c r="Q188" s="258">
        <f>IF($A188="","",IF(Q187="","",Q187))</f>
        <v/>
      </c>
      <c r="R188" s="258">
        <f>IF($A188="","",IF(R187="","",R187))</f>
        <v/>
      </c>
      <c r="S188" s="258">
        <f>IF($A188="","",IF(S187="","",S187))</f>
        <v/>
      </c>
      <c r="T188" s="249">
        <f>IF(OR(P188="",W188=""),"",P188-W188)</f>
        <v/>
      </c>
      <c r="U188" s="258">
        <f>IF($A188="","",IF(U187="","",U187))</f>
        <v/>
      </c>
      <c r="V188" s="249">
        <f>IF(P188="","",P188+IF(Q188="",0,Q188)+IF(R188="",0,R188))</f>
        <v/>
      </c>
      <c r="W188" s="255" t="n"/>
      <c r="X188" s="249">
        <f>SUMIFS('09_CF_원금'!$E$6:$E$92,'09_CF_원금'!$D$6:$D$92,"국장",'09_CF_원금'!$A$6:$A$92,"&lt;="&amp;$A188)-SUMIFS('09_CF_원금'!$E$6:$E$92,'09_CF_원금'!$C$6:$C$92,"국장",'09_CF_원금'!$A$6:$A$92,"&lt;="&amp;$A188)</f>
        <v/>
      </c>
      <c r="Y188" s="249">
        <f>SUMIFS('09_CF_원금'!$E$6:$E$92,'09_CF_원금'!$D$6:$D$92,"미장",'09_CF_원금'!$A$6:$A$92,"&lt;="&amp;$A188)-SUMIFS('09_CF_원금'!$E$6:$E$92,'09_CF_원금'!$C$6:$C$92,"미장",'09_CF_원금'!$A$6:$A$92,"&lt;="&amp;$A188)</f>
        <v/>
      </c>
      <c r="Z188" s="249">
        <f>SUMIFS('09_CF_원금'!$E$6:$E$92,'09_CF_원금'!$D$6:$D$92,"ISA",'09_CF_원금'!$A$6:$A$92,"&lt;="&amp;$A188)-SUMIFS('09_CF_원금'!$E$6:$E$92,'09_CF_원금'!$C$6:$C$92,"ISA",'09_CF_원금'!$A$6:$A$92,"&lt;="&amp;$A188)</f>
        <v/>
      </c>
      <c r="AA188" s="249">
        <f>IF($A188="","",X188+Y188+Z188+SUMIFS('09_CF_원금'!$E$6:$E$92,'09_CF_원금'!$D$6:$D$92,"중국",'09_CF_원금'!$A$6:$A$92,"&lt;="&amp;$A188)-SUMIFS('09_CF_원금'!$E$6:$E$92,'09_CF_원금'!$C$6:$C$92,"중국",'09_CF_원금'!$A$6:$A$92,"&lt;="&amp;$A188)+SUMIFS('09_CF_원금'!$E$6:$E$92,'09_CF_원금'!$D$6:$D$92,"업비트",'09_CF_원금'!$A$6:$A$92,"&lt;="&amp;$A188)-SUMIFS('09_CF_원금'!$E$6:$E$92,'09_CF_원금'!$C$6:$C$92,"업비트",'09_CF_원금'!$A$6:$A$92,"&lt;="&amp;$A188))</f>
        <v/>
      </c>
      <c r="AB188" s="249">
        <f>IF(OR(U188="",V188=""),"",U188-(V188-IF(S188="",0,S188)))</f>
        <v/>
      </c>
      <c r="AC188" s="249">
        <f>IF(AB188="","",T188+AB188)</f>
        <v/>
      </c>
      <c r="AD188" s="249">
        <f>IF(B188="","",MAX($B$5:B188))</f>
        <v/>
      </c>
      <c r="AE188" s="256" t="n"/>
      <c r="AF188" s="255" t="n"/>
      <c r="AG188" s="255" t="n"/>
      <c r="AH188" s="255" t="n"/>
      <c r="AI188" s="255" t="n"/>
      <c r="AJ188" s="257">
        <f>IF($A188="","",YEAR($A188)*100+MONTH($A188))</f>
        <v/>
      </c>
      <c r="AK188" s="257">
        <f>IF($A188="","",IF($N188="",0,1))</f>
        <v/>
      </c>
    </row>
    <row r="189">
      <c r="A189" s="247" t="n">
        <v>46266</v>
      </c>
      <c r="B189" s="248">
        <f>IF(V189&lt;&gt;"",V189-T189,IF(AF189&lt;&gt;"",AA189+AF189,""))</f>
        <v/>
      </c>
      <c r="C189" s="249">
        <f>IF(OR(B189="",B188=""),"",B189-B188)</f>
        <v/>
      </c>
      <c r="D189" s="248">
        <f>IF(OR(B189="",AA189=""),"",B189-AA189)</f>
        <v/>
      </c>
      <c r="E189" s="250">
        <f>IF(OR(B189="",AD189=0),"",MIN(0,B189/AD189-1))</f>
        <v/>
      </c>
      <c r="F189" s="250">
        <f>IF(OR(U189="",T189=0,T189=""),"",(P189-T189*1.4)/U189)</f>
        <v/>
      </c>
      <c r="G189" s="251">
        <f>IF(OR(AC189="",'09_CF_원금'!$B$108=0),"",AC189/'09_CF_원금'!$B$108)</f>
        <v/>
      </c>
      <c r="H189" s="250">
        <f>IF(OR(U189="",U189=0,AC189=""),"",AC189/U189)</f>
        <v/>
      </c>
      <c r="I189" s="250">
        <f>IF(OR(S189="",U189=""),"",S189/(U189+S189))</f>
        <v/>
      </c>
      <c r="J189" s="248">
        <f>IF(W189&lt;&gt;"",W189-X189,IF(AG189&lt;&gt;"",AG189,""))</f>
        <v/>
      </c>
      <c r="K189" s="248">
        <f>IF(Q189&lt;&gt;"",Q189-Y189,IF(AH189&lt;&gt;"",AH189,""))</f>
        <v/>
      </c>
      <c r="L189" s="248">
        <f>IF(R189&lt;&gt;"",R189-Z189,IF(AI189&lt;&gt;"",AI189,""))</f>
        <v/>
      </c>
      <c r="M189" s="252" t="n"/>
      <c r="N189" s="253" t="n"/>
      <c r="O189" s="254" t="n"/>
      <c r="P189" s="255" t="n"/>
      <c r="Q189" s="258">
        <f>IF($A189="","",IF(Q188="","",Q188))</f>
        <v/>
      </c>
      <c r="R189" s="258">
        <f>IF($A189="","",IF(R188="","",R188))</f>
        <v/>
      </c>
      <c r="S189" s="258">
        <f>IF($A189="","",IF(S188="","",S188))</f>
        <v/>
      </c>
      <c r="T189" s="249">
        <f>IF(OR(P189="",W189=""),"",P189-W189)</f>
        <v/>
      </c>
      <c r="U189" s="258">
        <f>IF($A189="","",IF(U188="","",U188))</f>
        <v/>
      </c>
      <c r="V189" s="249">
        <f>IF(P189="","",P189+IF(Q189="",0,Q189)+IF(R189="",0,R189))</f>
        <v/>
      </c>
      <c r="W189" s="255" t="n"/>
      <c r="X189" s="249">
        <f>SUMIFS('09_CF_원금'!$E$6:$E$92,'09_CF_원금'!$D$6:$D$92,"국장",'09_CF_원금'!$A$6:$A$92,"&lt;="&amp;$A189)-SUMIFS('09_CF_원금'!$E$6:$E$92,'09_CF_원금'!$C$6:$C$92,"국장",'09_CF_원금'!$A$6:$A$92,"&lt;="&amp;$A189)</f>
        <v/>
      </c>
      <c r="Y189" s="249">
        <f>SUMIFS('09_CF_원금'!$E$6:$E$92,'09_CF_원금'!$D$6:$D$92,"미장",'09_CF_원금'!$A$6:$A$92,"&lt;="&amp;$A189)-SUMIFS('09_CF_원금'!$E$6:$E$92,'09_CF_원금'!$C$6:$C$92,"미장",'09_CF_원금'!$A$6:$A$92,"&lt;="&amp;$A189)</f>
        <v/>
      </c>
      <c r="Z189" s="249">
        <f>SUMIFS('09_CF_원금'!$E$6:$E$92,'09_CF_원금'!$D$6:$D$92,"ISA",'09_CF_원금'!$A$6:$A$92,"&lt;="&amp;$A189)-SUMIFS('09_CF_원금'!$E$6:$E$92,'09_CF_원금'!$C$6:$C$92,"ISA",'09_CF_원금'!$A$6:$A$92,"&lt;="&amp;$A189)</f>
        <v/>
      </c>
      <c r="AA189" s="249">
        <f>IF($A189="","",X189+Y189+Z189+SUMIFS('09_CF_원금'!$E$6:$E$92,'09_CF_원금'!$D$6:$D$92,"중국",'09_CF_원금'!$A$6:$A$92,"&lt;="&amp;$A189)-SUMIFS('09_CF_원금'!$E$6:$E$92,'09_CF_원금'!$C$6:$C$92,"중국",'09_CF_원금'!$A$6:$A$92,"&lt;="&amp;$A189)+SUMIFS('09_CF_원금'!$E$6:$E$92,'09_CF_원금'!$D$6:$D$92,"업비트",'09_CF_원금'!$A$6:$A$92,"&lt;="&amp;$A189)-SUMIFS('09_CF_원금'!$E$6:$E$92,'09_CF_원금'!$C$6:$C$92,"업비트",'09_CF_원금'!$A$6:$A$92,"&lt;="&amp;$A189))</f>
        <v/>
      </c>
      <c r="AB189" s="249">
        <f>IF(OR(U189="",V189=""),"",U189-(V189-IF(S189="",0,S189)))</f>
        <v/>
      </c>
      <c r="AC189" s="249">
        <f>IF(AB189="","",T189+AB189)</f>
        <v/>
      </c>
      <c r="AD189" s="249">
        <f>IF(B189="","",MAX($B$5:B189))</f>
        <v/>
      </c>
      <c r="AE189" s="256" t="n"/>
      <c r="AF189" s="255" t="n"/>
      <c r="AG189" s="255" t="n"/>
      <c r="AH189" s="255" t="n"/>
      <c r="AI189" s="255" t="n"/>
      <c r="AJ189" s="257">
        <f>IF($A189="","",YEAR($A189)*100+MONTH($A189))</f>
        <v/>
      </c>
      <c r="AK189" s="257">
        <f>IF($A189="","",IF($N189="",0,1))</f>
        <v/>
      </c>
    </row>
    <row r="190">
      <c r="A190" s="247" t="n">
        <v>46267</v>
      </c>
      <c r="B190" s="248">
        <f>IF(V190&lt;&gt;"",V190-T190,IF(AF190&lt;&gt;"",AA190+AF190,""))</f>
        <v/>
      </c>
      <c r="C190" s="249">
        <f>IF(OR(B190="",B189=""),"",B190-B189)</f>
        <v/>
      </c>
      <c r="D190" s="248">
        <f>IF(OR(B190="",AA190=""),"",B190-AA190)</f>
        <v/>
      </c>
      <c r="E190" s="250">
        <f>IF(OR(B190="",AD190=0),"",MIN(0,B190/AD190-1))</f>
        <v/>
      </c>
      <c r="F190" s="250">
        <f>IF(OR(U190="",T190=0,T190=""),"",(P190-T190*1.4)/U190)</f>
        <v/>
      </c>
      <c r="G190" s="251">
        <f>IF(OR(AC190="",'09_CF_원금'!$B$108=0),"",AC190/'09_CF_원금'!$B$108)</f>
        <v/>
      </c>
      <c r="H190" s="250">
        <f>IF(OR(U190="",U190=0,AC190=""),"",AC190/U190)</f>
        <v/>
      </c>
      <c r="I190" s="250">
        <f>IF(OR(S190="",U190=""),"",S190/(U190+S190))</f>
        <v/>
      </c>
      <c r="J190" s="248">
        <f>IF(W190&lt;&gt;"",W190-X190,IF(AG190&lt;&gt;"",AG190,""))</f>
        <v/>
      </c>
      <c r="K190" s="248">
        <f>IF(Q190&lt;&gt;"",Q190-Y190,IF(AH190&lt;&gt;"",AH190,""))</f>
        <v/>
      </c>
      <c r="L190" s="248">
        <f>IF(R190&lt;&gt;"",R190-Z190,IF(AI190&lt;&gt;"",AI190,""))</f>
        <v/>
      </c>
      <c r="M190" s="252" t="n"/>
      <c r="N190" s="253" t="n"/>
      <c r="O190" s="254" t="n"/>
      <c r="P190" s="255" t="n"/>
      <c r="Q190" s="258">
        <f>IF($A190="","",IF(Q189="","",Q189))</f>
        <v/>
      </c>
      <c r="R190" s="258">
        <f>IF($A190="","",IF(R189="","",R189))</f>
        <v/>
      </c>
      <c r="S190" s="258">
        <f>IF($A190="","",IF(S189="","",S189))</f>
        <v/>
      </c>
      <c r="T190" s="249">
        <f>IF(OR(P190="",W190=""),"",P190-W190)</f>
        <v/>
      </c>
      <c r="U190" s="258">
        <f>IF($A190="","",IF(U189="","",U189))</f>
        <v/>
      </c>
      <c r="V190" s="249">
        <f>IF(P190="","",P190+IF(Q190="",0,Q190)+IF(R190="",0,R190))</f>
        <v/>
      </c>
      <c r="W190" s="255" t="n"/>
      <c r="X190" s="249">
        <f>SUMIFS('09_CF_원금'!$E$6:$E$92,'09_CF_원금'!$D$6:$D$92,"국장",'09_CF_원금'!$A$6:$A$92,"&lt;="&amp;$A190)-SUMIFS('09_CF_원금'!$E$6:$E$92,'09_CF_원금'!$C$6:$C$92,"국장",'09_CF_원금'!$A$6:$A$92,"&lt;="&amp;$A190)</f>
        <v/>
      </c>
      <c r="Y190" s="249">
        <f>SUMIFS('09_CF_원금'!$E$6:$E$92,'09_CF_원금'!$D$6:$D$92,"미장",'09_CF_원금'!$A$6:$A$92,"&lt;="&amp;$A190)-SUMIFS('09_CF_원금'!$E$6:$E$92,'09_CF_원금'!$C$6:$C$92,"미장",'09_CF_원금'!$A$6:$A$92,"&lt;="&amp;$A190)</f>
        <v/>
      </c>
      <c r="Z190" s="249">
        <f>SUMIFS('09_CF_원금'!$E$6:$E$92,'09_CF_원금'!$D$6:$D$92,"ISA",'09_CF_원금'!$A$6:$A$92,"&lt;="&amp;$A190)-SUMIFS('09_CF_원금'!$E$6:$E$92,'09_CF_원금'!$C$6:$C$92,"ISA",'09_CF_원금'!$A$6:$A$92,"&lt;="&amp;$A190)</f>
        <v/>
      </c>
      <c r="AA190" s="249">
        <f>IF($A190="","",X190+Y190+Z190+SUMIFS('09_CF_원금'!$E$6:$E$92,'09_CF_원금'!$D$6:$D$92,"중국",'09_CF_원금'!$A$6:$A$92,"&lt;="&amp;$A190)-SUMIFS('09_CF_원금'!$E$6:$E$92,'09_CF_원금'!$C$6:$C$92,"중국",'09_CF_원금'!$A$6:$A$92,"&lt;="&amp;$A190)+SUMIFS('09_CF_원금'!$E$6:$E$92,'09_CF_원금'!$D$6:$D$92,"업비트",'09_CF_원금'!$A$6:$A$92,"&lt;="&amp;$A190)-SUMIFS('09_CF_원금'!$E$6:$E$92,'09_CF_원금'!$C$6:$C$92,"업비트",'09_CF_원금'!$A$6:$A$92,"&lt;="&amp;$A190))</f>
        <v/>
      </c>
      <c r="AB190" s="249">
        <f>IF(OR(U190="",V190=""),"",U190-(V190-IF(S190="",0,S190)))</f>
        <v/>
      </c>
      <c r="AC190" s="249">
        <f>IF(AB190="","",T190+AB190)</f>
        <v/>
      </c>
      <c r="AD190" s="249">
        <f>IF(B190="","",MAX($B$5:B190))</f>
        <v/>
      </c>
      <c r="AE190" s="256" t="n"/>
      <c r="AF190" s="255" t="n"/>
      <c r="AG190" s="255" t="n"/>
      <c r="AH190" s="255" t="n"/>
      <c r="AI190" s="255" t="n"/>
      <c r="AJ190" s="257">
        <f>IF($A190="","",YEAR($A190)*100+MONTH($A190))</f>
        <v/>
      </c>
      <c r="AK190" s="257">
        <f>IF($A190="","",IF($N190="",0,1))</f>
        <v/>
      </c>
    </row>
    <row r="191">
      <c r="A191" s="247" t="n">
        <v>46268</v>
      </c>
      <c r="B191" s="248">
        <f>IF(V191&lt;&gt;"",V191-T191,IF(AF191&lt;&gt;"",AA191+AF191,""))</f>
        <v/>
      </c>
      <c r="C191" s="249">
        <f>IF(OR(B191="",B190=""),"",B191-B190)</f>
        <v/>
      </c>
      <c r="D191" s="248">
        <f>IF(OR(B191="",AA191=""),"",B191-AA191)</f>
        <v/>
      </c>
      <c r="E191" s="250">
        <f>IF(OR(B191="",AD191=0),"",MIN(0,B191/AD191-1))</f>
        <v/>
      </c>
      <c r="F191" s="250">
        <f>IF(OR(U191="",T191=0,T191=""),"",(P191-T191*1.4)/U191)</f>
        <v/>
      </c>
      <c r="G191" s="251">
        <f>IF(OR(AC191="",'09_CF_원금'!$B$108=0),"",AC191/'09_CF_원금'!$B$108)</f>
        <v/>
      </c>
      <c r="H191" s="250">
        <f>IF(OR(U191="",U191=0,AC191=""),"",AC191/U191)</f>
        <v/>
      </c>
      <c r="I191" s="250">
        <f>IF(OR(S191="",U191=""),"",S191/(U191+S191))</f>
        <v/>
      </c>
      <c r="J191" s="248">
        <f>IF(W191&lt;&gt;"",W191-X191,IF(AG191&lt;&gt;"",AG191,""))</f>
        <v/>
      </c>
      <c r="K191" s="248">
        <f>IF(Q191&lt;&gt;"",Q191-Y191,IF(AH191&lt;&gt;"",AH191,""))</f>
        <v/>
      </c>
      <c r="L191" s="248">
        <f>IF(R191&lt;&gt;"",R191-Z191,IF(AI191&lt;&gt;"",AI191,""))</f>
        <v/>
      </c>
      <c r="M191" s="252" t="n"/>
      <c r="N191" s="253" t="n"/>
      <c r="O191" s="254" t="n"/>
      <c r="P191" s="255" t="n"/>
      <c r="Q191" s="258">
        <f>IF($A191="","",IF(Q190="","",Q190))</f>
        <v/>
      </c>
      <c r="R191" s="258">
        <f>IF($A191="","",IF(R190="","",R190))</f>
        <v/>
      </c>
      <c r="S191" s="258">
        <f>IF($A191="","",IF(S190="","",S190))</f>
        <v/>
      </c>
      <c r="T191" s="249">
        <f>IF(OR(P191="",W191=""),"",P191-W191)</f>
        <v/>
      </c>
      <c r="U191" s="258">
        <f>IF($A191="","",IF(U190="","",U190))</f>
        <v/>
      </c>
      <c r="V191" s="249">
        <f>IF(P191="","",P191+IF(Q191="",0,Q191)+IF(R191="",0,R191))</f>
        <v/>
      </c>
      <c r="W191" s="255" t="n"/>
      <c r="X191" s="249">
        <f>SUMIFS('09_CF_원금'!$E$6:$E$92,'09_CF_원금'!$D$6:$D$92,"국장",'09_CF_원금'!$A$6:$A$92,"&lt;="&amp;$A191)-SUMIFS('09_CF_원금'!$E$6:$E$92,'09_CF_원금'!$C$6:$C$92,"국장",'09_CF_원금'!$A$6:$A$92,"&lt;="&amp;$A191)</f>
        <v/>
      </c>
      <c r="Y191" s="249">
        <f>SUMIFS('09_CF_원금'!$E$6:$E$92,'09_CF_원금'!$D$6:$D$92,"미장",'09_CF_원금'!$A$6:$A$92,"&lt;="&amp;$A191)-SUMIFS('09_CF_원금'!$E$6:$E$92,'09_CF_원금'!$C$6:$C$92,"미장",'09_CF_원금'!$A$6:$A$92,"&lt;="&amp;$A191)</f>
        <v/>
      </c>
      <c r="Z191" s="249">
        <f>SUMIFS('09_CF_원금'!$E$6:$E$92,'09_CF_원금'!$D$6:$D$92,"ISA",'09_CF_원금'!$A$6:$A$92,"&lt;="&amp;$A191)-SUMIFS('09_CF_원금'!$E$6:$E$92,'09_CF_원금'!$C$6:$C$92,"ISA",'09_CF_원금'!$A$6:$A$92,"&lt;="&amp;$A191)</f>
        <v/>
      </c>
      <c r="AA191" s="249">
        <f>IF($A191="","",X191+Y191+Z191+SUMIFS('09_CF_원금'!$E$6:$E$92,'09_CF_원금'!$D$6:$D$92,"중국",'09_CF_원금'!$A$6:$A$92,"&lt;="&amp;$A191)-SUMIFS('09_CF_원금'!$E$6:$E$92,'09_CF_원금'!$C$6:$C$92,"중국",'09_CF_원금'!$A$6:$A$92,"&lt;="&amp;$A191)+SUMIFS('09_CF_원금'!$E$6:$E$92,'09_CF_원금'!$D$6:$D$92,"업비트",'09_CF_원금'!$A$6:$A$92,"&lt;="&amp;$A191)-SUMIFS('09_CF_원금'!$E$6:$E$92,'09_CF_원금'!$C$6:$C$92,"업비트",'09_CF_원금'!$A$6:$A$92,"&lt;="&amp;$A191))</f>
        <v/>
      </c>
      <c r="AB191" s="249">
        <f>IF(OR(U191="",V191=""),"",U191-(V191-IF(S191="",0,S191)))</f>
        <v/>
      </c>
      <c r="AC191" s="249">
        <f>IF(AB191="","",T191+AB191)</f>
        <v/>
      </c>
      <c r="AD191" s="249">
        <f>IF(B191="","",MAX($B$5:B191))</f>
        <v/>
      </c>
      <c r="AE191" s="256" t="n"/>
      <c r="AF191" s="255" t="n"/>
      <c r="AG191" s="255" t="n"/>
      <c r="AH191" s="255" t="n"/>
      <c r="AI191" s="255" t="n"/>
      <c r="AJ191" s="257">
        <f>IF($A191="","",YEAR($A191)*100+MONTH($A191))</f>
        <v/>
      </c>
      <c r="AK191" s="257">
        <f>IF($A191="","",IF($N191="",0,1))</f>
        <v/>
      </c>
    </row>
    <row r="192">
      <c r="A192" s="247" t="n">
        <v>46269</v>
      </c>
      <c r="B192" s="248">
        <f>IF(V192&lt;&gt;"",V192-T192,IF(AF192&lt;&gt;"",AA192+AF192,""))</f>
        <v/>
      </c>
      <c r="C192" s="249">
        <f>IF(OR(B192="",B191=""),"",B192-B191)</f>
        <v/>
      </c>
      <c r="D192" s="248">
        <f>IF(OR(B192="",AA192=""),"",B192-AA192)</f>
        <v/>
      </c>
      <c r="E192" s="250">
        <f>IF(OR(B192="",AD192=0),"",MIN(0,B192/AD192-1))</f>
        <v/>
      </c>
      <c r="F192" s="250">
        <f>IF(OR(U192="",T192=0,T192=""),"",(P192-T192*1.4)/U192)</f>
        <v/>
      </c>
      <c r="G192" s="251">
        <f>IF(OR(AC192="",'09_CF_원금'!$B$108=0),"",AC192/'09_CF_원금'!$B$108)</f>
        <v/>
      </c>
      <c r="H192" s="250">
        <f>IF(OR(U192="",U192=0,AC192=""),"",AC192/U192)</f>
        <v/>
      </c>
      <c r="I192" s="250">
        <f>IF(OR(S192="",U192=""),"",S192/(U192+S192))</f>
        <v/>
      </c>
      <c r="J192" s="248">
        <f>IF(W192&lt;&gt;"",W192-X192,IF(AG192&lt;&gt;"",AG192,""))</f>
        <v/>
      </c>
      <c r="K192" s="248">
        <f>IF(Q192&lt;&gt;"",Q192-Y192,IF(AH192&lt;&gt;"",AH192,""))</f>
        <v/>
      </c>
      <c r="L192" s="248">
        <f>IF(R192&lt;&gt;"",R192-Z192,IF(AI192&lt;&gt;"",AI192,""))</f>
        <v/>
      </c>
      <c r="M192" s="252" t="n"/>
      <c r="N192" s="253" t="n"/>
      <c r="O192" s="254" t="n"/>
      <c r="P192" s="255" t="n"/>
      <c r="Q192" s="258">
        <f>IF($A192="","",IF(Q191="","",Q191))</f>
        <v/>
      </c>
      <c r="R192" s="258">
        <f>IF($A192="","",IF(R191="","",R191))</f>
        <v/>
      </c>
      <c r="S192" s="258">
        <f>IF($A192="","",IF(S191="","",S191))</f>
        <v/>
      </c>
      <c r="T192" s="249">
        <f>IF(OR(P192="",W192=""),"",P192-W192)</f>
        <v/>
      </c>
      <c r="U192" s="258">
        <f>IF($A192="","",IF(U191="","",U191))</f>
        <v/>
      </c>
      <c r="V192" s="249">
        <f>IF(P192="","",P192+IF(Q192="",0,Q192)+IF(R192="",0,R192))</f>
        <v/>
      </c>
      <c r="W192" s="255" t="n"/>
      <c r="X192" s="249">
        <f>SUMIFS('09_CF_원금'!$E$6:$E$92,'09_CF_원금'!$D$6:$D$92,"국장",'09_CF_원금'!$A$6:$A$92,"&lt;="&amp;$A192)-SUMIFS('09_CF_원금'!$E$6:$E$92,'09_CF_원금'!$C$6:$C$92,"국장",'09_CF_원금'!$A$6:$A$92,"&lt;="&amp;$A192)</f>
        <v/>
      </c>
      <c r="Y192" s="249">
        <f>SUMIFS('09_CF_원금'!$E$6:$E$92,'09_CF_원금'!$D$6:$D$92,"미장",'09_CF_원금'!$A$6:$A$92,"&lt;="&amp;$A192)-SUMIFS('09_CF_원금'!$E$6:$E$92,'09_CF_원금'!$C$6:$C$92,"미장",'09_CF_원금'!$A$6:$A$92,"&lt;="&amp;$A192)</f>
        <v/>
      </c>
      <c r="Z192" s="249">
        <f>SUMIFS('09_CF_원금'!$E$6:$E$92,'09_CF_원금'!$D$6:$D$92,"ISA",'09_CF_원금'!$A$6:$A$92,"&lt;="&amp;$A192)-SUMIFS('09_CF_원금'!$E$6:$E$92,'09_CF_원금'!$C$6:$C$92,"ISA",'09_CF_원금'!$A$6:$A$92,"&lt;="&amp;$A192)</f>
        <v/>
      </c>
      <c r="AA192" s="249">
        <f>IF($A192="","",X192+Y192+Z192+SUMIFS('09_CF_원금'!$E$6:$E$92,'09_CF_원금'!$D$6:$D$92,"중국",'09_CF_원금'!$A$6:$A$92,"&lt;="&amp;$A192)-SUMIFS('09_CF_원금'!$E$6:$E$92,'09_CF_원금'!$C$6:$C$92,"중국",'09_CF_원금'!$A$6:$A$92,"&lt;="&amp;$A192)+SUMIFS('09_CF_원금'!$E$6:$E$92,'09_CF_원금'!$D$6:$D$92,"업비트",'09_CF_원금'!$A$6:$A$92,"&lt;="&amp;$A192)-SUMIFS('09_CF_원금'!$E$6:$E$92,'09_CF_원금'!$C$6:$C$92,"업비트",'09_CF_원금'!$A$6:$A$92,"&lt;="&amp;$A192))</f>
        <v/>
      </c>
      <c r="AB192" s="249">
        <f>IF(OR(U192="",V192=""),"",U192-(V192-IF(S192="",0,S192)))</f>
        <v/>
      </c>
      <c r="AC192" s="249">
        <f>IF(AB192="","",T192+AB192)</f>
        <v/>
      </c>
      <c r="AD192" s="249">
        <f>IF(B192="","",MAX($B$5:B192))</f>
        <v/>
      </c>
      <c r="AE192" s="256" t="n"/>
      <c r="AF192" s="255" t="n"/>
      <c r="AG192" s="255" t="n"/>
      <c r="AH192" s="255" t="n"/>
      <c r="AI192" s="255" t="n"/>
      <c r="AJ192" s="257">
        <f>IF($A192="","",YEAR($A192)*100+MONTH($A192))</f>
        <v/>
      </c>
      <c r="AK192" s="257">
        <f>IF($A192="","",IF($N192="",0,1))</f>
        <v/>
      </c>
    </row>
    <row r="193">
      <c r="A193" s="247" t="n">
        <v>46272</v>
      </c>
      <c r="B193" s="248">
        <f>IF(V193&lt;&gt;"",V193-T193,IF(AF193&lt;&gt;"",AA193+AF193,""))</f>
        <v/>
      </c>
      <c r="C193" s="249">
        <f>IF(OR(B193="",B192=""),"",B193-B192)</f>
        <v/>
      </c>
      <c r="D193" s="248">
        <f>IF(OR(B193="",AA193=""),"",B193-AA193)</f>
        <v/>
      </c>
      <c r="E193" s="250">
        <f>IF(OR(B193="",AD193=0),"",MIN(0,B193/AD193-1))</f>
        <v/>
      </c>
      <c r="F193" s="250">
        <f>IF(OR(U193="",T193=0,T193=""),"",(P193-T193*1.4)/U193)</f>
        <v/>
      </c>
      <c r="G193" s="251">
        <f>IF(OR(AC193="",'09_CF_원금'!$B$108=0),"",AC193/'09_CF_원금'!$B$108)</f>
        <v/>
      </c>
      <c r="H193" s="250">
        <f>IF(OR(U193="",U193=0,AC193=""),"",AC193/U193)</f>
        <v/>
      </c>
      <c r="I193" s="250">
        <f>IF(OR(S193="",U193=""),"",S193/(U193+S193))</f>
        <v/>
      </c>
      <c r="J193" s="248">
        <f>IF(W193&lt;&gt;"",W193-X193,IF(AG193&lt;&gt;"",AG193,""))</f>
        <v/>
      </c>
      <c r="K193" s="248">
        <f>IF(Q193&lt;&gt;"",Q193-Y193,IF(AH193&lt;&gt;"",AH193,""))</f>
        <v/>
      </c>
      <c r="L193" s="248">
        <f>IF(R193&lt;&gt;"",R193-Z193,IF(AI193&lt;&gt;"",AI193,""))</f>
        <v/>
      </c>
      <c r="M193" s="252" t="n"/>
      <c r="N193" s="253" t="n"/>
      <c r="O193" s="254" t="n"/>
      <c r="P193" s="255" t="n"/>
      <c r="Q193" s="258">
        <f>IF($A193="","",IF(Q192="","",Q192))</f>
        <v/>
      </c>
      <c r="R193" s="258">
        <f>IF($A193="","",IF(R192="","",R192))</f>
        <v/>
      </c>
      <c r="S193" s="258">
        <f>IF($A193="","",IF(S192="","",S192))</f>
        <v/>
      </c>
      <c r="T193" s="249">
        <f>IF(OR(P193="",W193=""),"",P193-W193)</f>
        <v/>
      </c>
      <c r="U193" s="258">
        <f>IF($A193="","",IF(U192="","",U192))</f>
        <v/>
      </c>
      <c r="V193" s="249">
        <f>IF(P193="","",P193+IF(Q193="",0,Q193)+IF(R193="",0,R193))</f>
        <v/>
      </c>
      <c r="W193" s="255" t="n"/>
      <c r="X193" s="249">
        <f>SUMIFS('09_CF_원금'!$E$6:$E$92,'09_CF_원금'!$D$6:$D$92,"국장",'09_CF_원금'!$A$6:$A$92,"&lt;="&amp;$A193)-SUMIFS('09_CF_원금'!$E$6:$E$92,'09_CF_원금'!$C$6:$C$92,"국장",'09_CF_원금'!$A$6:$A$92,"&lt;="&amp;$A193)</f>
        <v/>
      </c>
      <c r="Y193" s="249">
        <f>SUMIFS('09_CF_원금'!$E$6:$E$92,'09_CF_원금'!$D$6:$D$92,"미장",'09_CF_원금'!$A$6:$A$92,"&lt;="&amp;$A193)-SUMIFS('09_CF_원금'!$E$6:$E$92,'09_CF_원금'!$C$6:$C$92,"미장",'09_CF_원금'!$A$6:$A$92,"&lt;="&amp;$A193)</f>
        <v/>
      </c>
      <c r="Z193" s="249">
        <f>SUMIFS('09_CF_원금'!$E$6:$E$92,'09_CF_원금'!$D$6:$D$92,"ISA",'09_CF_원금'!$A$6:$A$92,"&lt;="&amp;$A193)-SUMIFS('09_CF_원금'!$E$6:$E$92,'09_CF_원금'!$C$6:$C$92,"ISA",'09_CF_원금'!$A$6:$A$92,"&lt;="&amp;$A193)</f>
        <v/>
      </c>
      <c r="AA193" s="249">
        <f>IF($A193="","",X193+Y193+Z193+SUMIFS('09_CF_원금'!$E$6:$E$92,'09_CF_원금'!$D$6:$D$92,"중국",'09_CF_원금'!$A$6:$A$92,"&lt;="&amp;$A193)-SUMIFS('09_CF_원금'!$E$6:$E$92,'09_CF_원금'!$C$6:$C$92,"중국",'09_CF_원금'!$A$6:$A$92,"&lt;="&amp;$A193)+SUMIFS('09_CF_원금'!$E$6:$E$92,'09_CF_원금'!$D$6:$D$92,"업비트",'09_CF_원금'!$A$6:$A$92,"&lt;="&amp;$A193)-SUMIFS('09_CF_원금'!$E$6:$E$92,'09_CF_원금'!$C$6:$C$92,"업비트",'09_CF_원금'!$A$6:$A$92,"&lt;="&amp;$A193))</f>
        <v/>
      </c>
      <c r="AB193" s="249">
        <f>IF(OR(U193="",V193=""),"",U193-(V193-IF(S193="",0,S193)))</f>
        <v/>
      </c>
      <c r="AC193" s="249">
        <f>IF(AB193="","",T193+AB193)</f>
        <v/>
      </c>
      <c r="AD193" s="249">
        <f>IF(B193="","",MAX($B$5:B193))</f>
        <v/>
      </c>
      <c r="AE193" s="256" t="n"/>
      <c r="AF193" s="255" t="n"/>
      <c r="AG193" s="255" t="n"/>
      <c r="AH193" s="255" t="n"/>
      <c r="AI193" s="255" t="n"/>
      <c r="AJ193" s="257">
        <f>IF($A193="","",YEAR($A193)*100+MONTH($A193))</f>
        <v/>
      </c>
      <c r="AK193" s="257">
        <f>IF($A193="","",IF($N193="",0,1))</f>
        <v/>
      </c>
    </row>
    <row r="194">
      <c r="A194" s="247" t="n">
        <v>46273</v>
      </c>
      <c r="B194" s="248">
        <f>IF(V194&lt;&gt;"",V194-T194,IF(AF194&lt;&gt;"",AA194+AF194,""))</f>
        <v/>
      </c>
      <c r="C194" s="249">
        <f>IF(OR(B194="",B193=""),"",B194-B193)</f>
        <v/>
      </c>
      <c r="D194" s="248">
        <f>IF(OR(B194="",AA194=""),"",B194-AA194)</f>
        <v/>
      </c>
      <c r="E194" s="250">
        <f>IF(OR(B194="",AD194=0),"",MIN(0,B194/AD194-1))</f>
        <v/>
      </c>
      <c r="F194" s="250">
        <f>IF(OR(U194="",T194=0,T194=""),"",(P194-T194*1.4)/U194)</f>
        <v/>
      </c>
      <c r="G194" s="251">
        <f>IF(OR(AC194="",'09_CF_원금'!$B$108=0),"",AC194/'09_CF_원금'!$B$108)</f>
        <v/>
      </c>
      <c r="H194" s="250">
        <f>IF(OR(U194="",U194=0,AC194=""),"",AC194/U194)</f>
        <v/>
      </c>
      <c r="I194" s="250">
        <f>IF(OR(S194="",U194=""),"",S194/(U194+S194))</f>
        <v/>
      </c>
      <c r="J194" s="248">
        <f>IF(W194&lt;&gt;"",W194-X194,IF(AG194&lt;&gt;"",AG194,""))</f>
        <v/>
      </c>
      <c r="K194" s="248">
        <f>IF(Q194&lt;&gt;"",Q194-Y194,IF(AH194&lt;&gt;"",AH194,""))</f>
        <v/>
      </c>
      <c r="L194" s="248">
        <f>IF(R194&lt;&gt;"",R194-Z194,IF(AI194&lt;&gt;"",AI194,""))</f>
        <v/>
      </c>
      <c r="M194" s="252" t="n"/>
      <c r="N194" s="253" t="n"/>
      <c r="O194" s="254" t="n"/>
      <c r="P194" s="255" t="n"/>
      <c r="Q194" s="258">
        <f>IF($A194="","",IF(Q193="","",Q193))</f>
        <v/>
      </c>
      <c r="R194" s="258">
        <f>IF($A194="","",IF(R193="","",R193))</f>
        <v/>
      </c>
      <c r="S194" s="258">
        <f>IF($A194="","",IF(S193="","",S193))</f>
        <v/>
      </c>
      <c r="T194" s="249">
        <f>IF(OR(P194="",W194=""),"",P194-W194)</f>
        <v/>
      </c>
      <c r="U194" s="258">
        <f>IF($A194="","",IF(U193="","",U193))</f>
        <v/>
      </c>
      <c r="V194" s="249">
        <f>IF(P194="","",P194+IF(Q194="",0,Q194)+IF(R194="",0,R194))</f>
        <v/>
      </c>
      <c r="W194" s="255" t="n"/>
      <c r="X194" s="249">
        <f>SUMIFS('09_CF_원금'!$E$6:$E$92,'09_CF_원금'!$D$6:$D$92,"국장",'09_CF_원금'!$A$6:$A$92,"&lt;="&amp;$A194)-SUMIFS('09_CF_원금'!$E$6:$E$92,'09_CF_원금'!$C$6:$C$92,"국장",'09_CF_원금'!$A$6:$A$92,"&lt;="&amp;$A194)</f>
        <v/>
      </c>
      <c r="Y194" s="249">
        <f>SUMIFS('09_CF_원금'!$E$6:$E$92,'09_CF_원금'!$D$6:$D$92,"미장",'09_CF_원금'!$A$6:$A$92,"&lt;="&amp;$A194)-SUMIFS('09_CF_원금'!$E$6:$E$92,'09_CF_원금'!$C$6:$C$92,"미장",'09_CF_원금'!$A$6:$A$92,"&lt;="&amp;$A194)</f>
        <v/>
      </c>
      <c r="Z194" s="249">
        <f>SUMIFS('09_CF_원금'!$E$6:$E$92,'09_CF_원금'!$D$6:$D$92,"ISA",'09_CF_원금'!$A$6:$A$92,"&lt;="&amp;$A194)-SUMIFS('09_CF_원금'!$E$6:$E$92,'09_CF_원금'!$C$6:$C$92,"ISA",'09_CF_원금'!$A$6:$A$92,"&lt;="&amp;$A194)</f>
        <v/>
      </c>
      <c r="AA194" s="249">
        <f>IF($A194="","",X194+Y194+Z194+SUMIFS('09_CF_원금'!$E$6:$E$92,'09_CF_원금'!$D$6:$D$92,"중국",'09_CF_원금'!$A$6:$A$92,"&lt;="&amp;$A194)-SUMIFS('09_CF_원금'!$E$6:$E$92,'09_CF_원금'!$C$6:$C$92,"중국",'09_CF_원금'!$A$6:$A$92,"&lt;="&amp;$A194)+SUMIFS('09_CF_원금'!$E$6:$E$92,'09_CF_원금'!$D$6:$D$92,"업비트",'09_CF_원금'!$A$6:$A$92,"&lt;="&amp;$A194)-SUMIFS('09_CF_원금'!$E$6:$E$92,'09_CF_원금'!$C$6:$C$92,"업비트",'09_CF_원금'!$A$6:$A$92,"&lt;="&amp;$A194))</f>
        <v/>
      </c>
      <c r="AB194" s="249">
        <f>IF(OR(U194="",V194=""),"",U194-(V194-IF(S194="",0,S194)))</f>
        <v/>
      </c>
      <c r="AC194" s="249">
        <f>IF(AB194="","",T194+AB194)</f>
        <v/>
      </c>
      <c r="AD194" s="249">
        <f>IF(B194="","",MAX($B$5:B194))</f>
        <v/>
      </c>
      <c r="AE194" s="256" t="n"/>
      <c r="AF194" s="255" t="n"/>
      <c r="AG194" s="255" t="n"/>
      <c r="AH194" s="255" t="n"/>
      <c r="AI194" s="255" t="n"/>
      <c r="AJ194" s="257">
        <f>IF($A194="","",YEAR($A194)*100+MONTH($A194))</f>
        <v/>
      </c>
      <c r="AK194" s="257">
        <f>IF($A194="","",IF($N194="",0,1))</f>
        <v/>
      </c>
    </row>
    <row r="195">
      <c r="A195" s="247" t="n">
        <v>46274</v>
      </c>
      <c r="B195" s="248">
        <f>IF(V195&lt;&gt;"",V195-T195,IF(AF195&lt;&gt;"",AA195+AF195,""))</f>
        <v/>
      </c>
      <c r="C195" s="249">
        <f>IF(OR(B195="",B194=""),"",B195-B194)</f>
        <v/>
      </c>
      <c r="D195" s="248">
        <f>IF(OR(B195="",AA195=""),"",B195-AA195)</f>
        <v/>
      </c>
      <c r="E195" s="250">
        <f>IF(OR(B195="",AD195=0),"",MIN(0,B195/AD195-1))</f>
        <v/>
      </c>
      <c r="F195" s="250">
        <f>IF(OR(U195="",T195=0,T195=""),"",(P195-T195*1.4)/U195)</f>
        <v/>
      </c>
      <c r="G195" s="251">
        <f>IF(OR(AC195="",'09_CF_원금'!$B$108=0),"",AC195/'09_CF_원금'!$B$108)</f>
        <v/>
      </c>
      <c r="H195" s="250">
        <f>IF(OR(U195="",U195=0,AC195=""),"",AC195/U195)</f>
        <v/>
      </c>
      <c r="I195" s="250">
        <f>IF(OR(S195="",U195=""),"",S195/(U195+S195))</f>
        <v/>
      </c>
      <c r="J195" s="248">
        <f>IF(W195&lt;&gt;"",W195-X195,IF(AG195&lt;&gt;"",AG195,""))</f>
        <v/>
      </c>
      <c r="K195" s="248">
        <f>IF(Q195&lt;&gt;"",Q195-Y195,IF(AH195&lt;&gt;"",AH195,""))</f>
        <v/>
      </c>
      <c r="L195" s="248">
        <f>IF(R195&lt;&gt;"",R195-Z195,IF(AI195&lt;&gt;"",AI195,""))</f>
        <v/>
      </c>
      <c r="M195" s="252" t="n"/>
      <c r="N195" s="253" t="n"/>
      <c r="O195" s="254" t="n"/>
      <c r="P195" s="255" t="n"/>
      <c r="Q195" s="258">
        <f>IF($A195="","",IF(Q194="","",Q194))</f>
        <v/>
      </c>
      <c r="R195" s="258">
        <f>IF($A195="","",IF(R194="","",R194))</f>
        <v/>
      </c>
      <c r="S195" s="258">
        <f>IF($A195="","",IF(S194="","",S194))</f>
        <v/>
      </c>
      <c r="T195" s="249">
        <f>IF(OR(P195="",W195=""),"",P195-W195)</f>
        <v/>
      </c>
      <c r="U195" s="258">
        <f>IF($A195="","",IF(U194="","",U194))</f>
        <v/>
      </c>
      <c r="V195" s="249">
        <f>IF(P195="","",P195+IF(Q195="",0,Q195)+IF(R195="",0,R195))</f>
        <v/>
      </c>
      <c r="W195" s="255" t="n"/>
      <c r="X195" s="249">
        <f>SUMIFS('09_CF_원금'!$E$6:$E$92,'09_CF_원금'!$D$6:$D$92,"국장",'09_CF_원금'!$A$6:$A$92,"&lt;="&amp;$A195)-SUMIFS('09_CF_원금'!$E$6:$E$92,'09_CF_원금'!$C$6:$C$92,"국장",'09_CF_원금'!$A$6:$A$92,"&lt;="&amp;$A195)</f>
        <v/>
      </c>
      <c r="Y195" s="249">
        <f>SUMIFS('09_CF_원금'!$E$6:$E$92,'09_CF_원금'!$D$6:$D$92,"미장",'09_CF_원금'!$A$6:$A$92,"&lt;="&amp;$A195)-SUMIFS('09_CF_원금'!$E$6:$E$92,'09_CF_원금'!$C$6:$C$92,"미장",'09_CF_원금'!$A$6:$A$92,"&lt;="&amp;$A195)</f>
        <v/>
      </c>
      <c r="Z195" s="249">
        <f>SUMIFS('09_CF_원금'!$E$6:$E$92,'09_CF_원금'!$D$6:$D$92,"ISA",'09_CF_원금'!$A$6:$A$92,"&lt;="&amp;$A195)-SUMIFS('09_CF_원금'!$E$6:$E$92,'09_CF_원금'!$C$6:$C$92,"ISA",'09_CF_원금'!$A$6:$A$92,"&lt;="&amp;$A195)</f>
        <v/>
      </c>
      <c r="AA195" s="249">
        <f>IF($A195="","",X195+Y195+Z195+SUMIFS('09_CF_원금'!$E$6:$E$92,'09_CF_원금'!$D$6:$D$92,"중국",'09_CF_원금'!$A$6:$A$92,"&lt;="&amp;$A195)-SUMIFS('09_CF_원금'!$E$6:$E$92,'09_CF_원금'!$C$6:$C$92,"중국",'09_CF_원금'!$A$6:$A$92,"&lt;="&amp;$A195)+SUMIFS('09_CF_원금'!$E$6:$E$92,'09_CF_원금'!$D$6:$D$92,"업비트",'09_CF_원금'!$A$6:$A$92,"&lt;="&amp;$A195)-SUMIFS('09_CF_원금'!$E$6:$E$92,'09_CF_원금'!$C$6:$C$92,"업비트",'09_CF_원금'!$A$6:$A$92,"&lt;="&amp;$A195))</f>
        <v/>
      </c>
      <c r="AB195" s="249">
        <f>IF(OR(U195="",V195=""),"",U195-(V195-IF(S195="",0,S195)))</f>
        <v/>
      </c>
      <c r="AC195" s="249">
        <f>IF(AB195="","",T195+AB195)</f>
        <v/>
      </c>
      <c r="AD195" s="249">
        <f>IF(B195="","",MAX($B$5:B195))</f>
        <v/>
      </c>
      <c r="AE195" s="256" t="n"/>
      <c r="AF195" s="255" t="n"/>
      <c r="AG195" s="255" t="n"/>
      <c r="AH195" s="255" t="n"/>
      <c r="AI195" s="255" t="n"/>
      <c r="AJ195" s="257">
        <f>IF($A195="","",YEAR($A195)*100+MONTH($A195))</f>
        <v/>
      </c>
      <c r="AK195" s="257">
        <f>IF($A195="","",IF($N195="",0,1))</f>
        <v/>
      </c>
    </row>
    <row r="196">
      <c r="A196" s="247" t="n">
        <v>46275</v>
      </c>
      <c r="B196" s="248">
        <f>IF(V196&lt;&gt;"",V196-T196,IF(AF196&lt;&gt;"",AA196+AF196,""))</f>
        <v/>
      </c>
      <c r="C196" s="249">
        <f>IF(OR(B196="",B195=""),"",B196-B195)</f>
        <v/>
      </c>
      <c r="D196" s="248">
        <f>IF(OR(B196="",AA196=""),"",B196-AA196)</f>
        <v/>
      </c>
      <c r="E196" s="250">
        <f>IF(OR(B196="",AD196=0),"",MIN(0,B196/AD196-1))</f>
        <v/>
      </c>
      <c r="F196" s="250">
        <f>IF(OR(U196="",T196=0,T196=""),"",(P196-T196*1.4)/U196)</f>
        <v/>
      </c>
      <c r="G196" s="251">
        <f>IF(OR(AC196="",'09_CF_원금'!$B$108=0),"",AC196/'09_CF_원금'!$B$108)</f>
        <v/>
      </c>
      <c r="H196" s="250">
        <f>IF(OR(U196="",U196=0,AC196=""),"",AC196/U196)</f>
        <v/>
      </c>
      <c r="I196" s="250">
        <f>IF(OR(S196="",U196=""),"",S196/(U196+S196))</f>
        <v/>
      </c>
      <c r="J196" s="248">
        <f>IF(W196&lt;&gt;"",W196-X196,IF(AG196&lt;&gt;"",AG196,""))</f>
        <v/>
      </c>
      <c r="K196" s="248">
        <f>IF(Q196&lt;&gt;"",Q196-Y196,IF(AH196&lt;&gt;"",AH196,""))</f>
        <v/>
      </c>
      <c r="L196" s="248">
        <f>IF(R196&lt;&gt;"",R196-Z196,IF(AI196&lt;&gt;"",AI196,""))</f>
        <v/>
      </c>
      <c r="M196" s="252" t="n"/>
      <c r="N196" s="253" t="n"/>
      <c r="O196" s="254" t="n"/>
      <c r="P196" s="255" t="n"/>
      <c r="Q196" s="258">
        <f>IF($A196="","",IF(Q195="","",Q195))</f>
        <v/>
      </c>
      <c r="R196" s="258">
        <f>IF($A196="","",IF(R195="","",R195))</f>
        <v/>
      </c>
      <c r="S196" s="258">
        <f>IF($A196="","",IF(S195="","",S195))</f>
        <v/>
      </c>
      <c r="T196" s="249">
        <f>IF(OR(P196="",W196=""),"",P196-W196)</f>
        <v/>
      </c>
      <c r="U196" s="258">
        <f>IF($A196="","",IF(U195="","",U195))</f>
        <v/>
      </c>
      <c r="V196" s="249">
        <f>IF(P196="","",P196+IF(Q196="",0,Q196)+IF(R196="",0,R196))</f>
        <v/>
      </c>
      <c r="W196" s="255" t="n"/>
      <c r="X196" s="249">
        <f>SUMIFS('09_CF_원금'!$E$6:$E$92,'09_CF_원금'!$D$6:$D$92,"국장",'09_CF_원금'!$A$6:$A$92,"&lt;="&amp;$A196)-SUMIFS('09_CF_원금'!$E$6:$E$92,'09_CF_원금'!$C$6:$C$92,"국장",'09_CF_원금'!$A$6:$A$92,"&lt;="&amp;$A196)</f>
        <v/>
      </c>
      <c r="Y196" s="249">
        <f>SUMIFS('09_CF_원금'!$E$6:$E$92,'09_CF_원금'!$D$6:$D$92,"미장",'09_CF_원금'!$A$6:$A$92,"&lt;="&amp;$A196)-SUMIFS('09_CF_원금'!$E$6:$E$92,'09_CF_원금'!$C$6:$C$92,"미장",'09_CF_원금'!$A$6:$A$92,"&lt;="&amp;$A196)</f>
        <v/>
      </c>
      <c r="Z196" s="249">
        <f>SUMIFS('09_CF_원금'!$E$6:$E$92,'09_CF_원금'!$D$6:$D$92,"ISA",'09_CF_원금'!$A$6:$A$92,"&lt;="&amp;$A196)-SUMIFS('09_CF_원금'!$E$6:$E$92,'09_CF_원금'!$C$6:$C$92,"ISA",'09_CF_원금'!$A$6:$A$92,"&lt;="&amp;$A196)</f>
        <v/>
      </c>
      <c r="AA196" s="249">
        <f>IF($A196="","",X196+Y196+Z196+SUMIFS('09_CF_원금'!$E$6:$E$92,'09_CF_원금'!$D$6:$D$92,"중국",'09_CF_원금'!$A$6:$A$92,"&lt;="&amp;$A196)-SUMIFS('09_CF_원금'!$E$6:$E$92,'09_CF_원금'!$C$6:$C$92,"중국",'09_CF_원금'!$A$6:$A$92,"&lt;="&amp;$A196)+SUMIFS('09_CF_원금'!$E$6:$E$92,'09_CF_원금'!$D$6:$D$92,"업비트",'09_CF_원금'!$A$6:$A$92,"&lt;="&amp;$A196)-SUMIFS('09_CF_원금'!$E$6:$E$92,'09_CF_원금'!$C$6:$C$92,"업비트",'09_CF_원금'!$A$6:$A$92,"&lt;="&amp;$A196))</f>
        <v/>
      </c>
      <c r="AB196" s="249">
        <f>IF(OR(U196="",V196=""),"",U196-(V196-IF(S196="",0,S196)))</f>
        <v/>
      </c>
      <c r="AC196" s="249">
        <f>IF(AB196="","",T196+AB196)</f>
        <v/>
      </c>
      <c r="AD196" s="249">
        <f>IF(B196="","",MAX($B$5:B196))</f>
        <v/>
      </c>
      <c r="AE196" s="256" t="n"/>
      <c r="AF196" s="255" t="n"/>
      <c r="AG196" s="255" t="n"/>
      <c r="AH196" s="255" t="n"/>
      <c r="AI196" s="255" t="n"/>
      <c r="AJ196" s="257">
        <f>IF($A196="","",YEAR($A196)*100+MONTH($A196))</f>
        <v/>
      </c>
      <c r="AK196" s="257">
        <f>IF($A196="","",IF($N196="",0,1))</f>
        <v/>
      </c>
    </row>
    <row r="197">
      <c r="A197" s="247" t="n">
        <v>46276</v>
      </c>
      <c r="B197" s="248">
        <f>IF(V197&lt;&gt;"",V197-T197,IF(AF197&lt;&gt;"",AA197+AF197,""))</f>
        <v/>
      </c>
      <c r="C197" s="249">
        <f>IF(OR(B197="",B196=""),"",B197-B196)</f>
        <v/>
      </c>
      <c r="D197" s="248">
        <f>IF(OR(B197="",AA197=""),"",B197-AA197)</f>
        <v/>
      </c>
      <c r="E197" s="250">
        <f>IF(OR(B197="",AD197=0),"",MIN(0,B197/AD197-1))</f>
        <v/>
      </c>
      <c r="F197" s="250">
        <f>IF(OR(U197="",T197=0,T197=""),"",(P197-T197*1.4)/U197)</f>
        <v/>
      </c>
      <c r="G197" s="251">
        <f>IF(OR(AC197="",'09_CF_원금'!$B$108=0),"",AC197/'09_CF_원금'!$B$108)</f>
        <v/>
      </c>
      <c r="H197" s="250">
        <f>IF(OR(U197="",U197=0,AC197=""),"",AC197/U197)</f>
        <v/>
      </c>
      <c r="I197" s="250">
        <f>IF(OR(S197="",U197=""),"",S197/(U197+S197))</f>
        <v/>
      </c>
      <c r="J197" s="248">
        <f>IF(W197&lt;&gt;"",W197-X197,IF(AG197&lt;&gt;"",AG197,""))</f>
        <v/>
      </c>
      <c r="K197" s="248">
        <f>IF(Q197&lt;&gt;"",Q197-Y197,IF(AH197&lt;&gt;"",AH197,""))</f>
        <v/>
      </c>
      <c r="L197" s="248">
        <f>IF(R197&lt;&gt;"",R197-Z197,IF(AI197&lt;&gt;"",AI197,""))</f>
        <v/>
      </c>
      <c r="M197" s="252" t="n"/>
      <c r="N197" s="253" t="n"/>
      <c r="O197" s="254" t="n"/>
      <c r="P197" s="255" t="n"/>
      <c r="Q197" s="258">
        <f>IF($A197="","",IF(Q196="","",Q196))</f>
        <v/>
      </c>
      <c r="R197" s="258">
        <f>IF($A197="","",IF(R196="","",R196))</f>
        <v/>
      </c>
      <c r="S197" s="258">
        <f>IF($A197="","",IF(S196="","",S196))</f>
        <v/>
      </c>
      <c r="T197" s="249">
        <f>IF(OR(P197="",W197=""),"",P197-W197)</f>
        <v/>
      </c>
      <c r="U197" s="258">
        <f>IF($A197="","",IF(U196="","",U196))</f>
        <v/>
      </c>
      <c r="V197" s="249">
        <f>IF(P197="","",P197+IF(Q197="",0,Q197)+IF(R197="",0,R197))</f>
        <v/>
      </c>
      <c r="W197" s="255" t="n"/>
      <c r="X197" s="249">
        <f>SUMIFS('09_CF_원금'!$E$6:$E$92,'09_CF_원금'!$D$6:$D$92,"국장",'09_CF_원금'!$A$6:$A$92,"&lt;="&amp;$A197)-SUMIFS('09_CF_원금'!$E$6:$E$92,'09_CF_원금'!$C$6:$C$92,"국장",'09_CF_원금'!$A$6:$A$92,"&lt;="&amp;$A197)</f>
        <v/>
      </c>
      <c r="Y197" s="249">
        <f>SUMIFS('09_CF_원금'!$E$6:$E$92,'09_CF_원금'!$D$6:$D$92,"미장",'09_CF_원금'!$A$6:$A$92,"&lt;="&amp;$A197)-SUMIFS('09_CF_원금'!$E$6:$E$92,'09_CF_원금'!$C$6:$C$92,"미장",'09_CF_원금'!$A$6:$A$92,"&lt;="&amp;$A197)</f>
        <v/>
      </c>
      <c r="Z197" s="249">
        <f>SUMIFS('09_CF_원금'!$E$6:$E$92,'09_CF_원금'!$D$6:$D$92,"ISA",'09_CF_원금'!$A$6:$A$92,"&lt;="&amp;$A197)-SUMIFS('09_CF_원금'!$E$6:$E$92,'09_CF_원금'!$C$6:$C$92,"ISA",'09_CF_원금'!$A$6:$A$92,"&lt;="&amp;$A197)</f>
        <v/>
      </c>
      <c r="AA197" s="249">
        <f>IF($A197="","",X197+Y197+Z197+SUMIFS('09_CF_원금'!$E$6:$E$92,'09_CF_원금'!$D$6:$D$92,"중국",'09_CF_원금'!$A$6:$A$92,"&lt;="&amp;$A197)-SUMIFS('09_CF_원금'!$E$6:$E$92,'09_CF_원금'!$C$6:$C$92,"중국",'09_CF_원금'!$A$6:$A$92,"&lt;="&amp;$A197)+SUMIFS('09_CF_원금'!$E$6:$E$92,'09_CF_원금'!$D$6:$D$92,"업비트",'09_CF_원금'!$A$6:$A$92,"&lt;="&amp;$A197)-SUMIFS('09_CF_원금'!$E$6:$E$92,'09_CF_원금'!$C$6:$C$92,"업비트",'09_CF_원금'!$A$6:$A$92,"&lt;="&amp;$A197))</f>
        <v/>
      </c>
      <c r="AB197" s="249">
        <f>IF(OR(U197="",V197=""),"",U197-(V197-IF(S197="",0,S197)))</f>
        <v/>
      </c>
      <c r="AC197" s="249">
        <f>IF(AB197="","",T197+AB197)</f>
        <v/>
      </c>
      <c r="AD197" s="249">
        <f>IF(B197="","",MAX($B$5:B197))</f>
        <v/>
      </c>
      <c r="AE197" s="256" t="n"/>
      <c r="AF197" s="255" t="n"/>
      <c r="AG197" s="255" t="n"/>
      <c r="AH197" s="255" t="n"/>
      <c r="AI197" s="255" t="n"/>
      <c r="AJ197" s="257">
        <f>IF($A197="","",YEAR($A197)*100+MONTH($A197))</f>
        <v/>
      </c>
      <c r="AK197" s="257">
        <f>IF($A197="","",IF($N197="",0,1))</f>
        <v/>
      </c>
    </row>
    <row r="198">
      <c r="A198" s="247" t="n">
        <v>46279</v>
      </c>
      <c r="B198" s="248">
        <f>IF(V198&lt;&gt;"",V198-T198,IF(AF198&lt;&gt;"",AA198+AF198,""))</f>
        <v/>
      </c>
      <c r="C198" s="249">
        <f>IF(OR(B198="",B197=""),"",B198-B197)</f>
        <v/>
      </c>
      <c r="D198" s="248">
        <f>IF(OR(B198="",AA198=""),"",B198-AA198)</f>
        <v/>
      </c>
      <c r="E198" s="250">
        <f>IF(OR(B198="",AD198=0),"",MIN(0,B198/AD198-1))</f>
        <v/>
      </c>
      <c r="F198" s="250">
        <f>IF(OR(U198="",T198=0,T198=""),"",(P198-T198*1.4)/U198)</f>
        <v/>
      </c>
      <c r="G198" s="251">
        <f>IF(OR(AC198="",'09_CF_원금'!$B$108=0),"",AC198/'09_CF_원금'!$B$108)</f>
        <v/>
      </c>
      <c r="H198" s="250">
        <f>IF(OR(U198="",U198=0,AC198=""),"",AC198/U198)</f>
        <v/>
      </c>
      <c r="I198" s="250">
        <f>IF(OR(S198="",U198=""),"",S198/(U198+S198))</f>
        <v/>
      </c>
      <c r="J198" s="248">
        <f>IF(W198&lt;&gt;"",W198-X198,IF(AG198&lt;&gt;"",AG198,""))</f>
        <v/>
      </c>
      <c r="K198" s="248">
        <f>IF(Q198&lt;&gt;"",Q198-Y198,IF(AH198&lt;&gt;"",AH198,""))</f>
        <v/>
      </c>
      <c r="L198" s="248">
        <f>IF(R198&lt;&gt;"",R198-Z198,IF(AI198&lt;&gt;"",AI198,""))</f>
        <v/>
      </c>
      <c r="M198" s="252" t="n"/>
      <c r="N198" s="253" t="n"/>
      <c r="O198" s="254" t="n"/>
      <c r="P198" s="255" t="n"/>
      <c r="Q198" s="258">
        <f>IF($A198="","",IF(Q197="","",Q197))</f>
        <v/>
      </c>
      <c r="R198" s="258">
        <f>IF($A198="","",IF(R197="","",R197))</f>
        <v/>
      </c>
      <c r="S198" s="258">
        <f>IF($A198="","",IF(S197="","",S197))</f>
        <v/>
      </c>
      <c r="T198" s="249">
        <f>IF(OR(P198="",W198=""),"",P198-W198)</f>
        <v/>
      </c>
      <c r="U198" s="258">
        <f>IF($A198="","",IF(U197="","",U197))</f>
        <v/>
      </c>
      <c r="V198" s="249">
        <f>IF(P198="","",P198+IF(Q198="",0,Q198)+IF(R198="",0,R198))</f>
        <v/>
      </c>
      <c r="W198" s="255" t="n"/>
      <c r="X198" s="249">
        <f>SUMIFS('09_CF_원금'!$E$6:$E$92,'09_CF_원금'!$D$6:$D$92,"국장",'09_CF_원금'!$A$6:$A$92,"&lt;="&amp;$A198)-SUMIFS('09_CF_원금'!$E$6:$E$92,'09_CF_원금'!$C$6:$C$92,"국장",'09_CF_원금'!$A$6:$A$92,"&lt;="&amp;$A198)</f>
        <v/>
      </c>
      <c r="Y198" s="249">
        <f>SUMIFS('09_CF_원금'!$E$6:$E$92,'09_CF_원금'!$D$6:$D$92,"미장",'09_CF_원금'!$A$6:$A$92,"&lt;="&amp;$A198)-SUMIFS('09_CF_원금'!$E$6:$E$92,'09_CF_원금'!$C$6:$C$92,"미장",'09_CF_원금'!$A$6:$A$92,"&lt;="&amp;$A198)</f>
        <v/>
      </c>
      <c r="Z198" s="249">
        <f>SUMIFS('09_CF_원금'!$E$6:$E$92,'09_CF_원금'!$D$6:$D$92,"ISA",'09_CF_원금'!$A$6:$A$92,"&lt;="&amp;$A198)-SUMIFS('09_CF_원금'!$E$6:$E$92,'09_CF_원금'!$C$6:$C$92,"ISA",'09_CF_원금'!$A$6:$A$92,"&lt;="&amp;$A198)</f>
        <v/>
      </c>
      <c r="AA198" s="249">
        <f>IF($A198="","",X198+Y198+Z198+SUMIFS('09_CF_원금'!$E$6:$E$92,'09_CF_원금'!$D$6:$D$92,"중국",'09_CF_원금'!$A$6:$A$92,"&lt;="&amp;$A198)-SUMIFS('09_CF_원금'!$E$6:$E$92,'09_CF_원금'!$C$6:$C$92,"중국",'09_CF_원금'!$A$6:$A$92,"&lt;="&amp;$A198)+SUMIFS('09_CF_원금'!$E$6:$E$92,'09_CF_원금'!$D$6:$D$92,"업비트",'09_CF_원금'!$A$6:$A$92,"&lt;="&amp;$A198)-SUMIFS('09_CF_원금'!$E$6:$E$92,'09_CF_원금'!$C$6:$C$92,"업비트",'09_CF_원금'!$A$6:$A$92,"&lt;="&amp;$A198))</f>
        <v/>
      </c>
      <c r="AB198" s="249">
        <f>IF(OR(U198="",V198=""),"",U198-(V198-IF(S198="",0,S198)))</f>
        <v/>
      </c>
      <c r="AC198" s="249">
        <f>IF(AB198="","",T198+AB198)</f>
        <v/>
      </c>
      <c r="AD198" s="249">
        <f>IF(B198="","",MAX($B$5:B198))</f>
        <v/>
      </c>
      <c r="AE198" s="256" t="n"/>
      <c r="AF198" s="255" t="n"/>
      <c r="AG198" s="255" t="n"/>
      <c r="AH198" s="255" t="n"/>
      <c r="AI198" s="255" t="n"/>
      <c r="AJ198" s="257">
        <f>IF($A198="","",YEAR($A198)*100+MONTH($A198))</f>
        <v/>
      </c>
      <c r="AK198" s="257">
        <f>IF($A198="","",IF($N198="",0,1))</f>
        <v/>
      </c>
    </row>
    <row r="199">
      <c r="A199" s="247" t="n">
        <v>46280</v>
      </c>
      <c r="B199" s="248">
        <f>IF(V199&lt;&gt;"",V199-T199,IF(AF199&lt;&gt;"",AA199+AF199,""))</f>
        <v/>
      </c>
      <c r="C199" s="249">
        <f>IF(OR(B199="",B198=""),"",B199-B198)</f>
        <v/>
      </c>
      <c r="D199" s="248">
        <f>IF(OR(B199="",AA199=""),"",B199-AA199)</f>
        <v/>
      </c>
      <c r="E199" s="250">
        <f>IF(OR(B199="",AD199=0),"",MIN(0,B199/AD199-1))</f>
        <v/>
      </c>
      <c r="F199" s="250">
        <f>IF(OR(U199="",T199=0,T199=""),"",(P199-T199*1.4)/U199)</f>
        <v/>
      </c>
      <c r="G199" s="251">
        <f>IF(OR(AC199="",'09_CF_원금'!$B$108=0),"",AC199/'09_CF_원금'!$B$108)</f>
        <v/>
      </c>
      <c r="H199" s="250">
        <f>IF(OR(U199="",U199=0,AC199=""),"",AC199/U199)</f>
        <v/>
      </c>
      <c r="I199" s="250">
        <f>IF(OR(S199="",U199=""),"",S199/(U199+S199))</f>
        <v/>
      </c>
      <c r="J199" s="248">
        <f>IF(W199&lt;&gt;"",W199-X199,IF(AG199&lt;&gt;"",AG199,""))</f>
        <v/>
      </c>
      <c r="K199" s="248">
        <f>IF(Q199&lt;&gt;"",Q199-Y199,IF(AH199&lt;&gt;"",AH199,""))</f>
        <v/>
      </c>
      <c r="L199" s="248">
        <f>IF(R199&lt;&gt;"",R199-Z199,IF(AI199&lt;&gt;"",AI199,""))</f>
        <v/>
      </c>
      <c r="M199" s="252" t="n"/>
      <c r="N199" s="253" t="n"/>
      <c r="O199" s="254" t="n"/>
      <c r="P199" s="255" t="n"/>
      <c r="Q199" s="258">
        <f>IF($A199="","",IF(Q198="","",Q198))</f>
        <v/>
      </c>
      <c r="R199" s="258">
        <f>IF($A199="","",IF(R198="","",R198))</f>
        <v/>
      </c>
      <c r="S199" s="258">
        <f>IF($A199="","",IF(S198="","",S198))</f>
        <v/>
      </c>
      <c r="T199" s="249">
        <f>IF(OR(P199="",W199=""),"",P199-W199)</f>
        <v/>
      </c>
      <c r="U199" s="258">
        <f>IF($A199="","",IF(U198="","",U198))</f>
        <v/>
      </c>
      <c r="V199" s="249">
        <f>IF(P199="","",P199+IF(Q199="",0,Q199)+IF(R199="",0,R199))</f>
        <v/>
      </c>
      <c r="W199" s="255" t="n"/>
      <c r="X199" s="249">
        <f>SUMIFS('09_CF_원금'!$E$6:$E$92,'09_CF_원금'!$D$6:$D$92,"국장",'09_CF_원금'!$A$6:$A$92,"&lt;="&amp;$A199)-SUMIFS('09_CF_원금'!$E$6:$E$92,'09_CF_원금'!$C$6:$C$92,"국장",'09_CF_원금'!$A$6:$A$92,"&lt;="&amp;$A199)</f>
        <v/>
      </c>
      <c r="Y199" s="249">
        <f>SUMIFS('09_CF_원금'!$E$6:$E$92,'09_CF_원금'!$D$6:$D$92,"미장",'09_CF_원금'!$A$6:$A$92,"&lt;="&amp;$A199)-SUMIFS('09_CF_원금'!$E$6:$E$92,'09_CF_원금'!$C$6:$C$92,"미장",'09_CF_원금'!$A$6:$A$92,"&lt;="&amp;$A199)</f>
        <v/>
      </c>
      <c r="Z199" s="249">
        <f>SUMIFS('09_CF_원금'!$E$6:$E$92,'09_CF_원금'!$D$6:$D$92,"ISA",'09_CF_원금'!$A$6:$A$92,"&lt;="&amp;$A199)-SUMIFS('09_CF_원금'!$E$6:$E$92,'09_CF_원금'!$C$6:$C$92,"ISA",'09_CF_원금'!$A$6:$A$92,"&lt;="&amp;$A199)</f>
        <v/>
      </c>
      <c r="AA199" s="249">
        <f>IF($A199="","",X199+Y199+Z199+SUMIFS('09_CF_원금'!$E$6:$E$92,'09_CF_원금'!$D$6:$D$92,"중국",'09_CF_원금'!$A$6:$A$92,"&lt;="&amp;$A199)-SUMIFS('09_CF_원금'!$E$6:$E$92,'09_CF_원금'!$C$6:$C$92,"중국",'09_CF_원금'!$A$6:$A$92,"&lt;="&amp;$A199)+SUMIFS('09_CF_원금'!$E$6:$E$92,'09_CF_원금'!$D$6:$D$92,"업비트",'09_CF_원금'!$A$6:$A$92,"&lt;="&amp;$A199)-SUMIFS('09_CF_원금'!$E$6:$E$92,'09_CF_원금'!$C$6:$C$92,"업비트",'09_CF_원금'!$A$6:$A$92,"&lt;="&amp;$A199))</f>
        <v/>
      </c>
      <c r="AB199" s="249">
        <f>IF(OR(U199="",V199=""),"",U199-(V199-IF(S199="",0,S199)))</f>
        <v/>
      </c>
      <c r="AC199" s="249">
        <f>IF(AB199="","",T199+AB199)</f>
        <v/>
      </c>
      <c r="AD199" s="249">
        <f>IF(B199="","",MAX($B$5:B199))</f>
        <v/>
      </c>
      <c r="AE199" s="256" t="n"/>
      <c r="AF199" s="255" t="n"/>
      <c r="AG199" s="255" t="n"/>
      <c r="AH199" s="255" t="n"/>
      <c r="AI199" s="255" t="n"/>
      <c r="AJ199" s="257">
        <f>IF($A199="","",YEAR($A199)*100+MONTH($A199))</f>
        <v/>
      </c>
      <c r="AK199" s="257">
        <f>IF($A199="","",IF($N199="",0,1))</f>
        <v/>
      </c>
    </row>
    <row r="200">
      <c r="A200" s="247" t="n">
        <v>46281</v>
      </c>
      <c r="B200" s="248">
        <f>IF(V200&lt;&gt;"",V200-T200,IF(AF200&lt;&gt;"",AA200+AF200,""))</f>
        <v/>
      </c>
      <c r="C200" s="249">
        <f>IF(OR(B200="",B199=""),"",B200-B199)</f>
        <v/>
      </c>
      <c r="D200" s="248">
        <f>IF(OR(B200="",AA200=""),"",B200-AA200)</f>
        <v/>
      </c>
      <c r="E200" s="250">
        <f>IF(OR(B200="",AD200=0),"",MIN(0,B200/AD200-1))</f>
        <v/>
      </c>
      <c r="F200" s="250">
        <f>IF(OR(U200="",T200=0,T200=""),"",(P200-T200*1.4)/U200)</f>
        <v/>
      </c>
      <c r="G200" s="251">
        <f>IF(OR(AC200="",'09_CF_원금'!$B$108=0),"",AC200/'09_CF_원금'!$B$108)</f>
        <v/>
      </c>
      <c r="H200" s="250">
        <f>IF(OR(U200="",U200=0,AC200=""),"",AC200/U200)</f>
        <v/>
      </c>
      <c r="I200" s="250">
        <f>IF(OR(S200="",U200=""),"",S200/(U200+S200))</f>
        <v/>
      </c>
      <c r="J200" s="248">
        <f>IF(W200&lt;&gt;"",W200-X200,IF(AG200&lt;&gt;"",AG200,""))</f>
        <v/>
      </c>
      <c r="K200" s="248">
        <f>IF(Q200&lt;&gt;"",Q200-Y200,IF(AH200&lt;&gt;"",AH200,""))</f>
        <v/>
      </c>
      <c r="L200" s="248">
        <f>IF(R200&lt;&gt;"",R200-Z200,IF(AI200&lt;&gt;"",AI200,""))</f>
        <v/>
      </c>
      <c r="M200" s="252" t="n"/>
      <c r="N200" s="253" t="n"/>
      <c r="O200" s="254" t="n"/>
      <c r="P200" s="255" t="n"/>
      <c r="Q200" s="258">
        <f>IF($A200="","",IF(Q199="","",Q199))</f>
        <v/>
      </c>
      <c r="R200" s="258">
        <f>IF($A200="","",IF(R199="","",R199))</f>
        <v/>
      </c>
      <c r="S200" s="258">
        <f>IF($A200="","",IF(S199="","",S199))</f>
        <v/>
      </c>
      <c r="T200" s="249">
        <f>IF(OR(P200="",W200=""),"",P200-W200)</f>
        <v/>
      </c>
      <c r="U200" s="258">
        <f>IF($A200="","",IF(U199="","",U199))</f>
        <v/>
      </c>
      <c r="V200" s="249">
        <f>IF(P200="","",P200+IF(Q200="",0,Q200)+IF(R200="",0,R200))</f>
        <v/>
      </c>
      <c r="W200" s="255" t="n"/>
      <c r="X200" s="249">
        <f>SUMIFS('09_CF_원금'!$E$6:$E$92,'09_CF_원금'!$D$6:$D$92,"국장",'09_CF_원금'!$A$6:$A$92,"&lt;="&amp;$A200)-SUMIFS('09_CF_원금'!$E$6:$E$92,'09_CF_원금'!$C$6:$C$92,"국장",'09_CF_원금'!$A$6:$A$92,"&lt;="&amp;$A200)</f>
        <v/>
      </c>
      <c r="Y200" s="249">
        <f>SUMIFS('09_CF_원금'!$E$6:$E$92,'09_CF_원금'!$D$6:$D$92,"미장",'09_CF_원금'!$A$6:$A$92,"&lt;="&amp;$A200)-SUMIFS('09_CF_원금'!$E$6:$E$92,'09_CF_원금'!$C$6:$C$92,"미장",'09_CF_원금'!$A$6:$A$92,"&lt;="&amp;$A200)</f>
        <v/>
      </c>
      <c r="Z200" s="249">
        <f>SUMIFS('09_CF_원금'!$E$6:$E$92,'09_CF_원금'!$D$6:$D$92,"ISA",'09_CF_원금'!$A$6:$A$92,"&lt;="&amp;$A200)-SUMIFS('09_CF_원금'!$E$6:$E$92,'09_CF_원금'!$C$6:$C$92,"ISA",'09_CF_원금'!$A$6:$A$92,"&lt;="&amp;$A200)</f>
        <v/>
      </c>
      <c r="AA200" s="249">
        <f>IF($A200="","",X200+Y200+Z200+SUMIFS('09_CF_원금'!$E$6:$E$92,'09_CF_원금'!$D$6:$D$92,"중국",'09_CF_원금'!$A$6:$A$92,"&lt;="&amp;$A200)-SUMIFS('09_CF_원금'!$E$6:$E$92,'09_CF_원금'!$C$6:$C$92,"중국",'09_CF_원금'!$A$6:$A$92,"&lt;="&amp;$A200)+SUMIFS('09_CF_원금'!$E$6:$E$92,'09_CF_원금'!$D$6:$D$92,"업비트",'09_CF_원금'!$A$6:$A$92,"&lt;="&amp;$A200)-SUMIFS('09_CF_원금'!$E$6:$E$92,'09_CF_원금'!$C$6:$C$92,"업비트",'09_CF_원금'!$A$6:$A$92,"&lt;="&amp;$A200))</f>
        <v/>
      </c>
      <c r="AB200" s="249">
        <f>IF(OR(U200="",V200=""),"",U200-(V200-IF(S200="",0,S200)))</f>
        <v/>
      </c>
      <c r="AC200" s="249">
        <f>IF(AB200="","",T200+AB200)</f>
        <v/>
      </c>
      <c r="AD200" s="249">
        <f>IF(B200="","",MAX($B$5:B200))</f>
        <v/>
      </c>
      <c r="AE200" s="256" t="n"/>
      <c r="AF200" s="255" t="n"/>
      <c r="AG200" s="255" t="n"/>
      <c r="AH200" s="255" t="n"/>
      <c r="AI200" s="255" t="n"/>
      <c r="AJ200" s="257">
        <f>IF($A200="","",YEAR($A200)*100+MONTH($A200))</f>
        <v/>
      </c>
      <c r="AK200" s="257">
        <f>IF($A200="","",IF($N200="",0,1))</f>
        <v/>
      </c>
    </row>
    <row r="201">
      <c r="A201" s="247" t="n">
        <v>46282</v>
      </c>
      <c r="B201" s="248">
        <f>IF(V201&lt;&gt;"",V201-T201,IF(AF201&lt;&gt;"",AA201+AF201,""))</f>
        <v/>
      </c>
      <c r="C201" s="249">
        <f>IF(OR(B201="",B200=""),"",B201-B200)</f>
        <v/>
      </c>
      <c r="D201" s="248">
        <f>IF(OR(B201="",AA201=""),"",B201-AA201)</f>
        <v/>
      </c>
      <c r="E201" s="250">
        <f>IF(OR(B201="",AD201=0),"",MIN(0,B201/AD201-1))</f>
        <v/>
      </c>
      <c r="F201" s="250">
        <f>IF(OR(U201="",T201=0,T201=""),"",(P201-T201*1.4)/U201)</f>
        <v/>
      </c>
      <c r="G201" s="251">
        <f>IF(OR(AC201="",'09_CF_원금'!$B$108=0),"",AC201/'09_CF_원금'!$B$108)</f>
        <v/>
      </c>
      <c r="H201" s="250">
        <f>IF(OR(U201="",U201=0,AC201=""),"",AC201/U201)</f>
        <v/>
      </c>
      <c r="I201" s="250">
        <f>IF(OR(S201="",U201=""),"",S201/(U201+S201))</f>
        <v/>
      </c>
      <c r="J201" s="248">
        <f>IF(W201&lt;&gt;"",W201-X201,IF(AG201&lt;&gt;"",AG201,""))</f>
        <v/>
      </c>
      <c r="K201" s="248">
        <f>IF(Q201&lt;&gt;"",Q201-Y201,IF(AH201&lt;&gt;"",AH201,""))</f>
        <v/>
      </c>
      <c r="L201" s="248">
        <f>IF(R201&lt;&gt;"",R201-Z201,IF(AI201&lt;&gt;"",AI201,""))</f>
        <v/>
      </c>
      <c r="M201" s="252" t="n"/>
      <c r="N201" s="253" t="n"/>
      <c r="O201" s="254" t="n"/>
      <c r="P201" s="255" t="n"/>
      <c r="Q201" s="258">
        <f>IF($A201="","",IF(Q200="","",Q200))</f>
        <v/>
      </c>
      <c r="R201" s="258">
        <f>IF($A201="","",IF(R200="","",R200))</f>
        <v/>
      </c>
      <c r="S201" s="258">
        <f>IF($A201="","",IF(S200="","",S200))</f>
        <v/>
      </c>
      <c r="T201" s="249">
        <f>IF(OR(P201="",W201=""),"",P201-W201)</f>
        <v/>
      </c>
      <c r="U201" s="258">
        <f>IF($A201="","",IF(U200="","",U200))</f>
        <v/>
      </c>
      <c r="V201" s="249">
        <f>IF(P201="","",P201+IF(Q201="",0,Q201)+IF(R201="",0,R201))</f>
        <v/>
      </c>
      <c r="W201" s="255" t="n"/>
      <c r="X201" s="249">
        <f>SUMIFS('09_CF_원금'!$E$6:$E$92,'09_CF_원금'!$D$6:$D$92,"국장",'09_CF_원금'!$A$6:$A$92,"&lt;="&amp;$A201)-SUMIFS('09_CF_원금'!$E$6:$E$92,'09_CF_원금'!$C$6:$C$92,"국장",'09_CF_원금'!$A$6:$A$92,"&lt;="&amp;$A201)</f>
        <v/>
      </c>
      <c r="Y201" s="249">
        <f>SUMIFS('09_CF_원금'!$E$6:$E$92,'09_CF_원금'!$D$6:$D$92,"미장",'09_CF_원금'!$A$6:$A$92,"&lt;="&amp;$A201)-SUMIFS('09_CF_원금'!$E$6:$E$92,'09_CF_원금'!$C$6:$C$92,"미장",'09_CF_원금'!$A$6:$A$92,"&lt;="&amp;$A201)</f>
        <v/>
      </c>
      <c r="Z201" s="249">
        <f>SUMIFS('09_CF_원금'!$E$6:$E$92,'09_CF_원금'!$D$6:$D$92,"ISA",'09_CF_원금'!$A$6:$A$92,"&lt;="&amp;$A201)-SUMIFS('09_CF_원금'!$E$6:$E$92,'09_CF_원금'!$C$6:$C$92,"ISA",'09_CF_원금'!$A$6:$A$92,"&lt;="&amp;$A201)</f>
        <v/>
      </c>
      <c r="AA201" s="249">
        <f>IF($A201="","",X201+Y201+Z201+SUMIFS('09_CF_원금'!$E$6:$E$92,'09_CF_원금'!$D$6:$D$92,"중국",'09_CF_원금'!$A$6:$A$92,"&lt;="&amp;$A201)-SUMIFS('09_CF_원금'!$E$6:$E$92,'09_CF_원금'!$C$6:$C$92,"중국",'09_CF_원금'!$A$6:$A$92,"&lt;="&amp;$A201)+SUMIFS('09_CF_원금'!$E$6:$E$92,'09_CF_원금'!$D$6:$D$92,"업비트",'09_CF_원금'!$A$6:$A$92,"&lt;="&amp;$A201)-SUMIFS('09_CF_원금'!$E$6:$E$92,'09_CF_원금'!$C$6:$C$92,"업비트",'09_CF_원금'!$A$6:$A$92,"&lt;="&amp;$A201))</f>
        <v/>
      </c>
      <c r="AB201" s="249">
        <f>IF(OR(U201="",V201=""),"",U201-(V201-IF(S201="",0,S201)))</f>
        <v/>
      </c>
      <c r="AC201" s="249">
        <f>IF(AB201="","",T201+AB201)</f>
        <v/>
      </c>
      <c r="AD201" s="249">
        <f>IF(B201="","",MAX($B$5:B201))</f>
        <v/>
      </c>
      <c r="AE201" s="256" t="n"/>
      <c r="AF201" s="255" t="n"/>
      <c r="AG201" s="255" t="n"/>
      <c r="AH201" s="255" t="n"/>
      <c r="AI201" s="255" t="n"/>
      <c r="AJ201" s="257">
        <f>IF($A201="","",YEAR($A201)*100+MONTH($A201))</f>
        <v/>
      </c>
      <c r="AK201" s="257">
        <f>IF($A201="","",IF($N201="",0,1))</f>
        <v/>
      </c>
    </row>
    <row r="202">
      <c r="A202" s="247" t="n">
        <v>46283</v>
      </c>
      <c r="B202" s="248">
        <f>IF(V202&lt;&gt;"",V202-T202,IF(AF202&lt;&gt;"",AA202+AF202,""))</f>
        <v/>
      </c>
      <c r="C202" s="249">
        <f>IF(OR(B202="",B201=""),"",B202-B201)</f>
        <v/>
      </c>
      <c r="D202" s="248">
        <f>IF(OR(B202="",AA202=""),"",B202-AA202)</f>
        <v/>
      </c>
      <c r="E202" s="250">
        <f>IF(OR(B202="",AD202=0),"",MIN(0,B202/AD202-1))</f>
        <v/>
      </c>
      <c r="F202" s="250">
        <f>IF(OR(U202="",T202=0,T202=""),"",(P202-T202*1.4)/U202)</f>
        <v/>
      </c>
      <c r="G202" s="251">
        <f>IF(OR(AC202="",'09_CF_원금'!$B$108=0),"",AC202/'09_CF_원금'!$B$108)</f>
        <v/>
      </c>
      <c r="H202" s="250">
        <f>IF(OR(U202="",U202=0,AC202=""),"",AC202/U202)</f>
        <v/>
      </c>
      <c r="I202" s="250">
        <f>IF(OR(S202="",U202=""),"",S202/(U202+S202))</f>
        <v/>
      </c>
      <c r="J202" s="248">
        <f>IF(W202&lt;&gt;"",W202-X202,IF(AG202&lt;&gt;"",AG202,""))</f>
        <v/>
      </c>
      <c r="K202" s="248">
        <f>IF(Q202&lt;&gt;"",Q202-Y202,IF(AH202&lt;&gt;"",AH202,""))</f>
        <v/>
      </c>
      <c r="L202" s="248">
        <f>IF(R202&lt;&gt;"",R202-Z202,IF(AI202&lt;&gt;"",AI202,""))</f>
        <v/>
      </c>
      <c r="M202" s="252" t="n"/>
      <c r="N202" s="253" t="n"/>
      <c r="O202" s="254" t="n"/>
      <c r="P202" s="255" t="n"/>
      <c r="Q202" s="258">
        <f>IF($A202="","",IF(Q201="","",Q201))</f>
        <v/>
      </c>
      <c r="R202" s="258">
        <f>IF($A202="","",IF(R201="","",R201))</f>
        <v/>
      </c>
      <c r="S202" s="258">
        <f>IF($A202="","",IF(S201="","",S201))</f>
        <v/>
      </c>
      <c r="T202" s="249">
        <f>IF(OR(P202="",W202=""),"",P202-W202)</f>
        <v/>
      </c>
      <c r="U202" s="258">
        <f>IF($A202="","",IF(U201="","",U201))</f>
        <v/>
      </c>
      <c r="V202" s="249">
        <f>IF(P202="","",P202+IF(Q202="",0,Q202)+IF(R202="",0,R202))</f>
        <v/>
      </c>
      <c r="W202" s="255" t="n"/>
      <c r="X202" s="249">
        <f>SUMIFS('09_CF_원금'!$E$6:$E$92,'09_CF_원금'!$D$6:$D$92,"국장",'09_CF_원금'!$A$6:$A$92,"&lt;="&amp;$A202)-SUMIFS('09_CF_원금'!$E$6:$E$92,'09_CF_원금'!$C$6:$C$92,"국장",'09_CF_원금'!$A$6:$A$92,"&lt;="&amp;$A202)</f>
        <v/>
      </c>
      <c r="Y202" s="249">
        <f>SUMIFS('09_CF_원금'!$E$6:$E$92,'09_CF_원금'!$D$6:$D$92,"미장",'09_CF_원금'!$A$6:$A$92,"&lt;="&amp;$A202)-SUMIFS('09_CF_원금'!$E$6:$E$92,'09_CF_원금'!$C$6:$C$92,"미장",'09_CF_원금'!$A$6:$A$92,"&lt;="&amp;$A202)</f>
        <v/>
      </c>
      <c r="Z202" s="249">
        <f>SUMIFS('09_CF_원금'!$E$6:$E$92,'09_CF_원금'!$D$6:$D$92,"ISA",'09_CF_원금'!$A$6:$A$92,"&lt;="&amp;$A202)-SUMIFS('09_CF_원금'!$E$6:$E$92,'09_CF_원금'!$C$6:$C$92,"ISA",'09_CF_원금'!$A$6:$A$92,"&lt;="&amp;$A202)</f>
        <v/>
      </c>
      <c r="AA202" s="249">
        <f>IF($A202="","",X202+Y202+Z202+SUMIFS('09_CF_원금'!$E$6:$E$92,'09_CF_원금'!$D$6:$D$92,"중국",'09_CF_원금'!$A$6:$A$92,"&lt;="&amp;$A202)-SUMIFS('09_CF_원금'!$E$6:$E$92,'09_CF_원금'!$C$6:$C$92,"중국",'09_CF_원금'!$A$6:$A$92,"&lt;="&amp;$A202)+SUMIFS('09_CF_원금'!$E$6:$E$92,'09_CF_원금'!$D$6:$D$92,"업비트",'09_CF_원금'!$A$6:$A$92,"&lt;="&amp;$A202)-SUMIFS('09_CF_원금'!$E$6:$E$92,'09_CF_원금'!$C$6:$C$92,"업비트",'09_CF_원금'!$A$6:$A$92,"&lt;="&amp;$A202))</f>
        <v/>
      </c>
      <c r="AB202" s="249">
        <f>IF(OR(U202="",V202=""),"",U202-(V202-IF(S202="",0,S202)))</f>
        <v/>
      </c>
      <c r="AC202" s="249">
        <f>IF(AB202="","",T202+AB202)</f>
        <v/>
      </c>
      <c r="AD202" s="249">
        <f>IF(B202="","",MAX($B$5:B202))</f>
        <v/>
      </c>
      <c r="AE202" s="256" t="n"/>
      <c r="AF202" s="255" t="n"/>
      <c r="AG202" s="255" t="n"/>
      <c r="AH202" s="255" t="n"/>
      <c r="AI202" s="255" t="n"/>
      <c r="AJ202" s="257">
        <f>IF($A202="","",YEAR($A202)*100+MONTH($A202))</f>
        <v/>
      </c>
      <c r="AK202" s="257">
        <f>IF($A202="","",IF($N202="",0,1))</f>
        <v/>
      </c>
    </row>
    <row r="203">
      <c r="A203" s="247" t="n">
        <v>46286</v>
      </c>
      <c r="B203" s="248">
        <f>IF(V203&lt;&gt;"",V203-T203,IF(AF203&lt;&gt;"",AA203+AF203,""))</f>
        <v/>
      </c>
      <c r="C203" s="249">
        <f>IF(OR(B203="",B202=""),"",B203-B202)</f>
        <v/>
      </c>
      <c r="D203" s="248">
        <f>IF(OR(B203="",AA203=""),"",B203-AA203)</f>
        <v/>
      </c>
      <c r="E203" s="250">
        <f>IF(OR(B203="",AD203=0),"",MIN(0,B203/AD203-1))</f>
        <v/>
      </c>
      <c r="F203" s="250">
        <f>IF(OR(U203="",T203=0,T203=""),"",(P203-T203*1.4)/U203)</f>
        <v/>
      </c>
      <c r="G203" s="251">
        <f>IF(OR(AC203="",'09_CF_원금'!$B$108=0),"",AC203/'09_CF_원금'!$B$108)</f>
        <v/>
      </c>
      <c r="H203" s="250">
        <f>IF(OR(U203="",U203=0,AC203=""),"",AC203/U203)</f>
        <v/>
      </c>
      <c r="I203" s="250">
        <f>IF(OR(S203="",U203=""),"",S203/(U203+S203))</f>
        <v/>
      </c>
      <c r="J203" s="248">
        <f>IF(W203&lt;&gt;"",W203-X203,IF(AG203&lt;&gt;"",AG203,""))</f>
        <v/>
      </c>
      <c r="K203" s="248">
        <f>IF(Q203&lt;&gt;"",Q203-Y203,IF(AH203&lt;&gt;"",AH203,""))</f>
        <v/>
      </c>
      <c r="L203" s="248">
        <f>IF(R203&lt;&gt;"",R203-Z203,IF(AI203&lt;&gt;"",AI203,""))</f>
        <v/>
      </c>
      <c r="M203" s="252" t="n"/>
      <c r="N203" s="253" t="n"/>
      <c r="O203" s="254" t="n"/>
      <c r="P203" s="255" t="n"/>
      <c r="Q203" s="258">
        <f>IF($A203="","",IF(Q202="","",Q202))</f>
        <v/>
      </c>
      <c r="R203" s="258">
        <f>IF($A203="","",IF(R202="","",R202))</f>
        <v/>
      </c>
      <c r="S203" s="258">
        <f>IF($A203="","",IF(S202="","",S202))</f>
        <v/>
      </c>
      <c r="T203" s="249">
        <f>IF(OR(P203="",W203=""),"",P203-W203)</f>
        <v/>
      </c>
      <c r="U203" s="258">
        <f>IF($A203="","",IF(U202="","",U202))</f>
        <v/>
      </c>
      <c r="V203" s="249">
        <f>IF(P203="","",P203+IF(Q203="",0,Q203)+IF(R203="",0,R203))</f>
        <v/>
      </c>
      <c r="W203" s="255" t="n"/>
      <c r="X203" s="249">
        <f>SUMIFS('09_CF_원금'!$E$6:$E$92,'09_CF_원금'!$D$6:$D$92,"국장",'09_CF_원금'!$A$6:$A$92,"&lt;="&amp;$A203)-SUMIFS('09_CF_원금'!$E$6:$E$92,'09_CF_원금'!$C$6:$C$92,"국장",'09_CF_원금'!$A$6:$A$92,"&lt;="&amp;$A203)</f>
        <v/>
      </c>
      <c r="Y203" s="249">
        <f>SUMIFS('09_CF_원금'!$E$6:$E$92,'09_CF_원금'!$D$6:$D$92,"미장",'09_CF_원금'!$A$6:$A$92,"&lt;="&amp;$A203)-SUMIFS('09_CF_원금'!$E$6:$E$92,'09_CF_원금'!$C$6:$C$92,"미장",'09_CF_원금'!$A$6:$A$92,"&lt;="&amp;$A203)</f>
        <v/>
      </c>
      <c r="Z203" s="249">
        <f>SUMIFS('09_CF_원금'!$E$6:$E$92,'09_CF_원금'!$D$6:$D$92,"ISA",'09_CF_원금'!$A$6:$A$92,"&lt;="&amp;$A203)-SUMIFS('09_CF_원금'!$E$6:$E$92,'09_CF_원금'!$C$6:$C$92,"ISA",'09_CF_원금'!$A$6:$A$92,"&lt;="&amp;$A203)</f>
        <v/>
      </c>
      <c r="AA203" s="249">
        <f>IF($A203="","",X203+Y203+Z203+SUMIFS('09_CF_원금'!$E$6:$E$92,'09_CF_원금'!$D$6:$D$92,"중국",'09_CF_원금'!$A$6:$A$92,"&lt;="&amp;$A203)-SUMIFS('09_CF_원금'!$E$6:$E$92,'09_CF_원금'!$C$6:$C$92,"중국",'09_CF_원금'!$A$6:$A$92,"&lt;="&amp;$A203)+SUMIFS('09_CF_원금'!$E$6:$E$92,'09_CF_원금'!$D$6:$D$92,"업비트",'09_CF_원금'!$A$6:$A$92,"&lt;="&amp;$A203)-SUMIFS('09_CF_원금'!$E$6:$E$92,'09_CF_원금'!$C$6:$C$92,"업비트",'09_CF_원금'!$A$6:$A$92,"&lt;="&amp;$A203))</f>
        <v/>
      </c>
      <c r="AB203" s="249">
        <f>IF(OR(U203="",V203=""),"",U203-(V203-IF(S203="",0,S203)))</f>
        <v/>
      </c>
      <c r="AC203" s="249">
        <f>IF(AB203="","",T203+AB203)</f>
        <v/>
      </c>
      <c r="AD203" s="249">
        <f>IF(B203="","",MAX($B$5:B203))</f>
        <v/>
      </c>
      <c r="AE203" s="256" t="n"/>
      <c r="AF203" s="255" t="n"/>
      <c r="AG203" s="255" t="n"/>
      <c r="AH203" s="255" t="n"/>
      <c r="AI203" s="255" t="n"/>
      <c r="AJ203" s="257">
        <f>IF($A203="","",YEAR($A203)*100+MONTH($A203))</f>
        <v/>
      </c>
      <c r="AK203" s="257">
        <f>IF($A203="","",IF($N203="",0,1))</f>
        <v/>
      </c>
    </row>
    <row r="204">
      <c r="A204" s="247" t="n">
        <v>46287</v>
      </c>
      <c r="B204" s="248">
        <f>IF(V204&lt;&gt;"",V204-T204,IF(AF204&lt;&gt;"",AA204+AF204,""))</f>
        <v/>
      </c>
      <c r="C204" s="249">
        <f>IF(OR(B204="",B203=""),"",B204-B203)</f>
        <v/>
      </c>
      <c r="D204" s="248">
        <f>IF(OR(B204="",AA204=""),"",B204-AA204)</f>
        <v/>
      </c>
      <c r="E204" s="250">
        <f>IF(OR(B204="",AD204=0),"",MIN(0,B204/AD204-1))</f>
        <v/>
      </c>
      <c r="F204" s="250">
        <f>IF(OR(U204="",T204=0,T204=""),"",(P204-T204*1.4)/U204)</f>
        <v/>
      </c>
      <c r="G204" s="251">
        <f>IF(OR(AC204="",'09_CF_원금'!$B$108=0),"",AC204/'09_CF_원금'!$B$108)</f>
        <v/>
      </c>
      <c r="H204" s="250">
        <f>IF(OR(U204="",U204=0,AC204=""),"",AC204/U204)</f>
        <v/>
      </c>
      <c r="I204" s="250">
        <f>IF(OR(S204="",U204=""),"",S204/(U204+S204))</f>
        <v/>
      </c>
      <c r="J204" s="248">
        <f>IF(W204&lt;&gt;"",W204-X204,IF(AG204&lt;&gt;"",AG204,""))</f>
        <v/>
      </c>
      <c r="K204" s="248">
        <f>IF(Q204&lt;&gt;"",Q204-Y204,IF(AH204&lt;&gt;"",AH204,""))</f>
        <v/>
      </c>
      <c r="L204" s="248">
        <f>IF(R204&lt;&gt;"",R204-Z204,IF(AI204&lt;&gt;"",AI204,""))</f>
        <v/>
      </c>
      <c r="M204" s="252" t="n"/>
      <c r="N204" s="253" t="n"/>
      <c r="O204" s="254" t="n"/>
      <c r="P204" s="255" t="n"/>
      <c r="Q204" s="258">
        <f>IF($A204="","",IF(Q203="","",Q203))</f>
        <v/>
      </c>
      <c r="R204" s="258">
        <f>IF($A204="","",IF(R203="","",R203))</f>
        <v/>
      </c>
      <c r="S204" s="258">
        <f>IF($A204="","",IF(S203="","",S203))</f>
        <v/>
      </c>
      <c r="T204" s="249">
        <f>IF(OR(P204="",W204=""),"",P204-W204)</f>
        <v/>
      </c>
      <c r="U204" s="258">
        <f>IF($A204="","",IF(U203="","",U203))</f>
        <v/>
      </c>
      <c r="V204" s="249">
        <f>IF(P204="","",P204+IF(Q204="",0,Q204)+IF(R204="",0,R204))</f>
        <v/>
      </c>
      <c r="W204" s="255" t="n"/>
      <c r="X204" s="249">
        <f>SUMIFS('09_CF_원금'!$E$6:$E$92,'09_CF_원금'!$D$6:$D$92,"국장",'09_CF_원금'!$A$6:$A$92,"&lt;="&amp;$A204)-SUMIFS('09_CF_원금'!$E$6:$E$92,'09_CF_원금'!$C$6:$C$92,"국장",'09_CF_원금'!$A$6:$A$92,"&lt;="&amp;$A204)</f>
        <v/>
      </c>
      <c r="Y204" s="249">
        <f>SUMIFS('09_CF_원금'!$E$6:$E$92,'09_CF_원금'!$D$6:$D$92,"미장",'09_CF_원금'!$A$6:$A$92,"&lt;="&amp;$A204)-SUMIFS('09_CF_원금'!$E$6:$E$92,'09_CF_원금'!$C$6:$C$92,"미장",'09_CF_원금'!$A$6:$A$92,"&lt;="&amp;$A204)</f>
        <v/>
      </c>
      <c r="Z204" s="249">
        <f>SUMIFS('09_CF_원금'!$E$6:$E$92,'09_CF_원금'!$D$6:$D$92,"ISA",'09_CF_원금'!$A$6:$A$92,"&lt;="&amp;$A204)-SUMIFS('09_CF_원금'!$E$6:$E$92,'09_CF_원금'!$C$6:$C$92,"ISA",'09_CF_원금'!$A$6:$A$92,"&lt;="&amp;$A204)</f>
        <v/>
      </c>
      <c r="AA204" s="249">
        <f>IF($A204="","",X204+Y204+Z204+SUMIFS('09_CF_원금'!$E$6:$E$92,'09_CF_원금'!$D$6:$D$92,"중국",'09_CF_원금'!$A$6:$A$92,"&lt;="&amp;$A204)-SUMIFS('09_CF_원금'!$E$6:$E$92,'09_CF_원금'!$C$6:$C$92,"중국",'09_CF_원금'!$A$6:$A$92,"&lt;="&amp;$A204)+SUMIFS('09_CF_원금'!$E$6:$E$92,'09_CF_원금'!$D$6:$D$92,"업비트",'09_CF_원금'!$A$6:$A$92,"&lt;="&amp;$A204)-SUMIFS('09_CF_원금'!$E$6:$E$92,'09_CF_원금'!$C$6:$C$92,"업비트",'09_CF_원금'!$A$6:$A$92,"&lt;="&amp;$A204))</f>
        <v/>
      </c>
      <c r="AB204" s="249">
        <f>IF(OR(U204="",V204=""),"",U204-(V204-IF(S204="",0,S204)))</f>
        <v/>
      </c>
      <c r="AC204" s="249">
        <f>IF(AB204="","",T204+AB204)</f>
        <v/>
      </c>
      <c r="AD204" s="249">
        <f>IF(B204="","",MAX($B$5:B204))</f>
        <v/>
      </c>
      <c r="AE204" s="256" t="n"/>
      <c r="AF204" s="255" t="n"/>
      <c r="AG204" s="255" t="n"/>
      <c r="AH204" s="255" t="n"/>
      <c r="AI204" s="255" t="n"/>
      <c r="AJ204" s="257">
        <f>IF($A204="","",YEAR($A204)*100+MONTH($A204))</f>
        <v/>
      </c>
      <c r="AK204" s="257">
        <f>IF($A204="","",IF($N204="",0,1))</f>
        <v/>
      </c>
    </row>
    <row r="205">
      <c r="A205" s="247" t="n">
        <v>46288</v>
      </c>
      <c r="B205" s="248">
        <f>IF(V205&lt;&gt;"",V205-T205,IF(AF205&lt;&gt;"",AA205+AF205,""))</f>
        <v/>
      </c>
      <c r="C205" s="249">
        <f>IF(OR(B205="",B204=""),"",B205-B204)</f>
        <v/>
      </c>
      <c r="D205" s="248">
        <f>IF(OR(B205="",AA205=""),"",B205-AA205)</f>
        <v/>
      </c>
      <c r="E205" s="250">
        <f>IF(OR(B205="",AD205=0),"",MIN(0,B205/AD205-1))</f>
        <v/>
      </c>
      <c r="F205" s="250">
        <f>IF(OR(U205="",T205=0,T205=""),"",(P205-T205*1.4)/U205)</f>
        <v/>
      </c>
      <c r="G205" s="251">
        <f>IF(OR(AC205="",'09_CF_원금'!$B$108=0),"",AC205/'09_CF_원금'!$B$108)</f>
        <v/>
      </c>
      <c r="H205" s="250">
        <f>IF(OR(U205="",U205=0,AC205=""),"",AC205/U205)</f>
        <v/>
      </c>
      <c r="I205" s="250">
        <f>IF(OR(S205="",U205=""),"",S205/(U205+S205))</f>
        <v/>
      </c>
      <c r="J205" s="248">
        <f>IF(W205&lt;&gt;"",W205-X205,IF(AG205&lt;&gt;"",AG205,""))</f>
        <v/>
      </c>
      <c r="K205" s="248">
        <f>IF(Q205&lt;&gt;"",Q205-Y205,IF(AH205&lt;&gt;"",AH205,""))</f>
        <v/>
      </c>
      <c r="L205" s="248">
        <f>IF(R205&lt;&gt;"",R205-Z205,IF(AI205&lt;&gt;"",AI205,""))</f>
        <v/>
      </c>
      <c r="M205" s="252" t="n"/>
      <c r="N205" s="253" t="n"/>
      <c r="O205" s="254" t="n"/>
      <c r="P205" s="255" t="n"/>
      <c r="Q205" s="258">
        <f>IF($A205="","",IF(Q204="","",Q204))</f>
        <v/>
      </c>
      <c r="R205" s="258">
        <f>IF($A205="","",IF(R204="","",R204))</f>
        <v/>
      </c>
      <c r="S205" s="258">
        <f>IF($A205="","",IF(S204="","",S204))</f>
        <v/>
      </c>
      <c r="T205" s="249">
        <f>IF(OR(P205="",W205=""),"",P205-W205)</f>
        <v/>
      </c>
      <c r="U205" s="258">
        <f>IF($A205="","",IF(U204="","",U204))</f>
        <v/>
      </c>
      <c r="V205" s="249">
        <f>IF(P205="","",P205+IF(Q205="",0,Q205)+IF(R205="",0,R205))</f>
        <v/>
      </c>
      <c r="W205" s="255" t="n"/>
      <c r="X205" s="249">
        <f>SUMIFS('09_CF_원금'!$E$6:$E$92,'09_CF_원금'!$D$6:$D$92,"국장",'09_CF_원금'!$A$6:$A$92,"&lt;="&amp;$A205)-SUMIFS('09_CF_원금'!$E$6:$E$92,'09_CF_원금'!$C$6:$C$92,"국장",'09_CF_원금'!$A$6:$A$92,"&lt;="&amp;$A205)</f>
        <v/>
      </c>
      <c r="Y205" s="249">
        <f>SUMIFS('09_CF_원금'!$E$6:$E$92,'09_CF_원금'!$D$6:$D$92,"미장",'09_CF_원금'!$A$6:$A$92,"&lt;="&amp;$A205)-SUMIFS('09_CF_원금'!$E$6:$E$92,'09_CF_원금'!$C$6:$C$92,"미장",'09_CF_원금'!$A$6:$A$92,"&lt;="&amp;$A205)</f>
        <v/>
      </c>
      <c r="Z205" s="249">
        <f>SUMIFS('09_CF_원금'!$E$6:$E$92,'09_CF_원금'!$D$6:$D$92,"ISA",'09_CF_원금'!$A$6:$A$92,"&lt;="&amp;$A205)-SUMIFS('09_CF_원금'!$E$6:$E$92,'09_CF_원금'!$C$6:$C$92,"ISA",'09_CF_원금'!$A$6:$A$92,"&lt;="&amp;$A205)</f>
        <v/>
      </c>
      <c r="AA205" s="249">
        <f>IF($A205="","",X205+Y205+Z205+SUMIFS('09_CF_원금'!$E$6:$E$92,'09_CF_원금'!$D$6:$D$92,"중국",'09_CF_원금'!$A$6:$A$92,"&lt;="&amp;$A205)-SUMIFS('09_CF_원금'!$E$6:$E$92,'09_CF_원금'!$C$6:$C$92,"중국",'09_CF_원금'!$A$6:$A$92,"&lt;="&amp;$A205)+SUMIFS('09_CF_원금'!$E$6:$E$92,'09_CF_원금'!$D$6:$D$92,"업비트",'09_CF_원금'!$A$6:$A$92,"&lt;="&amp;$A205)-SUMIFS('09_CF_원금'!$E$6:$E$92,'09_CF_원금'!$C$6:$C$92,"업비트",'09_CF_원금'!$A$6:$A$92,"&lt;="&amp;$A205))</f>
        <v/>
      </c>
      <c r="AB205" s="249">
        <f>IF(OR(U205="",V205=""),"",U205-(V205-IF(S205="",0,S205)))</f>
        <v/>
      </c>
      <c r="AC205" s="249">
        <f>IF(AB205="","",T205+AB205)</f>
        <v/>
      </c>
      <c r="AD205" s="249">
        <f>IF(B205="","",MAX($B$5:B205))</f>
        <v/>
      </c>
      <c r="AE205" s="256" t="n"/>
      <c r="AF205" s="255" t="n"/>
      <c r="AG205" s="255" t="n"/>
      <c r="AH205" s="255" t="n"/>
      <c r="AI205" s="255" t="n"/>
      <c r="AJ205" s="257">
        <f>IF($A205="","",YEAR($A205)*100+MONTH($A205))</f>
        <v/>
      </c>
      <c r="AK205" s="257">
        <f>IF($A205="","",IF($N205="",0,1))</f>
        <v/>
      </c>
    </row>
    <row r="206">
      <c r="A206" s="247" t="n">
        <v>46289</v>
      </c>
      <c r="B206" s="248">
        <f>IF(V206&lt;&gt;"",V206-T206,IF(AF206&lt;&gt;"",AA206+AF206,""))</f>
        <v/>
      </c>
      <c r="C206" s="249">
        <f>IF(OR(B206="",B205=""),"",B206-B205)</f>
        <v/>
      </c>
      <c r="D206" s="248">
        <f>IF(OR(B206="",AA206=""),"",B206-AA206)</f>
        <v/>
      </c>
      <c r="E206" s="250">
        <f>IF(OR(B206="",AD206=0),"",MIN(0,B206/AD206-1))</f>
        <v/>
      </c>
      <c r="F206" s="250">
        <f>IF(OR(U206="",T206=0,T206=""),"",(P206-T206*1.4)/U206)</f>
        <v/>
      </c>
      <c r="G206" s="251">
        <f>IF(OR(AC206="",'09_CF_원금'!$B$108=0),"",AC206/'09_CF_원금'!$B$108)</f>
        <v/>
      </c>
      <c r="H206" s="250">
        <f>IF(OR(U206="",U206=0,AC206=""),"",AC206/U206)</f>
        <v/>
      </c>
      <c r="I206" s="250">
        <f>IF(OR(S206="",U206=""),"",S206/(U206+S206))</f>
        <v/>
      </c>
      <c r="J206" s="248">
        <f>IF(W206&lt;&gt;"",W206-X206,IF(AG206&lt;&gt;"",AG206,""))</f>
        <v/>
      </c>
      <c r="K206" s="248">
        <f>IF(Q206&lt;&gt;"",Q206-Y206,IF(AH206&lt;&gt;"",AH206,""))</f>
        <v/>
      </c>
      <c r="L206" s="248">
        <f>IF(R206&lt;&gt;"",R206-Z206,IF(AI206&lt;&gt;"",AI206,""))</f>
        <v/>
      </c>
      <c r="M206" s="252" t="n"/>
      <c r="N206" s="253" t="n"/>
      <c r="O206" s="254" t="n"/>
      <c r="P206" s="255" t="n"/>
      <c r="Q206" s="258">
        <f>IF($A206="","",IF(Q205="","",Q205))</f>
        <v/>
      </c>
      <c r="R206" s="258">
        <f>IF($A206="","",IF(R205="","",R205))</f>
        <v/>
      </c>
      <c r="S206" s="258">
        <f>IF($A206="","",IF(S205="","",S205))</f>
        <v/>
      </c>
      <c r="T206" s="249">
        <f>IF(OR(P206="",W206=""),"",P206-W206)</f>
        <v/>
      </c>
      <c r="U206" s="258">
        <f>IF($A206="","",IF(U205="","",U205))</f>
        <v/>
      </c>
      <c r="V206" s="249">
        <f>IF(P206="","",P206+IF(Q206="",0,Q206)+IF(R206="",0,R206))</f>
        <v/>
      </c>
      <c r="W206" s="255" t="n"/>
      <c r="X206" s="249">
        <f>SUMIFS('09_CF_원금'!$E$6:$E$92,'09_CF_원금'!$D$6:$D$92,"국장",'09_CF_원금'!$A$6:$A$92,"&lt;="&amp;$A206)-SUMIFS('09_CF_원금'!$E$6:$E$92,'09_CF_원금'!$C$6:$C$92,"국장",'09_CF_원금'!$A$6:$A$92,"&lt;="&amp;$A206)</f>
        <v/>
      </c>
      <c r="Y206" s="249">
        <f>SUMIFS('09_CF_원금'!$E$6:$E$92,'09_CF_원금'!$D$6:$D$92,"미장",'09_CF_원금'!$A$6:$A$92,"&lt;="&amp;$A206)-SUMIFS('09_CF_원금'!$E$6:$E$92,'09_CF_원금'!$C$6:$C$92,"미장",'09_CF_원금'!$A$6:$A$92,"&lt;="&amp;$A206)</f>
        <v/>
      </c>
      <c r="Z206" s="249">
        <f>SUMIFS('09_CF_원금'!$E$6:$E$92,'09_CF_원금'!$D$6:$D$92,"ISA",'09_CF_원금'!$A$6:$A$92,"&lt;="&amp;$A206)-SUMIFS('09_CF_원금'!$E$6:$E$92,'09_CF_원금'!$C$6:$C$92,"ISA",'09_CF_원금'!$A$6:$A$92,"&lt;="&amp;$A206)</f>
        <v/>
      </c>
      <c r="AA206" s="249">
        <f>IF($A206="","",X206+Y206+Z206+SUMIFS('09_CF_원금'!$E$6:$E$92,'09_CF_원금'!$D$6:$D$92,"중국",'09_CF_원금'!$A$6:$A$92,"&lt;="&amp;$A206)-SUMIFS('09_CF_원금'!$E$6:$E$92,'09_CF_원금'!$C$6:$C$92,"중국",'09_CF_원금'!$A$6:$A$92,"&lt;="&amp;$A206)+SUMIFS('09_CF_원금'!$E$6:$E$92,'09_CF_원금'!$D$6:$D$92,"업비트",'09_CF_원금'!$A$6:$A$92,"&lt;="&amp;$A206)-SUMIFS('09_CF_원금'!$E$6:$E$92,'09_CF_원금'!$C$6:$C$92,"업비트",'09_CF_원금'!$A$6:$A$92,"&lt;="&amp;$A206))</f>
        <v/>
      </c>
      <c r="AB206" s="249">
        <f>IF(OR(U206="",V206=""),"",U206-(V206-IF(S206="",0,S206)))</f>
        <v/>
      </c>
      <c r="AC206" s="249">
        <f>IF(AB206="","",T206+AB206)</f>
        <v/>
      </c>
      <c r="AD206" s="249">
        <f>IF(B206="","",MAX($B$5:B206))</f>
        <v/>
      </c>
      <c r="AE206" s="256" t="n"/>
      <c r="AF206" s="255" t="n"/>
      <c r="AG206" s="255" t="n"/>
      <c r="AH206" s="255" t="n"/>
      <c r="AI206" s="255" t="n"/>
      <c r="AJ206" s="257">
        <f>IF($A206="","",YEAR($A206)*100+MONTH($A206))</f>
        <v/>
      </c>
      <c r="AK206" s="257">
        <f>IF($A206="","",IF($N206="",0,1))</f>
        <v/>
      </c>
    </row>
    <row r="207">
      <c r="A207" s="247" t="n">
        <v>46290</v>
      </c>
      <c r="B207" s="248">
        <f>IF(V207&lt;&gt;"",V207-T207,IF(AF207&lt;&gt;"",AA207+AF207,""))</f>
        <v/>
      </c>
      <c r="C207" s="249">
        <f>IF(OR(B207="",B206=""),"",B207-B206)</f>
        <v/>
      </c>
      <c r="D207" s="248">
        <f>IF(OR(B207="",AA207=""),"",B207-AA207)</f>
        <v/>
      </c>
      <c r="E207" s="250">
        <f>IF(OR(B207="",AD207=0),"",MIN(0,B207/AD207-1))</f>
        <v/>
      </c>
      <c r="F207" s="250">
        <f>IF(OR(U207="",T207=0,T207=""),"",(P207-T207*1.4)/U207)</f>
        <v/>
      </c>
      <c r="G207" s="251">
        <f>IF(OR(AC207="",'09_CF_원금'!$B$108=0),"",AC207/'09_CF_원금'!$B$108)</f>
        <v/>
      </c>
      <c r="H207" s="250">
        <f>IF(OR(U207="",U207=0,AC207=""),"",AC207/U207)</f>
        <v/>
      </c>
      <c r="I207" s="250">
        <f>IF(OR(S207="",U207=""),"",S207/(U207+S207))</f>
        <v/>
      </c>
      <c r="J207" s="248">
        <f>IF(W207&lt;&gt;"",W207-X207,IF(AG207&lt;&gt;"",AG207,""))</f>
        <v/>
      </c>
      <c r="K207" s="248">
        <f>IF(Q207&lt;&gt;"",Q207-Y207,IF(AH207&lt;&gt;"",AH207,""))</f>
        <v/>
      </c>
      <c r="L207" s="248">
        <f>IF(R207&lt;&gt;"",R207-Z207,IF(AI207&lt;&gt;"",AI207,""))</f>
        <v/>
      </c>
      <c r="M207" s="252" t="n"/>
      <c r="N207" s="253" t="n"/>
      <c r="O207" s="254" t="n"/>
      <c r="P207" s="255" t="n"/>
      <c r="Q207" s="258">
        <f>IF($A207="","",IF(Q206="","",Q206))</f>
        <v/>
      </c>
      <c r="R207" s="258">
        <f>IF($A207="","",IF(R206="","",R206))</f>
        <v/>
      </c>
      <c r="S207" s="258">
        <f>IF($A207="","",IF(S206="","",S206))</f>
        <v/>
      </c>
      <c r="T207" s="249">
        <f>IF(OR(P207="",W207=""),"",P207-W207)</f>
        <v/>
      </c>
      <c r="U207" s="258">
        <f>IF($A207="","",IF(U206="","",U206))</f>
        <v/>
      </c>
      <c r="V207" s="249">
        <f>IF(P207="","",P207+IF(Q207="",0,Q207)+IF(R207="",0,R207))</f>
        <v/>
      </c>
      <c r="W207" s="255" t="n"/>
      <c r="X207" s="249">
        <f>SUMIFS('09_CF_원금'!$E$6:$E$92,'09_CF_원금'!$D$6:$D$92,"국장",'09_CF_원금'!$A$6:$A$92,"&lt;="&amp;$A207)-SUMIFS('09_CF_원금'!$E$6:$E$92,'09_CF_원금'!$C$6:$C$92,"국장",'09_CF_원금'!$A$6:$A$92,"&lt;="&amp;$A207)</f>
        <v/>
      </c>
      <c r="Y207" s="249">
        <f>SUMIFS('09_CF_원금'!$E$6:$E$92,'09_CF_원금'!$D$6:$D$92,"미장",'09_CF_원금'!$A$6:$A$92,"&lt;="&amp;$A207)-SUMIFS('09_CF_원금'!$E$6:$E$92,'09_CF_원금'!$C$6:$C$92,"미장",'09_CF_원금'!$A$6:$A$92,"&lt;="&amp;$A207)</f>
        <v/>
      </c>
      <c r="Z207" s="249">
        <f>SUMIFS('09_CF_원금'!$E$6:$E$92,'09_CF_원금'!$D$6:$D$92,"ISA",'09_CF_원금'!$A$6:$A$92,"&lt;="&amp;$A207)-SUMIFS('09_CF_원금'!$E$6:$E$92,'09_CF_원금'!$C$6:$C$92,"ISA",'09_CF_원금'!$A$6:$A$92,"&lt;="&amp;$A207)</f>
        <v/>
      </c>
      <c r="AA207" s="249">
        <f>IF($A207="","",X207+Y207+Z207+SUMIFS('09_CF_원금'!$E$6:$E$92,'09_CF_원금'!$D$6:$D$92,"중국",'09_CF_원금'!$A$6:$A$92,"&lt;="&amp;$A207)-SUMIFS('09_CF_원금'!$E$6:$E$92,'09_CF_원금'!$C$6:$C$92,"중국",'09_CF_원금'!$A$6:$A$92,"&lt;="&amp;$A207)+SUMIFS('09_CF_원금'!$E$6:$E$92,'09_CF_원금'!$D$6:$D$92,"업비트",'09_CF_원금'!$A$6:$A$92,"&lt;="&amp;$A207)-SUMIFS('09_CF_원금'!$E$6:$E$92,'09_CF_원금'!$C$6:$C$92,"업비트",'09_CF_원금'!$A$6:$A$92,"&lt;="&amp;$A207))</f>
        <v/>
      </c>
      <c r="AB207" s="249">
        <f>IF(OR(U207="",V207=""),"",U207-(V207-IF(S207="",0,S207)))</f>
        <v/>
      </c>
      <c r="AC207" s="249">
        <f>IF(AB207="","",T207+AB207)</f>
        <v/>
      </c>
      <c r="AD207" s="249">
        <f>IF(B207="","",MAX($B$5:B207))</f>
        <v/>
      </c>
      <c r="AE207" s="256" t="n"/>
      <c r="AF207" s="255" t="n"/>
      <c r="AG207" s="255" t="n"/>
      <c r="AH207" s="255" t="n"/>
      <c r="AI207" s="255" t="n"/>
      <c r="AJ207" s="257">
        <f>IF($A207="","",YEAR($A207)*100+MONTH($A207))</f>
        <v/>
      </c>
      <c r="AK207" s="257">
        <f>IF($A207="","",IF($N207="",0,1))</f>
        <v/>
      </c>
    </row>
    <row r="208">
      <c r="A208" s="247" t="n">
        <v>46293</v>
      </c>
      <c r="B208" s="248">
        <f>IF(V208&lt;&gt;"",V208-T208,IF(AF208&lt;&gt;"",AA208+AF208,""))</f>
        <v/>
      </c>
      <c r="C208" s="249">
        <f>IF(OR(B208="",B207=""),"",B208-B207)</f>
        <v/>
      </c>
      <c r="D208" s="248">
        <f>IF(OR(B208="",AA208=""),"",B208-AA208)</f>
        <v/>
      </c>
      <c r="E208" s="250">
        <f>IF(OR(B208="",AD208=0),"",MIN(0,B208/AD208-1))</f>
        <v/>
      </c>
      <c r="F208" s="250">
        <f>IF(OR(U208="",T208=0,T208=""),"",(P208-T208*1.4)/U208)</f>
        <v/>
      </c>
      <c r="G208" s="251">
        <f>IF(OR(AC208="",'09_CF_원금'!$B$108=0),"",AC208/'09_CF_원금'!$B$108)</f>
        <v/>
      </c>
      <c r="H208" s="250">
        <f>IF(OR(U208="",U208=0,AC208=""),"",AC208/U208)</f>
        <v/>
      </c>
      <c r="I208" s="250">
        <f>IF(OR(S208="",U208=""),"",S208/(U208+S208))</f>
        <v/>
      </c>
      <c r="J208" s="248">
        <f>IF(W208&lt;&gt;"",W208-X208,IF(AG208&lt;&gt;"",AG208,""))</f>
        <v/>
      </c>
      <c r="K208" s="248">
        <f>IF(Q208&lt;&gt;"",Q208-Y208,IF(AH208&lt;&gt;"",AH208,""))</f>
        <v/>
      </c>
      <c r="L208" s="248">
        <f>IF(R208&lt;&gt;"",R208-Z208,IF(AI208&lt;&gt;"",AI208,""))</f>
        <v/>
      </c>
      <c r="M208" s="252" t="n"/>
      <c r="N208" s="253" t="n"/>
      <c r="O208" s="254" t="n"/>
      <c r="P208" s="255" t="n"/>
      <c r="Q208" s="258">
        <f>IF($A208="","",IF(Q207="","",Q207))</f>
        <v/>
      </c>
      <c r="R208" s="258">
        <f>IF($A208="","",IF(R207="","",R207))</f>
        <v/>
      </c>
      <c r="S208" s="258">
        <f>IF($A208="","",IF(S207="","",S207))</f>
        <v/>
      </c>
      <c r="T208" s="249">
        <f>IF(OR(P208="",W208=""),"",P208-W208)</f>
        <v/>
      </c>
      <c r="U208" s="258">
        <f>IF($A208="","",IF(U207="","",U207))</f>
        <v/>
      </c>
      <c r="V208" s="249">
        <f>IF(P208="","",P208+IF(Q208="",0,Q208)+IF(R208="",0,R208))</f>
        <v/>
      </c>
      <c r="W208" s="255" t="n"/>
      <c r="X208" s="249">
        <f>SUMIFS('09_CF_원금'!$E$6:$E$92,'09_CF_원금'!$D$6:$D$92,"국장",'09_CF_원금'!$A$6:$A$92,"&lt;="&amp;$A208)-SUMIFS('09_CF_원금'!$E$6:$E$92,'09_CF_원금'!$C$6:$C$92,"국장",'09_CF_원금'!$A$6:$A$92,"&lt;="&amp;$A208)</f>
        <v/>
      </c>
      <c r="Y208" s="249">
        <f>SUMIFS('09_CF_원금'!$E$6:$E$92,'09_CF_원금'!$D$6:$D$92,"미장",'09_CF_원금'!$A$6:$A$92,"&lt;="&amp;$A208)-SUMIFS('09_CF_원금'!$E$6:$E$92,'09_CF_원금'!$C$6:$C$92,"미장",'09_CF_원금'!$A$6:$A$92,"&lt;="&amp;$A208)</f>
        <v/>
      </c>
      <c r="Z208" s="249">
        <f>SUMIFS('09_CF_원금'!$E$6:$E$92,'09_CF_원금'!$D$6:$D$92,"ISA",'09_CF_원금'!$A$6:$A$92,"&lt;="&amp;$A208)-SUMIFS('09_CF_원금'!$E$6:$E$92,'09_CF_원금'!$C$6:$C$92,"ISA",'09_CF_원금'!$A$6:$A$92,"&lt;="&amp;$A208)</f>
        <v/>
      </c>
      <c r="AA208" s="249">
        <f>IF($A208="","",X208+Y208+Z208+SUMIFS('09_CF_원금'!$E$6:$E$92,'09_CF_원금'!$D$6:$D$92,"중국",'09_CF_원금'!$A$6:$A$92,"&lt;="&amp;$A208)-SUMIFS('09_CF_원금'!$E$6:$E$92,'09_CF_원금'!$C$6:$C$92,"중국",'09_CF_원금'!$A$6:$A$92,"&lt;="&amp;$A208)+SUMIFS('09_CF_원금'!$E$6:$E$92,'09_CF_원금'!$D$6:$D$92,"업비트",'09_CF_원금'!$A$6:$A$92,"&lt;="&amp;$A208)-SUMIFS('09_CF_원금'!$E$6:$E$92,'09_CF_원금'!$C$6:$C$92,"업비트",'09_CF_원금'!$A$6:$A$92,"&lt;="&amp;$A208))</f>
        <v/>
      </c>
      <c r="AB208" s="249">
        <f>IF(OR(U208="",V208=""),"",U208-(V208-IF(S208="",0,S208)))</f>
        <v/>
      </c>
      <c r="AC208" s="249">
        <f>IF(AB208="","",T208+AB208)</f>
        <v/>
      </c>
      <c r="AD208" s="249">
        <f>IF(B208="","",MAX($B$5:B208))</f>
        <v/>
      </c>
      <c r="AE208" s="256" t="n"/>
      <c r="AF208" s="255" t="n"/>
      <c r="AG208" s="255" t="n"/>
      <c r="AH208" s="255" t="n"/>
      <c r="AI208" s="255" t="n"/>
      <c r="AJ208" s="257">
        <f>IF($A208="","",YEAR($A208)*100+MONTH($A208))</f>
        <v/>
      </c>
      <c r="AK208" s="257">
        <f>IF($A208="","",IF($N208="",0,1))</f>
        <v/>
      </c>
    </row>
    <row r="209">
      <c r="A209" s="247" t="n">
        <v>46294</v>
      </c>
      <c r="B209" s="248">
        <f>IF(V209&lt;&gt;"",V209-T209,IF(AF209&lt;&gt;"",AA209+AF209,""))</f>
        <v/>
      </c>
      <c r="C209" s="249">
        <f>IF(OR(B209="",B208=""),"",B209-B208)</f>
        <v/>
      </c>
      <c r="D209" s="248">
        <f>IF(OR(B209="",AA209=""),"",B209-AA209)</f>
        <v/>
      </c>
      <c r="E209" s="250">
        <f>IF(OR(B209="",AD209=0),"",MIN(0,B209/AD209-1))</f>
        <v/>
      </c>
      <c r="F209" s="250">
        <f>IF(OR(U209="",T209=0,T209=""),"",(P209-T209*1.4)/U209)</f>
        <v/>
      </c>
      <c r="G209" s="251">
        <f>IF(OR(AC209="",'09_CF_원금'!$B$108=0),"",AC209/'09_CF_원금'!$B$108)</f>
        <v/>
      </c>
      <c r="H209" s="250">
        <f>IF(OR(U209="",U209=0,AC209=""),"",AC209/U209)</f>
        <v/>
      </c>
      <c r="I209" s="250">
        <f>IF(OR(S209="",U209=""),"",S209/(U209+S209))</f>
        <v/>
      </c>
      <c r="J209" s="248">
        <f>IF(W209&lt;&gt;"",W209-X209,IF(AG209&lt;&gt;"",AG209,""))</f>
        <v/>
      </c>
      <c r="K209" s="248">
        <f>IF(Q209&lt;&gt;"",Q209-Y209,IF(AH209&lt;&gt;"",AH209,""))</f>
        <v/>
      </c>
      <c r="L209" s="248">
        <f>IF(R209&lt;&gt;"",R209-Z209,IF(AI209&lt;&gt;"",AI209,""))</f>
        <v/>
      </c>
      <c r="M209" s="252" t="n"/>
      <c r="N209" s="253" t="n"/>
      <c r="O209" s="254" t="n"/>
      <c r="P209" s="255" t="n"/>
      <c r="Q209" s="258">
        <f>IF($A209="","",IF(Q208="","",Q208))</f>
        <v/>
      </c>
      <c r="R209" s="258">
        <f>IF($A209="","",IF(R208="","",R208))</f>
        <v/>
      </c>
      <c r="S209" s="258">
        <f>IF($A209="","",IF(S208="","",S208))</f>
        <v/>
      </c>
      <c r="T209" s="249">
        <f>IF(OR(P209="",W209=""),"",P209-W209)</f>
        <v/>
      </c>
      <c r="U209" s="258">
        <f>IF($A209="","",IF(U208="","",U208))</f>
        <v/>
      </c>
      <c r="V209" s="249">
        <f>IF(P209="","",P209+IF(Q209="",0,Q209)+IF(R209="",0,R209))</f>
        <v/>
      </c>
      <c r="W209" s="255" t="n"/>
      <c r="X209" s="249">
        <f>SUMIFS('09_CF_원금'!$E$6:$E$92,'09_CF_원금'!$D$6:$D$92,"국장",'09_CF_원금'!$A$6:$A$92,"&lt;="&amp;$A209)-SUMIFS('09_CF_원금'!$E$6:$E$92,'09_CF_원금'!$C$6:$C$92,"국장",'09_CF_원금'!$A$6:$A$92,"&lt;="&amp;$A209)</f>
        <v/>
      </c>
      <c r="Y209" s="249">
        <f>SUMIFS('09_CF_원금'!$E$6:$E$92,'09_CF_원금'!$D$6:$D$92,"미장",'09_CF_원금'!$A$6:$A$92,"&lt;="&amp;$A209)-SUMIFS('09_CF_원금'!$E$6:$E$92,'09_CF_원금'!$C$6:$C$92,"미장",'09_CF_원금'!$A$6:$A$92,"&lt;="&amp;$A209)</f>
        <v/>
      </c>
      <c r="Z209" s="249">
        <f>SUMIFS('09_CF_원금'!$E$6:$E$92,'09_CF_원금'!$D$6:$D$92,"ISA",'09_CF_원금'!$A$6:$A$92,"&lt;="&amp;$A209)-SUMIFS('09_CF_원금'!$E$6:$E$92,'09_CF_원금'!$C$6:$C$92,"ISA",'09_CF_원금'!$A$6:$A$92,"&lt;="&amp;$A209)</f>
        <v/>
      </c>
      <c r="AA209" s="249">
        <f>IF($A209="","",X209+Y209+Z209+SUMIFS('09_CF_원금'!$E$6:$E$92,'09_CF_원금'!$D$6:$D$92,"중국",'09_CF_원금'!$A$6:$A$92,"&lt;="&amp;$A209)-SUMIFS('09_CF_원금'!$E$6:$E$92,'09_CF_원금'!$C$6:$C$92,"중국",'09_CF_원금'!$A$6:$A$92,"&lt;="&amp;$A209)+SUMIFS('09_CF_원금'!$E$6:$E$92,'09_CF_원금'!$D$6:$D$92,"업비트",'09_CF_원금'!$A$6:$A$92,"&lt;="&amp;$A209)-SUMIFS('09_CF_원금'!$E$6:$E$92,'09_CF_원금'!$C$6:$C$92,"업비트",'09_CF_원금'!$A$6:$A$92,"&lt;="&amp;$A209))</f>
        <v/>
      </c>
      <c r="AB209" s="249">
        <f>IF(OR(U209="",V209=""),"",U209-(V209-IF(S209="",0,S209)))</f>
        <v/>
      </c>
      <c r="AC209" s="249">
        <f>IF(AB209="","",T209+AB209)</f>
        <v/>
      </c>
      <c r="AD209" s="249">
        <f>IF(B209="","",MAX($B$5:B209))</f>
        <v/>
      </c>
      <c r="AE209" s="256" t="n"/>
      <c r="AF209" s="255" t="n"/>
      <c r="AG209" s="255" t="n"/>
      <c r="AH209" s="255" t="n"/>
      <c r="AI209" s="255" t="n"/>
      <c r="AJ209" s="257">
        <f>IF($A209="","",YEAR($A209)*100+MONTH($A209))</f>
        <v/>
      </c>
      <c r="AK209" s="257">
        <f>IF($A209="","",IF($N209="",0,1))</f>
        <v/>
      </c>
    </row>
    <row r="210">
      <c r="A210" s="247" t="n">
        <v>46295</v>
      </c>
      <c r="B210" s="248">
        <f>IF(V210&lt;&gt;"",V210-T210,IF(AF210&lt;&gt;"",AA210+AF210,""))</f>
        <v/>
      </c>
      <c r="C210" s="249">
        <f>IF(OR(B210="",B209=""),"",B210-B209)</f>
        <v/>
      </c>
      <c r="D210" s="248">
        <f>IF(OR(B210="",AA210=""),"",B210-AA210)</f>
        <v/>
      </c>
      <c r="E210" s="250">
        <f>IF(OR(B210="",AD210=0),"",MIN(0,B210/AD210-1))</f>
        <v/>
      </c>
      <c r="F210" s="250">
        <f>IF(OR(U210="",T210=0,T210=""),"",(P210-T210*1.4)/U210)</f>
        <v/>
      </c>
      <c r="G210" s="251">
        <f>IF(OR(AC210="",'09_CF_원금'!$B$108=0),"",AC210/'09_CF_원금'!$B$108)</f>
        <v/>
      </c>
      <c r="H210" s="250">
        <f>IF(OR(U210="",U210=0,AC210=""),"",AC210/U210)</f>
        <v/>
      </c>
      <c r="I210" s="250">
        <f>IF(OR(S210="",U210=""),"",S210/(U210+S210))</f>
        <v/>
      </c>
      <c r="J210" s="248">
        <f>IF(W210&lt;&gt;"",W210-X210,IF(AG210&lt;&gt;"",AG210,""))</f>
        <v/>
      </c>
      <c r="K210" s="248">
        <f>IF(Q210&lt;&gt;"",Q210-Y210,IF(AH210&lt;&gt;"",AH210,""))</f>
        <v/>
      </c>
      <c r="L210" s="248">
        <f>IF(R210&lt;&gt;"",R210-Z210,IF(AI210&lt;&gt;"",AI210,""))</f>
        <v/>
      </c>
      <c r="M210" s="252" t="n"/>
      <c r="N210" s="253" t="n"/>
      <c r="O210" s="254" t="n"/>
      <c r="P210" s="255" t="n"/>
      <c r="Q210" s="258">
        <f>IF($A210="","",IF(Q209="","",Q209))</f>
        <v/>
      </c>
      <c r="R210" s="258">
        <f>IF($A210="","",IF(R209="","",R209))</f>
        <v/>
      </c>
      <c r="S210" s="258">
        <f>IF($A210="","",IF(S209="","",S209))</f>
        <v/>
      </c>
      <c r="T210" s="249">
        <f>IF(OR(P210="",W210=""),"",P210-W210)</f>
        <v/>
      </c>
      <c r="U210" s="258">
        <f>IF($A210="","",IF(U209="","",U209))</f>
        <v/>
      </c>
      <c r="V210" s="249">
        <f>IF(P210="","",P210+IF(Q210="",0,Q210)+IF(R210="",0,R210))</f>
        <v/>
      </c>
      <c r="W210" s="255" t="n"/>
      <c r="X210" s="249">
        <f>SUMIFS('09_CF_원금'!$E$6:$E$92,'09_CF_원금'!$D$6:$D$92,"국장",'09_CF_원금'!$A$6:$A$92,"&lt;="&amp;$A210)-SUMIFS('09_CF_원금'!$E$6:$E$92,'09_CF_원금'!$C$6:$C$92,"국장",'09_CF_원금'!$A$6:$A$92,"&lt;="&amp;$A210)</f>
        <v/>
      </c>
      <c r="Y210" s="249">
        <f>SUMIFS('09_CF_원금'!$E$6:$E$92,'09_CF_원금'!$D$6:$D$92,"미장",'09_CF_원금'!$A$6:$A$92,"&lt;="&amp;$A210)-SUMIFS('09_CF_원금'!$E$6:$E$92,'09_CF_원금'!$C$6:$C$92,"미장",'09_CF_원금'!$A$6:$A$92,"&lt;="&amp;$A210)</f>
        <v/>
      </c>
      <c r="Z210" s="249">
        <f>SUMIFS('09_CF_원금'!$E$6:$E$92,'09_CF_원금'!$D$6:$D$92,"ISA",'09_CF_원금'!$A$6:$A$92,"&lt;="&amp;$A210)-SUMIFS('09_CF_원금'!$E$6:$E$92,'09_CF_원금'!$C$6:$C$92,"ISA",'09_CF_원금'!$A$6:$A$92,"&lt;="&amp;$A210)</f>
        <v/>
      </c>
      <c r="AA210" s="249">
        <f>IF($A210="","",X210+Y210+Z210+SUMIFS('09_CF_원금'!$E$6:$E$92,'09_CF_원금'!$D$6:$D$92,"중국",'09_CF_원금'!$A$6:$A$92,"&lt;="&amp;$A210)-SUMIFS('09_CF_원금'!$E$6:$E$92,'09_CF_원금'!$C$6:$C$92,"중국",'09_CF_원금'!$A$6:$A$92,"&lt;="&amp;$A210)+SUMIFS('09_CF_원금'!$E$6:$E$92,'09_CF_원금'!$D$6:$D$92,"업비트",'09_CF_원금'!$A$6:$A$92,"&lt;="&amp;$A210)-SUMIFS('09_CF_원금'!$E$6:$E$92,'09_CF_원금'!$C$6:$C$92,"업비트",'09_CF_원금'!$A$6:$A$92,"&lt;="&amp;$A210))</f>
        <v/>
      </c>
      <c r="AB210" s="249">
        <f>IF(OR(U210="",V210=""),"",U210-(V210-IF(S210="",0,S210)))</f>
        <v/>
      </c>
      <c r="AC210" s="249">
        <f>IF(AB210="","",T210+AB210)</f>
        <v/>
      </c>
      <c r="AD210" s="249">
        <f>IF(B210="","",MAX($B$5:B210))</f>
        <v/>
      </c>
      <c r="AE210" s="256" t="n"/>
      <c r="AF210" s="255" t="n"/>
      <c r="AG210" s="255" t="n"/>
      <c r="AH210" s="255" t="n"/>
      <c r="AI210" s="255" t="n"/>
      <c r="AJ210" s="257">
        <f>IF($A210="","",YEAR($A210)*100+MONTH($A210))</f>
        <v/>
      </c>
      <c r="AK210" s="257">
        <f>IF($A210="","",IF($N210="",0,1))</f>
        <v/>
      </c>
    </row>
    <row r="211">
      <c r="A211" s="247" t="n">
        <v>46296</v>
      </c>
      <c r="B211" s="248">
        <f>IF(V211&lt;&gt;"",V211-T211,IF(AF211&lt;&gt;"",AA211+AF211,""))</f>
        <v/>
      </c>
      <c r="C211" s="249">
        <f>IF(OR(B211="",B210=""),"",B211-B210)</f>
        <v/>
      </c>
      <c r="D211" s="248">
        <f>IF(OR(B211="",AA211=""),"",B211-AA211)</f>
        <v/>
      </c>
      <c r="E211" s="250">
        <f>IF(OR(B211="",AD211=0),"",MIN(0,B211/AD211-1))</f>
        <v/>
      </c>
      <c r="F211" s="250">
        <f>IF(OR(U211="",T211=0,T211=""),"",(P211-T211*1.4)/U211)</f>
        <v/>
      </c>
      <c r="G211" s="251">
        <f>IF(OR(AC211="",'09_CF_원금'!$B$108=0),"",AC211/'09_CF_원금'!$B$108)</f>
        <v/>
      </c>
      <c r="H211" s="250">
        <f>IF(OR(U211="",U211=0,AC211=""),"",AC211/U211)</f>
        <v/>
      </c>
      <c r="I211" s="250">
        <f>IF(OR(S211="",U211=""),"",S211/(U211+S211))</f>
        <v/>
      </c>
      <c r="J211" s="248">
        <f>IF(W211&lt;&gt;"",W211-X211,IF(AG211&lt;&gt;"",AG211,""))</f>
        <v/>
      </c>
      <c r="K211" s="248">
        <f>IF(Q211&lt;&gt;"",Q211-Y211,IF(AH211&lt;&gt;"",AH211,""))</f>
        <v/>
      </c>
      <c r="L211" s="248">
        <f>IF(R211&lt;&gt;"",R211-Z211,IF(AI211&lt;&gt;"",AI211,""))</f>
        <v/>
      </c>
      <c r="M211" s="252" t="n"/>
      <c r="N211" s="253" t="n"/>
      <c r="O211" s="254" t="n"/>
      <c r="P211" s="255" t="n"/>
      <c r="Q211" s="258">
        <f>IF($A211="","",IF(Q210="","",Q210))</f>
        <v/>
      </c>
      <c r="R211" s="258">
        <f>IF($A211="","",IF(R210="","",R210))</f>
        <v/>
      </c>
      <c r="S211" s="258">
        <f>IF($A211="","",IF(S210="","",S210))</f>
        <v/>
      </c>
      <c r="T211" s="249">
        <f>IF(OR(P211="",W211=""),"",P211-W211)</f>
        <v/>
      </c>
      <c r="U211" s="258">
        <f>IF($A211="","",IF(U210="","",U210))</f>
        <v/>
      </c>
      <c r="V211" s="249">
        <f>IF(P211="","",P211+IF(Q211="",0,Q211)+IF(R211="",0,R211))</f>
        <v/>
      </c>
      <c r="W211" s="255" t="n"/>
      <c r="X211" s="249">
        <f>SUMIFS('09_CF_원금'!$E$6:$E$92,'09_CF_원금'!$D$6:$D$92,"국장",'09_CF_원금'!$A$6:$A$92,"&lt;="&amp;$A211)-SUMIFS('09_CF_원금'!$E$6:$E$92,'09_CF_원금'!$C$6:$C$92,"국장",'09_CF_원금'!$A$6:$A$92,"&lt;="&amp;$A211)</f>
        <v/>
      </c>
      <c r="Y211" s="249">
        <f>SUMIFS('09_CF_원금'!$E$6:$E$92,'09_CF_원금'!$D$6:$D$92,"미장",'09_CF_원금'!$A$6:$A$92,"&lt;="&amp;$A211)-SUMIFS('09_CF_원금'!$E$6:$E$92,'09_CF_원금'!$C$6:$C$92,"미장",'09_CF_원금'!$A$6:$A$92,"&lt;="&amp;$A211)</f>
        <v/>
      </c>
      <c r="Z211" s="249">
        <f>SUMIFS('09_CF_원금'!$E$6:$E$92,'09_CF_원금'!$D$6:$D$92,"ISA",'09_CF_원금'!$A$6:$A$92,"&lt;="&amp;$A211)-SUMIFS('09_CF_원금'!$E$6:$E$92,'09_CF_원금'!$C$6:$C$92,"ISA",'09_CF_원금'!$A$6:$A$92,"&lt;="&amp;$A211)</f>
        <v/>
      </c>
      <c r="AA211" s="249">
        <f>IF($A211="","",X211+Y211+Z211+SUMIFS('09_CF_원금'!$E$6:$E$92,'09_CF_원금'!$D$6:$D$92,"중국",'09_CF_원금'!$A$6:$A$92,"&lt;="&amp;$A211)-SUMIFS('09_CF_원금'!$E$6:$E$92,'09_CF_원금'!$C$6:$C$92,"중국",'09_CF_원금'!$A$6:$A$92,"&lt;="&amp;$A211)+SUMIFS('09_CF_원금'!$E$6:$E$92,'09_CF_원금'!$D$6:$D$92,"업비트",'09_CF_원금'!$A$6:$A$92,"&lt;="&amp;$A211)-SUMIFS('09_CF_원금'!$E$6:$E$92,'09_CF_원금'!$C$6:$C$92,"업비트",'09_CF_원금'!$A$6:$A$92,"&lt;="&amp;$A211))</f>
        <v/>
      </c>
      <c r="AB211" s="249">
        <f>IF(OR(U211="",V211=""),"",U211-(V211-IF(S211="",0,S211)))</f>
        <v/>
      </c>
      <c r="AC211" s="249">
        <f>IF(AB211="","",T211+AB211)</f>
        <v/>
      </c>
      <c r="AD211" s="249">
        <f>IF(B211="","",MAX($B$5:B211))</f>
        <v/>
      </c>
      <c r="AE211" s="256" t="n"/>
      <c r="AF211" s="255" t="n"/>
      <c r="AG211" s="255" t="n"/>
      <c r="AH211" s="255" t="n"/>
      <c r="AI211" s="255" t="n"/>
      <c r="AJ211" s="257">
        <f>IF($A211="","",YEAR($A211)*100+MONTH($A211))</f>
        <v/>
      </c>
      <c r="AK211" s="257">
        <f>IF($A211="","",IF($N211="",0,1))</f>
        <v/>
      </c>
    </row>
    <row r="212">
      <c r="A212" s="247" t="n">
        <v>46297</v>
      </c>
      <c r="B212" s="248">
        <f>IF(V212&lt;&gt;"",V212-T212,IF(AF212&lt;&gt;"",AA212+AF212,""))</f>
        <v/>
      </c>
      <c r="C212" s="249">
        <f>IF(OR(B212="",B211=""),"",B212-B211)</f>
        <v/>
      </c>
      <c r="D212" s="248">
        <f>IF(OR(B212="",AA212=""),"",B212-AA212)</f>
        <v/>
      </c>
      <c r="E212" s="250">
        <f>IF(OR(B212="",AD212=0),"",MIN(0,B212/AD212-1))</f>
        <v/>
      </c>
      <c r="F212" s="250">
        <f>IF(OR(U212="",T212=0,T212=""),"",(P212-T212*1.4)/U212)</f>
        <v/>
      </c>
      <c r="G212" s="251">
        <f>IF(OR(AC212="",'09_CF_원금'!$B$108=0),"",AC212/'09_CF_원금'!$B$108)</f>
        <v/>
      </c>
      <c r="H212" s="250">
        <f>IF(OR(U212="",U212=0,AC212=""),"",AC212/U212)</f>
        <v/>
      </c>
      <c r="I212" s="250">
        <f>IF(OR(S212="",U212=""),"",S212/(U212+S212))</f>
        <v/>
      </c>
      <c r="J212" s="248">
        <f>IF(W212&lt;&gt;"",W212-X212,IF(AG212&lt;&gt;"",AG212,""))</f>
        <v/>
      </c>
      <c r="K212" s="248">
        <f>IF(Q212&lt;&gt;"",Q212-Y212,IF(AH212&lt;&gt;"",AH212,""))</f>
        <v/>
      </c>
      <c r="L212" s="248">
        <f>IF(R212&lt;&gt;"",R212-Z212,IF(AI212&lt;&gt;"",AI212,""))</f>
        <v/>
      </c>
      <c r="M212" s="252" t="n"/>
      <c r="N212" s="253" t="n"/>
      <c r="O212" s="254" t="n"/>
      <c r="P212" s="255" t="n"/>
      <c r="Q212" s="258">
        <f>IF($A212="","",IF(Q211="","",Q211))</f>
        <v/>
      </c>
      <c r="R212" s="258">
        <f>IF($A212="","",IF(R211="","",R211))</f>
        <v/>
      </c>
      <c r="S212" s="258">
        <f>IF($A212="","",IF(S211="","",S211))</f>
        <v/>
      </c>
      <c r="T212" s="249">
        <f>IF(OR(P212="",W212=""),"",P212-W212)</f>
        <v/>
      </c>
      <c r="U212" s="258">
        <f>IF($A212="","",IF(U211="","",U211))</f>
        <v/>
      </c>
      <c r="V212" s="249">
        <f>IF(P212="","",P212+IF(Q212="",0,Q212)+IF(R212="",0,R212))</f>
        <v/>
      </c>
      <c r="W212" s="255" t="n"/>
      <c r="X212" s="249">
        <f>SUMIFS('09_CF_원금'!$E$6:$E$92,'09_CF_원금'!$D$6:$D$92,"국장",'09_CF_원금'!$A$6:$A$92,"&lt;="&amp;$A212)-SUMIFS('09_CF_원금'!$E$6:$E$92,'09_CF_원금'!$C$6:$C$92,"국장",'09_CF_원금'!$A$6:$A$92,"&lt;="&amp;$A212)</f>
        <v/>
      </c>
      <c r="Y212" s="249">
        <f>SUMIFS('09_CF_원금'!$E$6:$E$92,'09_CF_원금'!$D$6:$D$92,"미장",'09_CF_원금'!$A$6:$A$92,"&lt;="&amp;$A212)-SUMIFS('09_CF_원금'!$E$6:$E$92,'09_CF_원금'!$C$6:$C$92,"미장",'09_CF_원금'!$A$6:$A$92,"&lt;="&amp;$A212)</f>
        <v/>
      </c>
      <c r="Z212" s="249">
        <f>SUMIFS('09_CF_원금'!$E$6:$E$92,'09_CF_원금'!$D$6:$D$92,"ISA",'09_CF_원금'!$A$6:$A$92,"&lt;="&amp;$A212)-SUMIFS('09_CF_원금'!$E$6:$E$92,'09_CF_원금'!$C$6:$C$92,"ISA",'09_CF_원금'!$A$6:$A$92,"&lt;="&amp;$A212)</f>
        <v/>
      </c>
      <c r="AA212" s="249">
        <f>IF($A212="","",X212+Y212+Z212+SUMIFS('09_CF_원금'!$E$6:$E$92,'09_CF_원금'!$D$6:$D$92,"중국",'09_CF_원금'!$A$6:$A$92,"&lt;="&amp;$A212)-SUMIFS('09_CF_원금'!$E$6:$E$92,'09_CF_원금'!$C$6:$C$92,"중국",'09_CF_원금'!$A$6:$A$92,"&lt;="&amp;$A212)+SUMIFS('09_CF_원금'!$E$6:$E$92,'09_CF_원금'!$D$6:$D$92,"업비트",'09_CF_원금'!$A$6:$A$92,"&lt;="&amp;$A212)-SUMIFS('09_CF_원금'!$E$6:$E$92,'09_CF_원금'!$C$6:$C$92,"업비트",'09_CF_원금'!$A$6:$A$92,"&lt;="&amp;$A212))</f>
        <v/>
      </c>
      <c r="AB212" s="249">
        <f>IF(OR(U212="",V212=""),"",U212-(V212-IF(S212="",0,S212)))</f>
        <v/>
      </c>
      <c r="AC212" s="249">
        <f>IF(AB212="","",T212+AB212)</f>
        <v/>
      </c>
      <c r="AD212" s="249">
        <f>IF(B212="","",MAX($B$5:B212))</f>
        <v/>
      </c>
      <c r="AE212" s="256" t="n"/>
      <c r="AF212" s="255" t="n"/>
      <c r="AG212" s="255" t="n"/>
      <c r="AH212" s="255" t="n"/>
      <c r="AI212" s="255" t="n"/>
      <c r="AJ212" s="257">
        <f>IF($A212="","",YEAR($A212)*100+MONTH($A212))</f>
        <v/>
      </c>
      <c r="AK212" s="257">
        <f>IF($A212="","",IF($N212="",0,1))</f>
        <v/>
      </c>
    </row>
    <row r="213">
      <c r="A213" s="247" t="n">
        <v>46300</v>
      </c>
      <c r="B213" s="248">
        <f>IF(V213&lt;&gt;"",V213-T213,IF(AF213&lt;&gt;"",AA213+AF213,""))</f>
        <v/>
      </c>
      <c r="C213" s="249">
        <f>IF(OR(B213="",B212=""),"",B213-B212)</f>
        <v/>
      </c>
      <c r="D213" s="248">
        <f>IF(OR(B213="",AA213=""),"",B213-AA213)</f>
        <v/>
      </c>
      <c r="E213" s="250">
        <f>IF(OR(B213="",AD213=0),"",MIN(0,B213/AD213-1))</f>
        <v/>
      </c>
      <c r="F213" s="250">
        <f>IF(OR(U213="",T213=0,T213=""),"",(P213-T213*1.4)/U213)</f>
        <v/>
      </c>
      <c r="G213" s="251">
        <f>IF(OR(AC213="",'09_CF_원금'!$B$108=0),"",AC213/'09_CF_원금'!$B$108)</f>
        <v/>
      </c>
      <c r="H213" s="250">
        <f>IF(OR(U213="",U213=0,AC213=""),"",AC213/U213)</f>
        <v/>
      </c>
      <c r="I213" s="250">
        <f>IF(OR(S213="",U213=""),"",S213/(U213+S213))</f>
        <v/>
      </c>
      <c r="J213" s="248">
        <f>IF(W213&lt;&gt;"",W213-X213,IF(AG213&lt;&gt;"",AG213,""))</f>
        <v/>
      </c>
      <c r="K213" s="248">
        <f>IF(Q213&lt;&gt;"",Q213-Y213,IF(AH213&lt;&gt;"",AH213,""))</f>
        <v/>
      </c>
      <c r="L213" s="248">
        <f>IF(R213&lt;&gt;"",R213-Z213,IF(AI213&lt;&gt;"",AI213,""))</f>
        <v/>
      </c>
      <c r="M213" s="252" t="n"/>
      <c r="N213" s="253" t="n"/>
      <c r="O213" s="254" t="n"/>
      <c r="P213" s="255" t="n"/>
      <c r="Q213" s="258">
        <f>IF($A213="","",IF(Q212="","",Q212))</f>
        <v/>
      </c>
      <c r="R213" s="258">
        <f>IF($A213="","",IF(R212="","",R212))</f>
        <v/>
      </c>
      <c r="S213" s="258">
        <f>IF($A213="","",IF(S212="","",S212))</f>
        <v/>
      </c>
      <c r="T213" s="249">
        <f>IF(OR(P213="",W213=""),"",P213-W213)</f>
        <v/>
      </c>
      <c r="U213" s="258">
        <f>IF($A213="","",IF(U212="","",U212))</f>
        <v/>
      </c>
      <c r="V213" s="249">
        <f>IF(P213="","",P213+IF(Q213="",0,Q213)+IF(R213="",0,R213))</f>
        <v/>
      </c>
      <c r="W213" s="255" t="n"/>
      <c r="X213" s="249">
        <f>SUMIFS('09_CF_원금'!$E$6:$E$92,'09_CF_원금'!$D$6:$D$92,"국장",'09_CF_원금'!$A$6:$A$92,"&lt;="&amp;$A213)-SUMIFS('09_CF_원금'!$E$6:$E$92,'09_CF_원금'!$C$6:$C$92,"국장",'09_CF_원금'!$A$6:$A$92,"&lt;="&amp;$A213)</f>
        <v/>
      </c>
      <c r="Y213" s="249">
        <f>SUMIFS('09_CF_원금'!$E$6:$E$92,'09_CF_원금'!$D$6:$D$92,"미장",'09_CF_원금'!$A$6:$A$92,"&lt;="&amp;$A213)-SUMIFS('09_CF_원금'!$E$6:$E$92,'09_CF_원금'!$C$6:$C$92,"미장",'09_CF_원금'!$A$6:$A$92,"&lt;="&amp;$A213)</f>
        <v/>
      </c>
      <c r="Z213" s="249">
        <f>SUMIFS('09_CF_원금'!$E$6:$E$92,'09_CF_원금'!$D$6:$D$92,"ISA",'09_CF_원금'!$A$6:$A$92,"&lt;="&amp;$A213)-SUMIFS('09_CF_원금'!$E$6:$E$92,'09_CF_원금'!$C$6:$C$92,"ISA",'09_CF_원금'!$A$6:$A$92,"&lt;="&amp;$A213)</f>
        <v/>
      </c>
      <c r="AA213" s="249">
        <f>IF($A213="","",X213+Y213+Z213+SUMIFS('09_CF_원금'!$E$6:$E$92,'09_CF_원금'!$D$6:$D$92,"중국",'09_CF_원금'!$A$6:$A$92,"&lt;="&amp;$A213)-SUMIFS('09_CF_원금'!$E$6:$E$92,'09_CF_원금'!$C$6:$C$92,"중국",'09_CF_원금'!$A$6:$A$92,"&lt;="&amp;$A213)+SUMIFS('09_CF_원금'!$E$6:$E$92,'09_CF_원금'!$D$6:$D$92,"업비트",'09_CF_원금'!$A$6:$A$92,"&lt;="&amp;$A213)-SUMIFS('09_CF_원금'!$E$6:$E$92,'09_CF_원금'!$C$6:$C$92,"업비트",'09_CF_원금'!$A$6:$A$92,"&lt;="&amp;$A213))</f>
        <v/>
      </c>
      <c r="AB213" s="249">
        <f>IF(OR(U213="",V213=""),"",U213-(V213-IF(S213="",0,S213)))</f>
        <v/>
      </c>
      <c r="AC213" s="249">
        <f>IF(AB213="","",T213+AB213)</f>
        <v/>
      </c>
      <c r="AD213" s="249">
        <f>IF(B213="","",MAX($B$5:B213))</f>
        <v/>
      </c>
      <c r="AE213" s="256" t="n"/>
      <c r="AF213" s="255" t="n"/>
      <c r="AG213" s="255" t="n"/>
      <c r="AH213" s="255" t="n"/>
      <c r="AI213" s="255" t="n"/>
      <c r="AJ213" s="257">
        <f>IF($A213="","",YEAR($A213)*100+MONTH($A213))</f>
        <v/>
      </c>
      <c r="AK213" s="257">
        <f>IF($A213="","",IF($N213="",0,1))</f>
        <v/>
      </c>
    </row>
    <row r="214">
      <c r="A214" s="247" t="n">
        <v>46301</v>
      </c>
      <c r="B214" s="248">
        <f>IF(V214&lt;&gt;"",V214-T214,IF(AF214&lt;&gt;"",AA214+AF214,""))</f>
        <v/>
      </c>
      <c r="C214" s="249">
        <f>IF(OR(B214="",B213=""),"",B214-B213)</f>
        <v/>
      </c>
      <c r="D214" s="248">
        <f>IF(OR(B214="",AA214=""),"",B214-AA214)</f>
        <v/>
      </c>
      <c r="E214" s="250">
        <f>IF(OR(B214="",AD214=0),"",MIN(0,B214/AD214-1))</f>
        <v/>
      </c>
      <c r="F214" s="250">
        <f>IF(OR(U214="",T214=0,T214=""),"",(P214-T214*1.4)/U214)</f>
        <v/>
      </c>
      <c r="G214" s="251">
        <f>IF(OR(AC214="",'09_CF_원금'!$B$108=0),"",AC214/'09_CF_원금'!$B$108)</f>
        <v/>
      </c>
      <c r="H214" s="250">
        <f>IF(OR(U214="",U214=0,AC214=""),"",AC214/U214)</f>
        <v/>
      </c>
      <c r="I214" s="250">
        <f>IF(OR(S214="",U214=""),"",S214/(U214+S214))</f>
        <v/>
      </c>
      <c r="J214" s="248">
        <f>IF(W214&lt;&gt;"",W214-X214,IF(AG214&lt;&gt;"",AG214,""))</f>
        <v/>
      </c>
      <c r="K214" s="248">
        <f>IF(Q214&lt;&gt;"",Q214-Y214,IF(AH214&lt;&gt;"",AH214,""))</f>
        <v/>
      </c>
      <c r="L214" s="248">
        <f>IF(R214&lt;&gt;"",R214-Z214,IF(AI214&lt;&gt;"",AI214,""))</f>
        <v/>
      </c>
      <c r="M214" s="252" t="n"/>
      <c r="N214" s="253" t="n"/>
      <c r="O214" s="254" t="n"/>
      <c r="P214" s="255" t="n"/>
      <c r="Q214" s="258">
        <f>IF($A214="","",IF(Q213="","",Q213))</f>
        <v/>
      </c>
      <c r="R214" s="258">
        <f>IF($A214="","",IF(R213="","",R213))</f>
        <v/>
      </c>
      <c r="S214" s="258">
        <f>IF($A214="","",IF(S213="","",S213))</f>
        <v/>
      </c>
      <c r="T214" s="249">
        <f>IF(OR(P214="",W214=""),"",P214-W214)</f>
        <v/>
      </c>
      <c r="U214" s="258">
        <f>IF($A214="","",IF(U213="","",U213))</f>
        <v/>
      </c>
      <c r="V214" s="249">
        <f>IF(P214="","",P214+IF(Q214="",0,Q214)+IF(R214="",0,R214))</f>
        <v/>
      </c>
      <c r="W214" s="255" t="n"/>
      <c r="X214" s="249">
        <f>SUMIFS('09_CF_원금'!$E$6:$E$92,'09_CF_원금'!$D$6:$D$92,"국장",'09_CF_원금'!$A$6:$A$92,"&lt;="&amp;$A214)-SUMIFS('09_CF_원금'!$E$6:$E$92,'09_CF_원금'!$C$6:$C$92,"국장",'09_CF_원금'!$A$6:$A$92,"&lt;="&amp;$A214)</f>
        <v/>
      </c>
      <c r="Y214" s="249">
        <f>SUMIFS('09_CF_원금'!$E$6:$E$92,'09_CF_원금'!$D$6:$D$92,"미장",'09_CF_원금'!$A$6:$A$92,"&lt;="&amp;$A214)-SUMIFS('09_CF_원금'!$E$6:$E$92,'09_CF_원금'!$C$6:$C$92,"미장",'09_CF_원금'!$A$6:$A$92,"&lt;="&amp;$A214)</f>
        <v/>
      </c>
      <c r="Z214" s="249">
        <f>SUMIFS('09_CF_원금'!$E$6:$E$92,'09_CF_원금'!$D$6:$D$92,"ISA",'09_CF_원금'!$A$6:$A$92,"&lt;="&amp;$A214)-SUMIFS('09_CF_원금'!$E$6:$E$92,'09_CF_원금'!$C$6:$C$92,"ISA",'09_CF_원금'!$A$6:$A$92,"&lt;="&amp;$A214)</f>
        <v/>
      </c>
      <c r="AA214" s="249">
        <f>IF($A214="","",X214+Y214+Z214+SUMIFS('09_CF_원금'!$E$6:$E$92,'09_CF_원금'!$D$6:$D$92,"중국",'09_CF_원금'!$A$6:$A$92,"&lt;="&amp;$A214)-SUMIFS('09_CF_원금'!$E$6:$E$92,'09_CF_원금'!$C$6:$C$92,"중국",'09_CF_원금'!$A$6:$A$92,"&lt;="&amp;$A214)+SUMIFS('09_CF_원금'!$E$6:$E$92,'09_CF_원금'!$D$6:$D$92,"업비트",'09_CF_원금'!$A$6:$A$92,"&lt;="&amp;$A214)-SUMIFS('09_CF_원금'!$E$6:$E$92,'09_CF_원금'!$C$6:$C$92,"업비트",'09_CF_원금'!$A$6:$A$92,"&lt;="&amp;$A214))</f>
        <v/>
      </c>
      <c r="AB214" s="249">
        <f>IF(OR(U214="",V214=""),"",U214-(V214-IF(S214="",0,S214)))</f>
        <v/>
      </c>
      <c r="AC214" s="249">
        <f>IF(AB214="","",T214+AB214)</f>
        <v/>
      </c>
      <c r="AD214" s="249">
        <f>IF(B214="","",MAX($B$5:B214))</f>
        <v/>
      </c>
      <c r="AE214" s="256" t="n"/>
      <c r="AF214" s="255" t="n"/>
      <c r="AG214" s="255" t="n"/>
      <c r="AH214" s="255" t="n"/>
      <c r="AI214" s="255" t="n"/>
      <c r="AJ214" s="257">
        <f>IF($A214="","",YEAR($A214)*100+MONTH($A214))</f>
        <v/>
      </c>
      <c r="AK214" s="257">
        <f>IF($A214="","",IF($N214="",0,1))</f>
        <v/>
      </c>
    </row>
    <row r="215">
      <c r="A215" s="247" t="n">
        <v>46302</v>
      </c>
      <c r="B215" s="248">
        <f>IF(V215&lt;&gt;"",V215-T215,IF(AF215&lt;&gt;"",AA215+AF215,""))</f>
        <v/>
      </c>
      <c r="C215" s="249">
        <f>IF(OR(B215="",B214=""),"",B215-B214)</f>
        <v/>
      </c>
      <c r="D215" s="248">
        <f>IF(OR(B215="",AA215=""),"",B215-AA215)</f>
        <v/>
      </c>
      <c r="E215" s="250">
        <f>IF(OR(B215="",AD215=0),"",MIN(0,B215/AD215-1))</f>
        <v/>
      </c>
      <c r="F215" s="250">
        <f>IF(OR(U215="",T215=0,T215=""),"",(P215-T215*1.4)/U215)</f>
        <v/>
      </c>
      <c r="G215" s="251">
        <f>IF(OR(AC215="",'09_CF_원금'!$B$108=0),"",AC215/'09_CF_원금'!$B$108)</f>
        <v/>
      </c>
      <c r="H215" s="250">
        <f>IF(OR(U215="",U215=0,AC215=""),"",AC215/U215)</f>
        <v/>
      </c>
      <c r="I215" s="250">
        <f>IF(OR(S215="",U215=""),"",S215/(U215+S215))</f>
        <v/>
      </c>
      <c r="J215" s="248">
        <f>IF(W215&lt;&gt;"",W215-X215,IF(AG215&lt;&gt;"",AG215,""))</f>
        <v/>
      </c>
      <c r="K215" s="248">
        <f>IF(Q215&lt;&gt;"",Q215-Y215,IF(AH215&lt;&gt;"",AH215,""))</f>
        <v/>
      </c>
      <c r="L215" s="248">
        <f>IF(R215&lt;&gt;"",R215-Z215,IF(AI215&lt;&gt;"",AI215,""))</f>
        <v/>
      </c>
      <c r="M215" s="252" t="n"/>
      <c r="N215" s="253" t="n"/>
      <c r="O215" s="254" t="n"/>
      <c r="P215" s="255" t="n"/>
      <c r="Q215" s="258">
        <f>IF($A215="","",IF(Q214="","",Q214))</f>
        <v/>
      </c>
      <c r="R215" s="258">
        <f>IF($A215="","",IF(R214="","",R214))</f>
        <v/>
      </c>
      <c r="S215" s="258">
        <f>IF($A215="","",IF(S214="","",S214))</f>
        <v/>
      </c>
      <c r="T215" s="249">
        <f>IF(OR(P215="",W215=""),"",P215-W215)</f>
        <v/>
      </c>
      <c r="U215" s="258">
        <f>IF($A215="","",IF(U214="","",U214))</f>
        <v/>
      </c>
      <c r="V215" s="249">
        <f>IF(P215="","",P215+IF(Q215="",0,Q215)+IF(R215="",0,R215))</f>
        <v/>
      </c>
      <c r="W215" s="255" t="n"/>
      <c r="X215" s="249">
        <f>SUMIFS('09_CF_원금'!$E$6:$E$92,'09_CF_원금'!$D$6:$D$92,"국장",'09_CF_원금'!$A$6:$A$92,"&lt;="&amp;$A215)-SUMIFS('09_CF_원금'!$E$6:$E$92,'09_CF_원금'!$C$6:$C$92,"국장",'09_CF_원금'!$A$6:$A$92,"&lt;="&amp;$A215)</f>
        <v/>
      </c>
      <c r="Y215" s="249">
        <f>SUMIFS('09_CF_원금'!$E$6:$E$92,'09_CF_원금'!$D$6:$D$92,"미장",'09_CF_원금'!$A$6:$A$92,"&lt;="&amp;$A215)-SUMIFS('09_CF_원금'!$E$6:$E$92,'09_CF_원금'!$C$6:$C$92,"미장",'09_CF_원금'!$A$6:$A$92,"&lt;="&amp;$A215)</f>
        <v/>
      </c>
      <c r="Z215" s="249">
        <f>SUMIFS('09_CF_원금'!$E$6:$E$92,'09_CF_원금'!$D$6:$D$92,"ISA",'09_CF_원금'!$A$6:$A$92,"&lt;="&amp;$A215)-SUMIFS('09_CF_원금'!$E$6:$E$92,'09_CF_원금'!$C$6:$C$92,"ISA",'09_CF_원금'!$A$6:$A$92,"&lt;="&amp;$A215)</f>
        <v/>
      </c>
      <c r="AA215" s="249">
        <f>IF($A215="","",X215+Y215+Z215+SUMIFS('09_CF_원금'!$E$6:$E$92,'09_CF_원금'!$D$6:$D$92,"중국",'09_CF_원금'!$A$6:$A$92,"&lt;="&amp;$A215)-SUMIFS('09_CF_원금'!$E$6:$E$92,'09_CF_원금'!$C$6:$C$92,"중국",'09_CF_원금'!$A$6:$A$92,"&lt;="&amp;$A215)+SUMIFS('09_CF_원금'!$E$6:$E$92,'09_CF_원금'!$D$6:$D$92,"업비트",'09_CF_원금'!$A$6:$A$92,"&lt;="&amp;$A215)-SUMIFS('09_CF_원금'!$E$6:$E$92,'09_CF_원금'!$C$6:$C$92,"업비트",'09_CF_원금'!$A$6:$A$92,"&lt;="&amp;$A215))</f>
        <v/>
      </c>
      <c r="AB215" s="249">
        <f>IF(OR(U215="",V215=""),"",U215-(V215-IF(S215="",0,S215)))</f>
        <v/>
      </c>
      <c r="AC215" s="249">
        <f>IF(AB215="","",T215+AB215)</f>
        <v/>
      </c>
      <c r="AD215" s="249">
        <f>IF(B215="","",MAX($B$5:B215))</f>
        <v/>
      </c>
      <c r="AE215" s="256" t="n"/>
      <c r="AF215" s="255" t="n"/>
      <c r="AG215" s="255" t="n"/>
      <c r="AH215" s="255" t="n"/>
      <c r="AI215" s="255" t="n"/>
      <c r="AJ215" s="257">
        <f>IF($A215="","",YEAR($A215)*100+MONTH($A215))</f>
        <v/>
      </c>
      <c r="AK215" s="257">
        <f>IF($A215="","",IF($N215="",0,1))</f>
        <v/>
      </c>
    </row>
    <row r="216">
      <c r="A216" s="247" t="n">
        <v>46303</v>
      </c>
      <c r="B216" s="248">
        <f>IF(V216&lt;&gt;"",V216-T216,IF(AF216&lt;&gt;"",AA216+AF216,""))</f>
        <v/>
      </c>
      <c r="C216" s="249">
        <f>IF(OR(B216="",B215=""),"",B216-B215)</f>
        <v/>
      </c>
      <c r="D216" s="248">
        <f>IF(OR(B216="",AA216=""),"",B216-AA216)</f>
        <v/>
      </c>
      <c r="E216" s="250">
        <f>IF(OR(B216="",AD216=0),"",MIN(0,B216/AD216-1))</f>
        <v/>
      </c>
      <c r="F216" s="250">
        <f>IF(OR(U216="",T216=0,T216=""),"",(P216-T216*1.4)/U216)</f>
        <v/>
      </c>
      <c r="G216" s="251">
        <f>IF(OR(AC216="",'09_CF_원금'!$B$108=0),"",AC216/'09_CF_원금'!$B$108)</f>
        <v/>
      </c>
      <c r="H216" s="250">
        <f>IF(OR(U216="",U216=0,AC216=""),"",AC216/U216)</f>
        <v/>
      </c>
      <c r="I216" s="250">
        <f>IF(OR(S216="",U216=""),"",S216/(U216+S216))</f>
        <v/>
      </c>
      <c r="J216" s="248">
        <f>IF(W216&lt;&gt;"",W216-X216,IF(AG216&lt;&gt;"",AG216,""))</f>
        <v/>
      </c>
      <c r="K216" s="248">
        <f>IF(Q216&lt;&gt;"",Q216-Y216,IF(AH216&lt;&gt;"",AH216,""))</f>
        <v/>
      </c>
      <c r="L216" s="248">
        <f>IF(R216&lt;&gt;"",R216-Z216,IF(AI216&lt;&gt;"",AI216,""))</f>
        <v/>
      </c>
      <c r="M216" s="252" t="n"/>
      <c r="N216" s="253" t="n"/>
      <c r="O216" s="254" t="n"/>
      <c r="P216" s="255" t="n"/>
      <c r="Q216" s="258">
        <f>IF($A216="","",IF(Q215="","",Q215))</f>
        <v/>
      </c>
      <c r="R216" s="258">
        <f>IF($A216="","",IF(R215="","",R215))</f>
        <v/>
      </c>
      <c r="S216" s="258">
        <f>IF($A216="","",IF(S215="","",S215))</f>
        <v/>
      </c>
      <c r="T216" s="249">
        <f>IF(OR(P216="",W216=""),"",P216-W216)</f>
        <v/>
      </c>
      <c r="U216" s="258">
        <f>IF($A216="","",IF(U215="","",U215))</f>
        <v/>
      </c>
      <c r="V216" s="249">
        <f>IF(P216="","",P216+IF(Q216="",0,Q216)+IF(R216="",0,R216))</f>
        <v/>
      </c>
      <c r="W216" s="255" t="n"/>
      <c r="X216" s="249">
        <f>SUMIFS('09_CF_원금'!$E$6:$E$92,'09_CF_원금'!$D$6:$D$92,"국장",'09_CF_원금'!$A$6:$A$92,"&lt;="&amp;$A216)-SUMIFS('09_CF_원금'!$E$6:$E$92,'09_CF_원금'!$C$6:$C$92,"국장",'09_CF_원금'!$A$6:$A$92,"&lt;="&amp;$A216)</f>
        <v/>
      </c>
      <c r="Y216" s="249">
        <f>SUMIFS('09_CF_원금'!$E$6:$E$92,'09_CF_원금'!$D$6:$D$92,"미장",'09_CF_원금'!$A$6:$A$92,"&lt;="&amp;$A216)-SUMIFS('09_CF_원금'!$E$6:$E$92,'09_CF_원금'!$C$6:$C$92,"미장",'09_CF_원금'!$A$6:$A$92,"&lt;="&amp;$A216)</f>
        <v/>
      </c>
      <c r="Z216" s="249">
        <f>SUMIFS('09_CF_원금'!$E$6:$E$92,'09_CF_원금'!$D$6:$D$92,"ISA",'09_CF_원금'!$A$6:$A$92,"&lt;="&amp;$A216)-SUMIFS('09_CF_원금'!$E$6:$E$92,'09_CF_원금'!$C$6:$C$92,"ISA",'09_CF_원금'!$A$6:$A$92,"&lt;="&amp;$A216)</f>
        <v/>
      </c>
      <c r="AA216" s="249">
        <f>IF($A216="","",X216+Y216+Z216+SUMIFS('09_CF_원금'!$E$6:$E$92,'09_CF_원금'!$D$6:$D$92,"중국",'09_CF_원금'!$A$6:$A$92,"&lt;="&amp;$A216)-SUMIFS('09_CF_원금'!$E$6:$E$92,'09_CF_원금'!$C$6:$C$92,"중국",'09_CF_원금'!$A$6:$A$92,"&lt;="&amp;$A216)+SUMIFS('09_CF_원금'!$E$6:$E$92,'09_CF_원금'!$D$6:$D$92,"업비트",'09_CF_원금'!$A$6:$A$92,"&lt;="&amp;$A216)-SUMIFS('09_CF_원금'!$E$6:$E$92,'09_CF_원금'!$C$6:$C$92,"업비트",'09_CF_원금'!$A$6:$A$92,"&lt;="&amp;$A216))</f>
        <v/>
      </c>
      <c r="AB216" s="249">
        <f>IF(OR(U216="",V216=""),"",U216-(V216-IF(S216="",0,S216)))</f>
        <v/>
      </c>
      <c r="AC216" s="249">
        <f>IF(AB216="","",T216+AB216)</f>
        <v/>
      </c>
      <c r="AD216" s="249">
        <f>IF(B216="","",MAX($B$5:B216))</f>
        <v/>
      </c>
      <c r="AE216" s="256" t="n"/>
      <c r="AF216" s="255" t="n"/>
      <c r="AG216" s="255" t="n"/>
      <c r="AH216" s="255" t="n"/>
      <c r="AI216" s="255" t="n"/>
      <c r="AJ216" s="257">
        <f>IF($A216="","",YEAR($A216)*100+MONTH($A216))</f>
        <v/>
      </c>
      <c r="AK216" s="257">
        <f>IF($A216="","",IF($N216="",0,1))</f>
        <v/>
      </c>
    </row>
    <row r="217">
      <c r="A217" s="247" t="n">
        <v>46304</v>
      </c>
      <c r="B217" s="248">
        <f>IF(V217&lt;&gt;"",V217-T217,IF(AF217&lt;&gt;"",AA217+AF217,""))</f>
        <v/>
      </c>
      <c r="C217" s="249">
        <f>IF(OR(B217="",B216=""),"",B217-B216)</f>
        <v/>
      </c>
      <c r="D217" s="248">
        <f>IF(OR(B217="",AA217=""),"",B217-AA217)</f>
        <v/>
      </c>
      <c r="E217" s="250">
        <f>IF(OR(B217="",AD217=0),"",MIN(0,B217/AD217-1))</f>
        <v/>
      </c>
      <c r="F217" s="250">
        <f>IF(OR(U217="",T217=0,T217=""),"",(P217-T217*1.4)/U217)</f>
        <v/>
      </c>
      <c r="G217" s="251">
        <f>IF(OR(AC217="",'09_CF_원금'!$B$108=0),"",AC217/'09_CF_원금'!$B$108)</f>
        <v/>
      </c>
      <c r="H217" s="250">
        <f>IF(OR(U217="",U217=0,AC217=""),"",AC217/U217)</f>
        <v/>
      </c>
      <c r="I217" s="250">
        <f>IF(OR(S217="",U217=""),"",S217/(U217+S217))</f>
        <v/>
      </c>
      <c r="J217" s="248">
        <f>IF(W217&lt;&gt;"",W217-X217,IF(AG217&lt;&gt;"",AG217,""))</f>
        <v/>
      </c>
      <c r="K217" s="248">
        <f>IF(Q217&lt;&gt;"",Q217-Y217,IF(AH217&lt;&gt;"",AH217,""))</f>
        <v/>
      </c>
      <c r="L217" s="248">
        <f>IF(R217&lt;&gt;"",R217-Z217,IF(AI217&lt;&gt;"",AI217,""))</f>
        <v/>
      </c>
      <c r="M217" s="252" t="n"/>
      <c r="N217" s="253" t="n"/>
      <c r="O217" s="254" t="n"/>
      <c r="P217" s="255" t="n"/>
      <c r="Q217" s="258">
        <f>IF($A217="","",IF(Q216="","",Q216))</f>
        <v/>
      </c>
      <c r="R217" s="258">
        <f>IF($A217="","",IF(R216="","",R216))</f>
        <v/>
      </c>
      <c r="S217" s="258">
        <f>IF($A217="","",IF(S216="","",S216))</f>
        <v/>
      </c>
      <c r="T217" s="249">
        <f>IF(OR(P217="",W217=""),"",P217-W217)</f>
        <v/>
      </c>
      <c r="U217" s="258">
        <f>IF($A217="","",IF(U216="","",U216))</f>
        <v/>
      </c>
      <c r="V217" s="249">
        <f>IF(P217="","",P217+IF(Q217="",0,Q217)+IF(R217="",0,R217))</f>
        <v/>
      </c>
      <c r="W217" s="255" t="n"/>
      <c r="X217" s="249">
        <f>SUMIFS('09_CF_원금'!$E$6:$E$92,'09_CF_원금'!$D$6:$D$92,"국장",'09_CF_원금'!$A$6:$A$92,"&lt;="&amp;$A217)-SUMIFS('09_CF_원금'!$E$6:$E$92,'09_CF_원금'!$C$6:$C$92,"국장",'09_CF_원금'!$A$6:$A$92,"&lt;="&amp;$A217)</f>
        <v/>
      </c>
      <c r="Y217" s="249">
        <f>SUMIFS('09_CF_원금'!$E$6:$E$92,'09_CF_원금'!$D$6:$D$92,"미장",'09_CF_원금'!$A$6:$A$92,"&lt;="&amp;$A217)-SUMIFS('09_CF_원금'!$E$6:$E$92,'09_CF_원금'!$C$6:$C$92,"미장",'09_CF_원금'!$A$6:$A$92,"&lt;="&amp;$A217)</f>
        <v/>
      </c>
      <c r="Z217" s="249">
        <f>SUMIFS('09_CF_원금'!$E$6:$E$92,'09_CF_원금'!$D$6:$D$92,"ISA",'09_CF_원금'!$A$6:$A$92,"&lt;="&amp;$A217)-SUMIFS('09_CF_원금'!$E$6:$E$92,'09_CF_원금'!$C$6:$C$92,"ISA",'09_CF_원금'!$A$6:$A$92,"&lt;="&amp;$A217)</f>
        <v/>
      </c>
      <c r="AA217" s="249">
        <f>IF($A217="","",X217+Y217+Z217+SUMIFS('09_CF_원금'!$E$6:$E$92,'09_CF_원금'!$D$6:$D$92,"중국",'09_CF_원금'!$A$6:$A$92,"&lt;="&amp;$A217)-SUMIFS('09_CF_원금'!$E$6:$E$92,'09_CF_원금'!$C$6:$C$92,"중국",'09_CF_원금'!$A$6:$A$92,"&lt;="&amp;$A217)+SUMIFS('09_CF_원금'!$E$6:$E$92,'09_CF_원금'!$D$6:$D$92,"업비트",'09_CF_원금'!$A$6:$A$92,"&lt;="&amp;$A217)-SUMIFS('09_CF_원금'!$E$6:$E$92,'09_CF_원금'!$C$6:$C$92,"업비트",'09_CF_원금'!$A$6:$A$92,"&lt;="&amp;$A217))</f>
        <v/>
      </c>
      <c r="AB217" s="249">
        <f>IF(OR(U217="",V217=""),"",U217-(V217-IF(S217="",0,S217)))</f>
        <v/>
      </c>
      <c r="AC217" s="249">
        <f>IF(AB217="","",T217+AB217)</f>
        <v/>
      </c>
      <c r="AD217" s="249">
        <f>IF(B217="","",MAX($B$5:B217))</f>
        <v/>
      </c>
      <c r="AE217" s="256" t="n"/>
      <c r="AF217" s="255" t="n"/>
      <c r="AG217" s="255" t="n"/>
      <c r="AH217" s="255" t="n"/>
      <c r="AI217" s="255" t="n"/>
      <c r="AJ217" s="257">
        <f>IF($A217="","",YEAR($A217)*100+MONTH($A217))</f>
        <v/>
      </c>
      <c r="AK217" s="257">
        <f>IF($A217="","",IF($N217="",0,1))</f>
        <v/>
      </c>
    </row>
    <row r="218">
      <c r="A218" s="247" t="n">
        <v>46307</v>
      </c>
      <c r="B218" s="248">
        <f>IF(V218&lt;&gt;"",V218-T218,IF(AF218&lt;&gt;"",AA218+AF218,""))</f>
        <v/>
      </c>
      <c r="C218" s="249">
        <f>IF(OR(B218="",B217=""),"",B218-B217)</f>
        <v/>
      </c>
      <c r="D218" s="248">
        <f>IF(OR(B218="",AA218=""),"",B218-AA218)</f>
        <v/>
      </c>
      <c r="E218" s="250">
        <f>IF(OR(B218="",AD218=0),"",MIN(0,B218/AD218-1))</f>
        <v/>
      </c>
      <c r="F218" s="250">
        <f>IF(OR(U218="",T218=0,T218=""),"",(P218-T218*1.4)/U218)</f>
        <v/>
      </c>
      <c r="G218" s="251">
        <f>IF(OR(AC218="",'09_CF_원금'!$B$108=0),"",AC218/'09_CF_원금'!$B$108)</f>
        <v/>
      </c>
      <c r="H218" s="250">
        <f>IF(OR(U218="",U218=0,AC218=""),"",AC218/U218)</f>
        <v/>
      </c>
      <c r="I218" s="250">
        <f>IF(OR(S218="",U218=""),"",S218/(U218+S218))</f>
        <v/>
      </c>
      <c r="J218" s="248">
        <f>IF(W218&lt;&gt;"",W218-X218,IF(AG218&lt;&gt;"",AG218,""))</f>
        <v/>
      </c>
      <c r="K218" s="248">
        <f>IF(Q218&lt;&gt;"",Q218-Y218,IF(AH218&lt;&gt;"",AH218,""))</f>
        <v/>
      </c>
      <c r="L218" s="248">
        <f>IF(R218&lt;&gt;"",R218-Z218,IF(AI218&lt;&gt;"",AI218,""))</f>
        <v/>
      </c>
      <c r="M218" s="252" t="n"/>
      <c r="N218" s="253" t="n"/>
      <c r="O218" s="254" t="n"/>
      <c r="P218" s="255" t="n"/>
      <c r="Q218" s="258">
        <f>IF($A218="","",IF(Q217="","",Q217))</f>
        <v/>
      </c>
      <c r="R218" s="258">
        <f>IF($A218="","",IF(R217="","",R217))</f>
        <v/>
      </c>
      <c r="S218" s="258">
        <f>IF($A218="","",IF(S217="","",S217))</f>
        <v/>
      </c>
      <c r="T218" s="249">
        <f>IF(OR(P218="",W218=""),"",P218-W218)</f>
        <v/>
      </c>
      <c r="U218" s="258">
        <f>IF($A218="","",IF(U217="","",U217))</f>
        <v/>
      </c>
      <c r="V218" s="249">
        <f>IF(P218="","",P218+IF(Q218="",0,Q218)+IF(R218="",0,R218))</f>
        <v/>
      </c>
      <c r="W218" s="255" t="n"/>
      <c r="X218" s="249">
        <f>SUMIFS('09_CF_원금'!$E$6:$E$92,'09_CF_원금'!$D$6:$D$92,"국장",'09_CF_원금'!$A$6:$A$92,"&lt;="&amp;$A218)-SUMIFS('09_CF_원금'!$E$6:$E$92,'09_CF_원금'!$C$6:$C$92,"국장",'09_CF_원금'!$A$6:$A$92,"&lt;="&amp;$A218)</f>
        <v/>
      </c>
      <c r="Y218" s="249">
        <f>SUMIFS('09_CF_원금'!$E$6:$E$92,'09_CF_원금'!$D$6:$D$92,"미장",'09_CF_원금'!$A$6:$A$92,"&lt;="&amp;$A218)-SUMIFS('09_CF_원금'!$E$6:$E$92,'09_CF_원금'!$C$6:$C$92,"미장",'09_CF_원금'!$A$6:$A$92,"&lt;="&amp;$A218)</f>
        <v/>
      </c>
      <c r="Z218" s="249">
        <f>SUMIFS('09_CF_원금'!$E$6:$E$92,'09_CF_원금'!$D$6:$D$92,"ISA",'09_CF_원금'!$A$6:$A$92,"&lt;="&amp;$A218)-SUMIFS('09_CF_원금'!$E$6:$E$92,'09_CF_원금'!$C$6:$C$92,"ISA",'09_CF_원금'!$A$6:$A$92,"&lt;="&amp;$A218)</f>
        <v/>
      </c>
      <c r="AA218" s="249">
        <f>IF($A218="","",X218+Y218+Z218+SUMIFS('09_CF_원금'!$E$6:$E$92,'09_CF_원금'!$D$6:$D$92,"중국",'09_CF_원금'!$A$6:$A$92,"&lt;="&amp;$A218)-SUMIFS('09_CF_원금'!$E$6:$E$92,'09_CF_원금'!$C$6:$C$92,"중국",'09_CF_원금'!$A$6:$A$92,"&lt;="&amp;$A218)+SUMIFS('09_CF_원금'!$E$6:$E$92,'09_CF_원금'!$D$6:$D$92,"업비트",'09_CF_원금'!$A$6:$A$92,"&lt;="&amp;$A218)-SUMIFS('09_CF_원금'!$E$6:$E$92,'09_CF_원금'!$C$6:$C$92,"업비트",'09_CF_원금'!$A$6:$A$92,"&lt;="&amp;$A218))</f>
        <v/>
      </c>
      <c r="AB218" s="249">
        <f>IF(OR(U218="",V218=""),"",U218-(V218-IF(S218="",0,S218)))</f>
        <v/>
      </c>
      <c r="AC218" s="249">
        <f>IF(AB218="","",T218+AB218)</f>
        <v/>
      </c>
      <c r="AD218" s="249">
        <f>IF(B218="","",MAX($B$5:B218))</f>
        <v/>
      </c>
      <c r="AE218" s="256" t="n"/>
      <c r="AF218" s="255" t="n"/>
      <c r="AG218" s="255" t="n"/>
      <c r="AH218" s="255" t="n"/>
      <c r="AI218" s="255" t="n"/>
      <c r="AJ218" s="257">
        <f>IF($A218="","",YEAR($A218)*100+MONTH($A218))</f>
        <v/>
      </c>
      <c r="AK218" s="257">
        <f>IF($A218="","",IF($N218="",0,1))</f>
        <v/>
      </c>
    </row>
    <row r="219">
      <c r="A219" s="247" t="n">
        <v>46308</v>
      </c>
      <c r="B219" s="248">
        <f>IF(V219&lt;&gt;"",V219-T219,IF(AF219&lt;&gt;"",AA219+AF219,""))</f>
        <v/>
      </c>
      <c r="C219" s="249">
        <f>IF(OR(B219="",B218=""),"",B219-B218)</f>
        <v/>
      </c>
      <c r="D219" s="248">
        <f>IF(OR(B219="",AA219=""),"",B219-AA219)</f>
        <v/>
      </c>
      <c r="E219" s="250">
        <f>IF(OR(B219="",AD219=0),"",MIN(0,B219/AD219-1))</f>
        <v/>
      </c>
      <c r="F219" s="250">
        <f>IF(OR(U219="",T219=0,T219=""),"",(P219-T219*1.4)/U219)</f>
        <v/>
      </c>
      <c r="G219" s="251">
        <f>IF(OR(AC219="",'09_CF_원금'!$B$108=0),"",AC219/'09_CF_원금'!$B$108)</f>
        <v/>
      </c>
      <c r="H219" s="250">
        <f>IF(OR(U219="",U219=0,AC219=""),"",AC219/U219)</f>
        <v/>
      </c>
      <c r="I219" s="250">
        <f>IF(OR(S219="",U219=""),"",S219/(U219+S219))</f>
        <v/>
      </c>
      <c r="J219" s="248">
        <f>IF(W219&lt;&gt;"",W219-X219,IF(AG219&lt;&gt;"",AG219,""))</f>
        <v/>
      </c>
      <c r="K219" s="248">
        <f>IF(Q219&lt;&gt;"",Q219-Y219,IF(AH219&lt;&gt;"",AH219,""))</f>
        <v/>
      </c>
      <c r="L219" s="248">
        <f>IF(R219&lt;&gt;"",R219-Z219,IF(AI219&lt;&gt;"",AI219,""))</f>
        <v/>
      </c>
      <c r="M219" s="252" t="n"/>
      <c r="N219" s="253" t="n"/>
      <c r="O219" s="254" t="n"/>
      <c r="P219" s="255" t="n"/>
      <c r="Q219" s="258">
        <f>IF($A219="","",IF(Q218="","",Q218))</f>
        <v/>
      </c>
      <c r="R219" s="258">
        <f>IF($A219="","",IF(R218="","",R218))</f>
        <v/>
      </c>
      <c r="S219" s="258">
        <f>IF($A219="","",IF(S218="","",S218))</f>
        <v/>
      </c>
      <c r="T219" s="249">
        <f>IF(OR(P219="",W219=""),"",P219-W219)</f>
        <v/>
      </c>
      <c r="U219" s="258">
        <f>IF($A219="","",IF(U218="","",U218))</f>
        <v/>
      </c>
      <c r="V219" s="249">
        <f>IF(P219="","",P219+IF(Q219="",0,Q219)+IF(R219="",0,R219))</f>
        <v/>
      </c>
      <c r="W219" s="255" t="n"/>
      <c r="X219" s="249">
        <f>SUMIFS('09_CF_원금'!$E$6:$E$92,'09_CF_원금'!$D$6:$D$92,"국장",'09_CF_원금'!$A$6:$A$92,"&lt;="&amp;$A219)-SUMIFS('09_CF_원금'!$E$6:$E$92,'09_CF_원금'!$C$6:$C$92,"국장",'09_CF_원금'!$A$6:$A$92,"&lt;="&amp;$A219)</f>
        <v/>
      </c>
      <c r="Y219" s="249">
        <f>SUMIFS('09_CF_원금'!$E$6:$E$92,'09_CF_원금'!$D$6:$D$92,"미장",'09_CF_원금'!$A$6:$A$92,"&lt;="&amp;$A219)-SUMIFS('09_CF_원금'!$E$6:$E$92,'09_CF_원금'!$C$6:$C$92,"미장",'09_CF_원금'!$A$6:$A$92,"&lt;="&amp;$A219)</f>
        <v/>
      </c>
      <c r="Z219" s="249">
        <f>SUMIFS('09_CF_원금'!$E$6:$E$92,'09_CF_원금'!$D$6:$D$92,"ISA",'09_CF_원금'!$A$6:$A$92,"&lt;="&amp;$A219)-SUMIFS('09_CF_원금'!$E$6:$E$92,'09_CF_원금'!$C$6:$C$92,"ISA",'09_CF_원금'!$A$6:$A$92,"&lt;="&amp;$A219)</f>
        <v/>
      </c>
      <c r="AA219" s="249">
        <f>IF($A219="","",X219+Y219+Z219+SUMIFS('09_CF_원금'!$E$6:$E$92,'09_CF_원금'!$D$6:$D$92,"중국",'09_CF_원금'!$A$6:$A$92,"&lt;="&amp;$A219)-SUMIFS('09_CF_원금'!$E$6:$E$92,'09_CF_원금'!$C$6:$C$92,"중국",'09_CF_원금'!$A$6:$A$92,"&lt;="&amp;$A219)+SUMIFS('09_CF_원금'!$E$6:$E$92,'09_CF_원금'!$D$6:$D$92,"업비트",'09_CF_원금'!$A$6:$A$92,"&lt;="&amp;$A219)-SUMIFS('09_CF_원금'!$E$6:$E$92,'09_CF_원금'!$C$6:$C$92,"업비트",'09_CF_원금'!$A$6:$A$92,"&lt;="&amp;$A219))</f>
        <v/>
      </c>
      <c r="AB219" s="249">
        <f>IF(OR(U219="",V219=""),"",U219-(V219-IF(S219="",0,S219)))</f>
        <v/>
      </c>
      <c r="AC219" s="249">
        <f>IF(AB219="","",T219+AB219)</f>
        <v/>
      </c>
      <c r="AD219" s="249">
        <f>IF(B219="","",MAX($B$5:B219))</f>
        <v/>
      </c>
      <c r="AE219" s="256" t="n"/>
      <c r="AF219" s="255" t="n"/>
      <c r="AG219" s="255" t="n"/>
      <c r="AH219" s="255" t="n"/>
      <c r="AI219" s="255" t="n"/>
      <c r="AJ219" s="257">
        <f>IF($A219="","",YEAR($A219)*100+MONTH($A219))</f>
        <v/>
      </c>
      <c r="AK219" s="257">
        <f>IF($A219="","",IF($N219="",0,1))</f>
        <v/>
      </c>
    </row>
    <row r="220">
      <c r="A220" s="247" t="n">
        <v>46309</v>
      </c>
      <c r="B220" s="248">
        <f>IF(V220&lt;&gt;"",V220-T220,IF(AF220&lt;&gt;"",AA220+AF220,""))</f>
        <v/>
      </c>
      <c r="C220" s="249">
        <f>IF(OR(B220="",B219=""),"",B220-B219)</f>
        <v/>
      </c>
      <c r="D220" s="248">
        <f>IF(OR(B220="",AA220=""),"",B220-AA220)</f>
        <v/>
      </c>
      <c r="E220" s="250">
        <f>IF(OR(B220="",AD220=0),"",MIN(0,B220/AD220-1))</f>
        <v/>
      </c>
      <c r="F220" s="250">
        <f>IF(OR(U220="",T220=0,T220=""),"",(P220-T220*1.4)/U220)</f>
        <v/>
      </c>
      <c r="G220" s="251">
        <f>IF(OR(AC220="",'09_CF_원금'!$B$108=0),"",AC220/'09_CF_원금'!$B$108)</f>
        <v/>
      </c>
      <c r="H220" s="250">
        <f>IF(OR(U220="",U220=0,AC220=""),"",AC220/U220)</f>
        <v/>
      </c>
      <c r="I220" s="250">
        <f>IF(OR(S220="",U220=""),"",S220/(U220+S220))</f>
        <v/>
      </c>
      <c r="J220" s="248">
        <f>IF(W220&lt;&gt;"",W220-X220,IF(AG220&lt;&gt;"",AG220,""))</f>
        <v/>
      </c>
      <c r="K220" s="248">
        <f>IF(Q220&lt;&gt;"",Q220-Y220,IF(AH220&lt;&gt;"",AH220,""))</f>
        <v/>
      </c>
      <c r="L220" s="248">
        <f>IF(R220&lt;&gt;"",R220-Z220,IF(AI220&lt;&gt;"",AI220,""))</f>
        <v/>
      </c>
      <c r="M220" s="252" t="n"/>
      <c r="N220" s="253" t="n"/>
      <c r="O220" s="254" t="n"/>
      <c r="P220" s="255" t="n"/>
      <c r="Q220" s="258">
        <f>IF($A220="","",IF(Q219="","",Q219))</f>
        <v/>
      </c>
      <c r="R220" s="258">
        <f>IF($A220="","",IF(R219="","",R219))</f>
        <v/>
      </c>
      <c r="S220" s="258">
        <f>IF($A220="","",IF(S219="","",S219))</f>
        <v/>
      </c>
      <c r="T220" s="249">
        <f>IF(OR(P220="",W220=""),"",P220-W220)</f>
        <v/>
      </c>
      <c r="U220" s="258">
        <f>IF($A220="","",IF(U219="","",U219))</f>
        <v/>
      </c>
      <c r="V220" s="249">
        <f>IF(P220="","",P220+IF(Q220="",0,Q220)+IF(R220="",0,R220))</f>
        <v/>
      </c>
      <c r="W220" s="255" t="n"/>
      <c r="X220" s="249">
        <f>SUMIFS('09_CF_원금'!$E$6:$E$92,'09_CF_원금'!$D$6:$D$92,"국장",'09_CF_원금'!$A$6:$A$92,"&lt;="&amp;$A220)-SUMIFS('09_CF_원금'!$E$6:$E$92,'09_CF_원금'!$C$6:$C$92,"국장",'09_CF_원금'!$A$6:$A$92,"&lt;="&amp;$A220)</f>
        <v/>
      </c>
      <c r="Y220" s="249">
        <f>SUMIFS('09_CF_원금'!$E$6:$E$92,'09_CF_원금'!$D$6:$D$92,"미장",'09_CF_원금'!$A$6:$A$92,"&lt;="&amp;$A220)-SUMIFS('09_CF_원금'!$E$6:$E$92,'09_CF_원금'!$C$6:$C$92,"미장",'09_CF_원금'!$A$6:$A$92,"&lt;="&amp;$A220)</f>
        <v/>
      </c>
      <c r="Z220" s="249">
        <f>SUMIFS('09_CF_원금'!$E$6:$E$92,'09_CF_원금'!$D$6:$D$92,"ISA",'09_CF_원금'!$A$6:$A$92,"&lt;="&amp;$A220)-SUMIFS('09_CF_원금'!$E$6:$E$92,'09_CF_원금'!$C$6:$C$92,"ISA",'09_CF_원금'!$A$6:$A$92,"&lt;="&amp;$A220)</f>
        <v/>
      </c>
      <c r="AA220" s="249">
        <f>IF($A220="","",X220+Y220+Z220+SUMIFS('09_CF_원금'!$E$6:$E$92,'09_CF_원금'!$D$6:$D$92,"중국",'09_CF_원금'!$A$6:$A$92,"&lt;="&amp;$A220)-SUMIFS('09_CF_원금'!$E$6:$E$92,'09_CF_원금'!$C$6:$C$92,"중국",'09_CF_원금'!$A$6:$A$92,"&lt;="&amp;$A220)+SUMIFS('09_CF_원금'!$E$6:$E$92,'09_CF_원금'!$D$6:$D$92,"업비트",'09_CF_원금'!$A$6:$A$92,"&lt;="&amp;$A220)-SUMIFS('09_CF_원금'!$E$6:$E$92,'09_CF_원금'!$C$6:$C$92,"업비트",'09_CF_원금'!$A$6:$A$92,"&lt;="&amp;$A220))</f>
        <v/>
      </c>
      <c r="AB220" s="249">
        <f>IF(OR(U220="",V220=""),"",U220-(V220-IF(S220="",0,S220)))</f>
        <v/>
      </c>
      <c r="AC220" s="249">
        <f>IF(AB220="","",T220+AB220)</f>
        <v/>
      </c>
      <c r="AD220" s="249">
        <f>IF(B220="","",MAX($B$5:B220))</f>
        <v/>
      </c>
      <c r="AE220" s="256" t="n"/>
      <c r="AF220" s="255" t="n"/>
      <c r="AG220" s="255" t="n"/>
      <c r="AH220" s="255" t="n"/>
      <c r="AI220" s="255" t="n"/>
      <c r="AJ220" s="257">
        <f>IF($A220="","",YEAR($A220)*100+MONTH($A220))</f>
        <v/>
      </c>
      <c r="AK220" s="257">
        <f>IF($A220="","",IF($N220="",0,1))</f>
        <v/>
      </c>
    </row>
    <row r="221">
      <c r="A221" s="247" t="n">
        <v>46310</v>
      </c>
      <c r="B221" s="248">
        <f>IF(V221&lt;&gt;"",V221-T221,IF(AF221&lt;&gt;"",AA221+AF221,""))</f>
        <v/>
      </c>
      <c r="C221" s="249">
        <f>IF(OR(B221="",B220=""),"",B221-B220)</f>
        <v/>
      </c>
      <c r="D221" s="248">
        <f>IF(OR(B221="",AA221=""),"",B221-AA221)</f>
        <v/>
      </c>
      <c r="E221" s="250">
        <f>IF(OR(B221="",AD221=0),"",MIN(0,B221/AD221-1))</f>
        <v/>
      </c>
      <c r="F221" s="250">
        <f>IF(OR(U221="",T221=0,T221=""),"",(P221-T221*1.4)/U221)</f>
        <v/>
      </c>
      <c r="G221" s="251">
        <f>IF(OR(AC221="",'09_CF_원금'!$B$108=0),"",AC221/'09_CF_원금'!$B$108)</f>
        <v/>
      </c>
      <c r="H221" s="250">
        <f>IF(OR(U221="",U221=0,AC221=""),"",AC221/U221)</f>
        <v/>
      </c>
      <c r="I221" s="250">
        <f>IF(OR(S221="",U221=""),"",S221/(U221+S221))</f>
        <v/>
      </c>
      <c r="J221" s="248">
        <f>IF(W221&lt;&gt;"",W221-X221,IF(AG221&lt;&gt;"",AG221,""))</f>
        <v/>
      </c>
      <c r="K221" s="248">
        <f>IF(Q221&lt;&gt;"",Q221-Y221,IF(AH221&lt;&gt;"",AH221,""))</f>
        <v/>
      </c>
      <c r="L221" s="248">
        <f>IF(R221&lt;&gt;"",R221-Z221,IF(AI221&lt;&gt;"",AI221,""))</f>
        <v/>
      </c>
      <c r="M221" s="252" t="n"/>
      <c r="N221" s="253" t="n"/>
      <c r="O221" s="254" t="n"/>
      <c r="P221" s="255" t="n"/>
      <c r="Q221" s="258">
        <f>IF($A221="","",IF(Q220="","",Q220))</f>
        <v/>
      </c>
      <c r="R221" s="258">
        <f>IF($A221="","",IF(R220="","",R220))</f>
        <v/>
      </c>
      <c r="S221" s="258">
        <f>IF($A221="","",IF(S220="","",S220))</f>
        <v/>
      </c>
      <c r="T221" s="249">
        <f>IF(OR(P221="",W221=""),"",P221-W221)</f>
        <v/>
      </c>
      <c r="U221" s="258">
        <f>IF($A221="","",IF(U220="","",U220))</f>
        <v/>
      </c>
      <c r="V221" s="249">
        <f>IF(P221="","",P221+IF(Q221="",0,Q221)+IF(R221="",0,R221))</f>
        <v/>
      </c>
      <c r="W221" s="255" t="n"/>
      <c r="X221" s="249">
        <f>SUMIFS('09_CF_원금'!$E$6:$E$92,'09_CF_원금'!$D$6:$D$92,"국장",'09_CF_원금'!$A$6:$A$92,"&lt;="&amp;$A221)-SUMIFS('09_CF_원금'!$E$6:$E$92,'09_CF_원금'!$C$6:$C$92,"국장",'09_CF_원금'!$A$6:$A$92,"&lt;="&amp;$A221)</f>
        <v/>
      </c>
      <c r="Y221" s="249">
        <f>SUMIFS('09_CF_원금'!$E$6:$E$92,'09_CF_원금'!$D$6:$D$92,"미장",'09_CF_원금'!$A$6:$A$92,"&lt;="&amp;$A221)-SUMIFS('09_CF_원금'!$E$6:$E$92,'09_CF_원금'!$C$6:$C$92,"미장",'09_CF_원금'!$A$6:$A$92,"&lt;="&amp;$A221)</f>
        <v/>
      </c>
      <c r="Z221" s="249">
        <f>SUMIFS('09_CF_원금'!$E$6:$E$92,'09_CF_원금'!$D$6:$D$92,"ISA",'09_CF_원금'!$A$6:$A$92,"&lt;="&amp;$A221)-SUMIFS('09_CF_원금'!$E$6:$E$92,'09_CF_원금'!$C$6:$C$92,"ISA",'09_CF_원금'!$A$6:$A$92,"&lt;="&amp;$A221)</f>
        <v/>
      </c>
      <c r="AA221" s="249">
        <f>IF($A221="","",X221+Y221+Z221+SUMIFS('09_CF_원금'!$E$6:$E$92,'09_CF_원금'!$D$6:$D$92,"중국",'09_CF_원금'!$A$6:$A$92,"&lt;="&amp;$A221)-SUMIFS('09_CF_원금'!$E$6:$E$92,'09_CF_원금'!$C$6:$C$92,"중국",'09_CF_원금'!$A$6:$A$92,"&lt;="&amp;$A221)+SUMIFS('09_CF_원금'!$E$6:$E$92,'09_CF_원금'!$D$6:$D$92,"업비트",'09_CF_원금'!$A$6:$A$92,"&lt;="&amp;$A221)-SUMIFS('09_CF_원금'!$E$6:$E$92,'09_CF_원금'!$C$6:$C$92,"업비트",'09_CF_원금'!$A$6:$A$92,"&lt;="&amp;$A221))</f>
        <v/>
      </c>
      <c r="AB221" s="249">
        <f>IF(OR(U221="",V221=""),"",U221-(V221-IF(S221="",0,S221)))</f>
        <v/>
      </c>
      <c r="AC221" s="249">
        <f>IF(AB221="","",T221+AB221)</f>
        <v/>
      </c>
      <c r="AD221" s="249">
        <f>IF(B221="","",MAX($B$5:B221))</f>
        <v/>
      </c>
      <c r="AE221" s="256" t="n"/>
      <c r="AF221" s="255" t="n"/>
      <c r="AG221" s="255" t="n"/>
      <c r="AH221" s="255" t="n"/>
      <c r="AI221" s="255" t="n"/>
      <c r="AJ221" s="257">
        <f>IF($A221="","",YEAR($A221)*100+MONTH($A221))</f>
        <v/>
      </c>
      <c r="AK221" s="257">
        <f>IF($A221="","",IF($N221="",0,1))</f>
        <v/>
      </c>
    </row>
    <row r="222">
      <c r="A222" s="247" t="n">
        <v>46311</v>
      </c>
      <c r="B222" s="248">
        <f>IF(V222&lt;&gt;"",V222-T222,IF(AF222&lt;&gt;"",AA222+AF222,""))</f>
        <v/>
      </c>
      <c r="C222" s="249">
        <f>IF(OR(B222="",B221=""),"",B222-B221)</f>
        <v/>
      </c>
      <c r="D222" s="248">
        <f>IF(OR(B222="",AA222=""),"",B222-AA222)</f>
        <v/>
      </c>
      <c r="E222" s="250">
        <f>IF(OR(B222="",AD222=0),"",MIN(0,B222/AD222-1))</f>
        <v/>
      </c>
      <c r="F222" s="250">
        <f>IF(OR(U222="",T222=0,T222=""),"",(P222-T222*1.4)/U222)</f>
        <v/>
      </c>
      <c r="G222" s="251">
        <f>IF(OR(AC222="",'09_CF_원금'!$B$108=0),"",AC222/'09_CF_원금'!$B$108)</f>
        <v/>
      </c>
      <c r="H222" s="250">
        <f>IF(OR(U222="",U222=0,AC222=""),"",AC222/U222)</f>
        <v/>
      </c>
      <c r="I222" s="250">
        <f>IF(OR(S222="",U222=""),"",S222/(U222+S222))</f>
        <v/>
      </c>
      <c r="J222" s="248">
        <f>IF(W222&lt;&gt;"",W222-X222,IF(AG222&lt;&gt;"",AG222,""))</f>
        <v/>
      </c>
      <c r="K222" s="248">
        <f>IF(Q222&lt;&gt;"",Q222-Y222,IF(AH222&lt;&gt;"",AH222,""))</f>
        <v/>
      </c>
      <c r="L222" s="248">
        <f>IF(R222&lt;&gt;"",R222-Z222,IF(AI222&lt;&gt;"",AI222,""))</f>
        <v/>
      </c>
      <c r="M222" s="252" t="n"/>
      <c r="N222" s="253" t="n"/>
      <c r="O222" s="254" t="n"/>
      <c r="P222" s="255" t="n"/>
      <c r="Q222" s="258">
        <f>IF($A222="","",IF(Q221="","",Q221))</f>
        <v/>
      </c>
      <c r="R222" s="258">
        <f>IF($A222="","",IF(R221="","",R221))</f>
        <v/>
      </c>
      <c r="S222" s="258">
        <f>IF($A222="","",IF(S221="","",S221))</f>
        <v/>
      </c>
      <c r="T222" s="249">
        <f>IF(OR(P222="",W222=""),"",P222-W222)</f>
        <v/>
      </c>
      <c r="U222" s="258">
        <f>IF($A222="","",IF(U221="","",U221))</f>
        <v/>
      </c>
      <c r="V222" s="249">
        <f>IF(P222="","",P222+IF(Q222="",0,Q222)+IF(R222="",0,R222))</f>
        <v/>
      </c>
      <c r="W222" s="255" t="n"/>
      <c r="X222" s="249">
        <f>SUMIFS('09_CF_원금'!$E$6:$E$92,'09_CF_원금'!$D$6:$D$92,"국장",'09_CF_원금'!$A$6:$A$92,"&lt;="&amp;$A222)-SUMIFS('09_CF_원금'!$E$6:$E$92,'09_CF_원금'!$C$6:$C$92,"국장",'09_CF_원금'!$A$6:$A$92,"&lt;="&amp;$A222)</f>
        <v/>
      </c>
      <c r="Y222" s="249">
        <f>SUMIFS('09_CF_원금'!$E$6:$E$92,'09_CF_원금'!$D$6:$D$92,"미장",'09_CF_원금'!$A$6:$A$92,"&lt;="&amp;$A222)-SUMIFS('09_CF_원금'!$E$6:$E$92,'09_CF_원금'!$C$6:$C$92,"미장",'09_CF_원금'!$A$6:$A$92,"&lt;="&amp;$A222)</f>
        <v/>
      </c>
      <c r="Z222" s="249">
        <f>SUMIFS('09_CF_원금'!$E$6:$E$92,'09_CF_원금'!$D$6:$D$92,"ISA",'09_CF_원금'!$A$6:$A$92,"&lt;="&amp;$A222)-SUMIFS('09_CF_원금'!$E$6:$E$92,'09_CF_원금'!$C$6:$C$92,"ISA",'09_CF_원금'!$A$6:$A$92,"&lt;="&amp;$A222)</f>
        <v/>
      </c>
      <c r="AA222" s="249">
        <f>IF($A222="","",X222+Y222+Z222+SUMIFS('09_CF_원금'!$E$6:$E$92,'09_CF_원금'!$D$6:$D$92,"중국",'09_CF_원금'!$A$6:$A$92,"&lt;="&amp;$A222)-SUMIFS('09_CF_원금'!$E$6:$E$92,'09_CF_원금'!$C$6:$C$92,"중국",'09_CF_원금'!$A$6:$A$92,"&lt;="&amp;$A222)+SUMIFS('09_CF_원금'!$E$6:$E$92,'09_CF_원금'!$D$6:$D$92,"업비트",'09_CF_원금'!$A$6:$A$92,"&lt;="&amp;$A222)-SUMIFS('09_CF_원금'!$E$6:$E$92,'09_CF_원금'!$C$6:$C$92,"업비트",'09_CF_원금'!$A$6:$A$92,"&lt;="&amp;$A222))</f>
        <v/>
      </c>
      <c r="AB222" s="249">
        <f>IF(OR(U222="",V222=""),"",U222-(V222-IF(S222="",0,S222)))</f>
        <v/>
      </c>
      <c r="AC222" s="249">
        <f>IF(AB222="","",T222+AB222)</f>
        <v/>
      </c>
      <c r="AD222" s="249">
        <f>IF(B222="","",MAX($B$5:B222))</f>
        <v/>
      </c>
      <c r="AE222" s="256" t="n"/>
      <c r="AF222" s="255" t="n"/>
      <c r="AG222" s="255" t="n"/>
      <c r="AH222" s="255" t="n"/>
      <c r="AI222" s="255" t="n"/>
      <c r="AJ222" s="257">
        <f>IF($A222="","",YEAR($A222)*100+MONTH($A222))</f>
        <v/>
      </c>
      <c r="AK222" s="257">
        <f>IF($A222="","",IF($N222="",0,1))</f>
        <v/>
      </c>
    </row>
    <row r="223">
      <c r="A223" s="247" t="n">
        <v>46314</v>
      </c>
      <c r="B223" s="248">
        <f>IF(V223&lt;&gt;"",V223-T223,IF(AF223&lt;&gt;"",AA223+AF223,""))</f>
        <v/>
      </c>
      <c r="C223" s="249">
        <f>IF(OR(B223="",B222=""),"",B223-B222)</f>
        <v/>
      </c>
      <c r="D223" s="248">
        <f>IF(OR(B223="",AA223=""),"",B223-AA223)</f>
        <v/>
      </c>
      <c r="E223" s="250">
        <f>IF(OR(B223="",AD223=0),"",MIN(0,B223/AD223-1))</f>
        <v/>
      </c>
      <c r="F223" s="250">
        <f>IF(OR(U223="",T223=0,T223=""),"",(P223-T223*1.4)/U223)</f>
        <v/>
      </c>
      <c r="G223" s="251">
        <f>IF(OR(AC223="",'09_CF_원금'!$B$108=0),"",AC223/'09_CF_원금'!$B$108)</f>
        <v/>
      </c>
      <c r="H223" s="250">
        <f>IF(OR(U223="",U223=0,AC223=""),"",AC223/U223)</f>
        <v/>
      </c>
      <c r="I223" s="250">
        <f>IF(OR(S223="",U223=""),"",S223/(U223+S223))</f>
        <v/>
      </c>
      <c r="J223" s="248">
        <f>IF(W223&lt;&gt;"",W223-X223,IF(AG223&lt;&gt;"",AG223,""))</f>
        <v/>
      </c>
      <c r="K223" s="248">
        <f>IF(Q223&lt;&gt;"",Q223-Y223,IF(AH223&lt;&gt;"",AH223,""))</f>
        <v/>
      </c>
      <c r="L223" s="248">
        <f>IF(R223&lt;&gt;"",R223-Z223,IF(AI223&lt;&gt;"",AI223,""))</f>
        <v/>
      </c>
      <c r="M223" s="252" t="n"/>
      <c r="N223" s="253" t="n"/>
      <c r="O223" s="254" t="n"/>
      <c r="P223" s="255" t="n"/>
      <c r="Q223" s="258">
        <f>IF($A223="","",IF(Q222="","",Q222))</f>
        <v/>
      </c>
      <c r="R223" s="258">
        <f>IF($A223="","",IF(R222="","",R222))</f>
        <v/>
      </c>
      <c r="S223" s="258">
        <f>IF($A223="","",IF(S222="","",S222))</f>
        <v/>
      </c>
      <c r="T223" s="249">
        <f>IF(OR(P223="",W223=""),"",P223-W223)</f>
        <v/>
      </c>
      <c r="U223" s="258">
        <f>IF($A223="","",IF(U222="","",U222))</f>
        <v/>
      </c>
      <c r="V223" s="249">
        <f>IF(P223="","",P223+IF(Q223="",0,Q223)+IF(R223="",0,R223))</f>
        <v/>
      </c>
      <c r="W223" s="255" t="n"/>
      <c r="X223" s="249">
        <f>SUMIFS('09_CF_원금'!$E$6:$E$92,'09_CF_원금'!$D$6:$D$92,"국장",'09_CF_원금'!$A$6:$A$92,"&lt;="&amp;$A223)-SUMIFS('09_CF_원금'!$E$6:$E$92,'09_CF_원금'!$C$6:$C$92,"국장",'09_CF_원금'!$A$6:$A$92,"&lt;="&amp;$A223)</f>
        <v/>
      </c>
      <c r="Y223" s="249">
        <f>SUMIFS('09_CF_원금'!$E$6:$E$92,'09_CF_원금'!$D$6:$D$92,"미장",'09_CF_원금'!$A$6:$A$92,"&lt;="&amp;$A223)-SUMIFS('09_CF_원금'!$E$6:$E$92,'09_CF_원금'!$C$6:$C$92,"미장",'09_CF_원금'!$A$6:$A$92,"&lt;="&amp;$A223)</f>
        <v/>
      </c>
      <c r="Z223" s="249">
        <f>SUMIFS('09_CF_원금'!$E$6:$E$92,'09_CF_원금'!$D$6:$D$92,"ISA",'09_CF_원금'!$A$6:$A$92,"&lt;="&amp;$A223)-SUMIFS('09_CF_원금'!$E$6:$E$92,'09_CF_원금'!$C$6:$C$92,"ISA",'09_CF_원금'!$A$6:$A$92,"&lt;="&amp;$A223)</f>
        <v/>
      </c>
      <c r="AA223" s="249">
        <f>IF($A223="","",X223+Y223+Z223+SUMIFS('09_CF_원금'!$E$6:$E$92,'09_CF_원금'!$D$6:$D$92,"중국",'09_CF_원금'!$A$6:$A$92,"&lt;="&amp;$A223)-SUMIFS('09_CF_원금'!$E$6:$E$92,'09_CF_원금'!$C$6:$C$92,"중국",'09_CF_원금'!$A$6:$A$92,"&lt;="&amp;$A223)+SUMIFS('09_CF_원금'!$E$6:$E$92,'09_CF_원금'!$D$6:$D$92,"업비트",'09_CF_원금'!$A$6:$A$92,"&lt;="&amp;$A223)-SUMIFS('09_CF_원금'!$E$6:$E$92,'09_CF_원금'!$C$6:$C$92,"업비트",'09_CF_원금'!$A$6:$A$92,"&lt;="&amp;$A223))</f>
        <v/>
      </c>
      <c r="AB223" s="249">
        <f>IF(OR(U223="",V223=""),"",U223-(V223-IF(S223="",0,S223)))</f>
        <v/>
      </c>
      <c r="AC223" s="249">
        <f>IF(AB223="","",T223+AB223)</f>
        <v/>
      </c>
      <c r="AD223" s="249">
        <f>IF(B223="","",MAX($B$5:B223))</f>
        <v/>
      </c>
      <c r="AE223" s="256" t="n"/>
      <c r="AF223" s="255" t="n"/>
      <c r="AG223" s="255" t="n"/>
      <c r="AH223" s="255" t="n"/>
      <c r="AI223" s="255" t="n"/>
      <c r="AJ223" s="257">
        <f>IF($A223="","",YEAR($A223)*100+MONTH($A223))</f>
        <v/>
      </c>
      <c r="AK223" s="257">
        <f>IF($A223="","",IF($N223="",0,1))</f>
        <v/>
      </c>
    </row>
    <row r="224">
      <c r="A224" s="247" t="n">
        <v>46315</v>
      </c>
      <c r="B224" s="248">
        <f>IF(V224&lt;&gt;"",V224-T224,IF(AF224&lt;&gt;"",AA224+AF224,""))</f>
        <v/>
      </c>
      <c r="C224" s="249">
        <f>IF(OR(B224="",B223=""),"",B224-B223)</f>
        <v/>
      </c>
      <c r="D224" s="248">
        <f>IF(OR(B224="",AA224=""),"",B224-AA224)</f>
        <v/>
      </c>
      <c r="E224" s="250">
        <f>IF(OR(B224="",AD224=0),"",MIN(0,B224/AD224-1))</f>
        <v/>
      </c>
      <c r="F224" s="250">
        <f>IF(OR(U224="",T224=0,T224=""),"",(P224-T224*1.4)/U224)</f>
        <v/>
      </c>
      <c r="G224" s="251">
        <f>IF(OR(AC224="",'09_CF_원금'!$B$108=0),"",AC224/'09_CF_원금'!$B$108)</f>
        <v/>
      </c>
      <c r="H224" s="250">
        <f>IF(OR(U224="",U224=0,AC224=""),"",AC224/U224)</f>
        <v/>
      </c>
      <c r="I224" s="250">
        <f>IF(OR(S224="",U224=""),"",S224/(U224+S224))</f>
        <v/>
      </c>
      <c r="J224" s="248">
        <f>IF(W224&lt;&gt;"",W224-X224,IF(AG224&lt;&gt;"",AG224,""))</f>
        <v/>
      </c>
      <c r="K224" s="248">
        <f>IF(Q224&lt;&gt;"",Q224-Y224,IF(AH224&lt;&gt;"",AH224,""))</f>
        <v/>
      </c>
      <c r="L224" s="248">
        <f>IF(R224&lt;&gt;"",R224-Z224,IF(AI224&lt;&gt;"",AI224,""))</f>
        <v/>
      </c>
      <c r="M224" s="252" t="n"/>
      <c r="N224" s="253" t="n"/>
      <c r="O224" s="254" t="n"/>
      <c r="P224" s="255" t="n"/>
      <c r="Q224" s="258">
        <f>IF($A224="","",IF(Q223="","",Q223))</f>
        <v/>
      </c>
      <c r="R224" s="258">
        <f>IF($A224="","",IF(R223="","",R223))</f>
        <v/>
      </c>
      <c r="S224" s="258">
        <f>IF($A224="","",IF(S223="","",S223))</f>
        <v/>
      </c>
      <c r="T224" s="249">
        <f>IF(OR(P224="",W224=""),"",P224-W224)</f>
        <v/>
      </c>
      <c r="U224" s="258">
        <f>IF($A224="","",IF(U223="","",U223))</f>
        <v/>
      </c>
      <c r="V224" s="249">
        <f>IF(P224="","",P224+IF(Q224="",0,Q224)+IF(R224="",0,R224))</f>
        <v/>
      </c>
      <c r="W224" s="255" t="n"/>
      <c r="X224" s="249">
        <f>SUMIFS('09_CF_원금'!$E$6:$E$92,'09_CF_원금'!$D$6:$D$92,"국장",'09_CF_원금'!$A$6:$A$92,"&lt;="&amp;$A224)-SUMIFS('09_CF_원금'!$E$6:$E$92,'09_CF_원금'!$C$6:$C$92,"국장",'09_CF_원금'!$A$6:$A$92,"&lt;="&amp;$A224)</f>
        <v/>
      </c>
      <c r="Y224" s="249">
        <f>SUMIFS('09_CF_원금'!$E$6:$E$92,'09_CF_원금'!$D$6:$D$92,"미장",'09_CF_원금'!$A$6:$A$92,"&lt;="&amp;$A224)-SUMIFS('09_CF_원금'!$E$6:$E$92,'09_CF_원금'!$C$6:$C$92,"미장",'09_CF_원금'!$A$6:$A$92,"&lt;="&amp;$A224)</f>
        <v/>
      </c>
      <c r="Z224" s="249">
        <f>SUMIFS('09_CF_원금'!$E$6:$E$92,'09_CF_원금'!$D$6:$D$92,"ISA",'09_CF_원금'!$A$6:$A$92,"&lt;="&amp;$A224)-SUMIFS('09_CF_원금'!$E$6:$E$92,'09_CF_원금'!$C$6:$C$92,"ISA",'09_CF_원금'!$A$6:$A$92,"&lt;="&amp;$A224)</f>
        <v/>
      </c>
      <c r="AA224" s="249">
        <f>IF($A224="","",X224+Y224+Z224+SUMIFS('09_CF_원금'!$E$6:$E$92,'09_CF_원금'!$D$6:$D$92,"중국",'09_CF_원금'!$A$6:$A$92,"&lt;="&amp;$A224)-SUMIFS('09_CF_원금'!$E$6:$E$92,'09_CF_원금'!$C$6:$C$92,"중국",'09_CF_원금'!$A$6:$A$92,"&lt;="&amp;$A224)+SUMIFS('09_CF_원금'!$E$6:$E$92,'09_CF_원금'!$D$6:$D$92,"업비트",'09_CF_원금'!$A$6:$A$92,"&lt;="&amp;$A224)-SUMIFS('09_CF_원금'!$E$6:$E$92,'09_CF_원금'!$C$6:$C$92,"업비트",'09_CF_원금'!$A$6:$A$92,"&lt;="&amp;$A224))</f>
        <v/>
      </c>
      <c r="AB224" s="249">
        <f>IF(OR(U224="",V224=""),"",U224-(V224-IF(S224="",0,S224)))</f>
        <v/>
      </c>
      <c r="AC224" s="249">
        <f>IF(AB224="","",T224+AB224)</f>
        <v/>
      </c>
      <c r="AD224" s="249">
        <f>IF(B224="","",MAX($B$5:B224))</f>
        <v/>
      </c>
      <c r="AE224" s="256" t="n"/>
      <c r="AF224" s="255" t="n"/>
      <c r="AG224" s="255" t="n"/>
      <c r="AH224" s="255" t="n"/>
      <c r="AI224" s="255" t="n"/>
      <c r="AJ224" s="257">
        <f>IF($A224="","",YEAR($A224)*100+MONTH($A224))</f>
        <v/>
      </c>
      <c r="AK224" s="257">
        <f>IF($A224="","",IF($N224="",0,1))</f>
        <v/>
      </c>
    </row>
    <row r="225">
      <c r="A225" s="247" t="n">
        <v>46316</v>
      </c>
      <c r="B225" s="248">
        <f>IF(V225&lt;&gt;"",V225-T225,IF(AF225&lt;&gt;"",AA225+AF225,""))</f>
        <v/>
      </c>
      <c r="C225" s="249">
        <f>IF(OR(B225="",B224=""),"",B225-B224)</f>
        <v/>
      </c>
      <c r="D225" s="248">
        <f>IF(OR(B225="",AA225=""),"",B225-AA225)</f>
        <v/>
      </c>
      <c r="E225" s="250">
        <f>IF(OR(B225="",AD225=0),"",MIN(0,B225/AD225-1))</f>
        <v/>
      </c>
      <c r="F225" s="250">
        <f>IF(OR(U225="",T225=0,T225=""),"",(P225-T225*1.4)/U225)</f>
        <v/>
      </c>
      <c r="G225" s="251">
        <f>IF(OR(AC225="",'09_CF_원금'!$B$108=0),"",AC225/'09_CF_원금'!$B$108)</f>
        <v/>
      </c>
      <c r="H225" s="250">
        <f>IF(OR(U225="",U225=0,AC225=""),"",AC225/U225)</f>
        <v/>
      </c>
      <c r="I225" s="250">
        <f>IF(OR(S225="",U225=""),"",S225/(U225+S225))</f>
        <v/>
      </c>
      <c r="J225" s="248">
        <f>IF(W225&lt;&gt;"",W225-X225,IF(AG225&lt;&gt;"",AG225,""))</f>
        <v/>
      </c>
      <c r="K225" s="248">
        <f>IF(Q225&lt;&gt;"",Q225-Y225,IF(AH225&lt;&gt;"",AH225,""))</f>
        <v/>
      </c>
      <c r="L225" s="248">
        <f>IF(R225&lt;&gt;"",R225-Z225,IF(AI225&lt;&gt;"",AI225,""))</f>
        <v/>
      </c>
      <c r="M225" s="252" t="n"/>
      <c r="N225" s="253" t="n"/>
      <c r="O225" s="254" t="n"/>
      <c r="P225" s="255" t="n"/>
      <c r="Q225" s="258">
        <f>IF($A225="","",IF(Q224="","",Q224))</f>
        <v/>
      </c>
      <c r="R225" s="258">
        <f>IF($A225="","",IF(R224="","",R224))</f>
        <v/>
      </c>
      <c r="S225" s="258">
        <f>IF($A225="","",IF(S224="","",S224))</f>
        <v/>
      </c>
      <c r="T225" s="249">
        <f>IF(OR(P225="",W225=""),"",P225-W225)</f>
        <v/>
      </c>
      <c r="U225" s="258">
        <f>IF($A225="","",IF(U224="","",U224))</f>
        <v/>
      </c>
      <c r="V225" s="249">
        <f>IF(P225="","",P225+IF(Q225="",0,Q225)+IF(R225="",0,R225))</f>
        <v/>
      </c>
      <c r="W225" s="255" t="n"/>
      <c r="X225" s="249">
        <f>SUMIFS('09_CF_원금'!$E$6:$E$92,'09_CF_원금'!$D$6:$D$92,"국장",'09_CF_원금'!$A$6:$A$92,"&lt;="&amp;$A225)-SUMIFS('09_CF_원금'!$E$6:$E$92,'09_CF_원금'!$C$6:$C$92,"국장",'09_CF_원금'!$A$6:$A$92,"&lt;="&amp;$A225)</f>
        <v/>
      </c>
      <c r="Y225" s="249">
        <f>SUMIFS('09_CF_원금'!$E$6:$E$92,'09_CF_원금'!$D$6:$D$92,"미장",'09_CF_원금'!$A$6:$A$92,"&lt;="&amp;$A225)-SUMIFS('09_CF_원금'!$E$6:$E$92,'09_CF_원금'!$C$6:$C$92,"미장",'09_CF_원금'!$A$6:$A$92,"&lt;="&amp;$A225)</f>
        <v/>
      </c>
      <c r="Z225" s="249">
        <f>SUMIFS('09_CF_원금'!$E$6:$E$92,'09_CF_원금'!$D$6:$D$92,"ISA",'09_CF_원금'!$A$6:$A$92,"&lt;="&amp;$A225)-SUMIFS('09_CF_원금'!$E$6:$E$92,'09_CF_원금'!$C$6:$C$92,"ISA",'09_CF_원금'!$A$6:$A$92,"&lt;="&amp;$A225)</f>
        <v/>
      </c>
      <c r="AA225" s="249">
        <f>IF($A225="","",X225+Y225+Z225+SUMIFS('09_CF_원금'!$E$6:$E$92,'09_CF_원금'!$D$6:$D$92,"중국",'09_CF_원금'!$A$6:$A$92,"&lt;="&amp;$A225)-SUMIFS('09_CF_원금'!$E$6:$E$92,'09_CF_원금'!$C$6:$C$92,"중국",'09_CF_원금'!$A$6:$A$92,"&lt;="&amp;$A225)+SUMIFS('09_CF_원금'!$E$6:$E$92,'09_CF_원금'!$D$6:$D$92,"업비트",'09_CF_원금'!$A$6:$A$92,"&lt;="&amp;$A225)-SUMIFS('09_CF_원금'!$E$6:$E$92,'09_CF_원금'!$C$6:$C$92,"업비트",'09_CF_원금'!$A$6:$A$92,"&lt;="&amp;$A225))</f>
        <v/>
      </c>
      <c r="AB225" s="249">
        <f>IF(OR(U225="",V225=""),"",U225-(V225-IF(S225="",0,S225)))</f>
        <v/>
      </c>
      <c r="AC225" s="249">
        <f>IF(AB225="","",T225+AB225)</f>
        <v/>
      </c>
      <c r="AD225" s="249">
        <f>IF(B225="","",MAX($B$5:B225))</f>
        <v/>
      </c>
      <c r="AE225" s="256" t="n"/>
      <c r="AF225" s="255" t="n"/>
      <c r="AG225" s="255" t="n"/>
      <c r="AH225" s="255" t="n"/>
      <c r="AI225" s="255" t="n"/>
      <c r="AJ225" s="257">
        <f>IF($A225="","",YEAR($A225)*100+MONTH($A225))</f>
        <v/>
      </c>
      <c r="AK225" s="257">
        <f>IF($A225="","",IF($N225="",0,1))</f>
        <v/>
      </c>
    </row>
    <row r="226">
      <c r="A226" s="247" t="n">
        <v>46317</v>
      </c>
      <c r="B226" s="248">
        <f>IF(V226&lt;&gt;"",V226-T226,IF(AF226&lt;&gt;"",AA226+AF226,""))</f>
        <v/>
      </c>
      <c r="C226" s="249">
        <f>IF(OR(B226="",B225=""),"",B226-B225)</f>
        <v/>
      </c>
      <c r="D226" s="248">
        <f>IF(OR(B226="",AA226=""),"",B226-AA226)</f>
        <v/>
      </c>
      <c r="E226" s="250">
        <f>IF(OR(B226="",AD226=0),"",MIN(0,B226/AD226-1))</f>
        <v/>
      </c>
      <c r="F226" s="250">
        <f>IF(OR(U226="",T226=0,T226=""),"",(P226-T226*1.4)/U226)</f>
        <v/>
      </c>
      <c r="G226" s="251">
        <f>IF(OR(AC226="",'09_CF_원금'!$B$108=0),"",AC226/'09_CF_원금'!$B$108)</f>
        <v/>
      </c>
      <c r="H226" s="250">
        <f>IF(OR(U226="",U226=0,AC226=""),"",AC226/U226)</f>
        <v/>
      </c>
      <c r="I226" s="250">
        <f>IF(OR(S226="",U226=""),"",S226/(U226+S226))</f>
        <v/>
      </c>
      <c r="J226" s="248">
        <f>IF(W226&lt;&gt;"",W226-X226,IF(AG226&lt;&gt;"",AG226,""))</f>
        <v/>
      </c>
      <c r="K226" s="248">
        <f>IF(Q226&lt;&gt;"",Q226-Y226,IF(AH226&lt;&gt;"",AH226,""))</f>
        <v/>
      </c>
      <c r="L226" s="248">
        <f>IF(R226&lt;&gt;"",R226-Z226,IF(AI226&lt;&gt;"",AI226,""))</f>
        <v/>
      </c>
      <c r="M226" s="252" t="n"/>
      <c r="N226" s="253" t="n"/>
      <c r="O226" s="254" t="n"/>
      <c r="P226" s="255" t="n"/>
      <c r="Q226" s="258">
        <f>IF($A226="","",IF(Q225="","",Q225))</f>
        <v/>
      </c>
      <c r="R226" s="258">
        <f>IF($A226="","",IF(R225="","",R225))</f>
        <v/>
      </c>
      <c r="S226" s="258">
        <f>IF($A226="","",IF(S225="","",S225))</f>
        <v/>
      </c>
      <c r="T226" s="249">
        <f>IF(OR(P226="",W226=""),"",P226-W226)</f>
        <v/>
      </c>
      <c r="U226" s="258">
        <f>IF($A226="","",IF(U225="","",U225))</f>
        <v/>
      </c>
      <c r="V226" s="249">
        <f>IF(P226="","",P226+IF(Q226="",0,Q226)+IF(R226="",0,R226))</f>
        <v/>
      </c>
      <c r="W226" s="255" t="n"/>
      <c r="X226" s="249">
        <f>SUMIFS('09_CF_원금'!$E$6:$E$92,'09_CF_원금'!$D$6:$D$92,"국장",'09_CF_원금'!$A$6:$A$92,"&lt;="&amp;$A226)-SUMIFS('09_CF_원금'!$E$6:$E$92,'09_CF_원금'!$C$6:$C$92,"국장",'09_CF_원금'!$A$6:$A$92,"&lt;="&amp;$A226)</f>
        <v/>
      </c>
      <c r="Y226" s="249">
        <f>SUMIFS('09_CF_원금'!$E$6:$E$92,'09_CF_원금'!$D$6:$D$92,"미장",'09_CF_원금'!$A$6:$A$92,"&lt;="&amp;$A226)-SUMIFS('09_CF_원금'!$E$6:$E$92,'09_CF_원금'!$C$6:$C$92,"미장",'09_CF_원금'!$A$6:$A$92,"&lt;="&amp;$A226)</f>
        <v/>
      </c>
      <c r="Z226" s="249">
        <f>SUMIFS('09_CF_원금'!$E$6:$E$92,'09_CF_원금'!$D$6:$D$92,"ISA",'09_CF_원금'!$A$6:$A$92,"&lt;="&amp;$A226)-SUMIFS('09_CF_원금'!$E$6:$E$92,'09_CF_원금'!$C$6:$C$92,"ISA",'09_CF_원금'!$A$6:$A$92,"&lt;="&amp;$A226)</f>
        <v/>
      </c>
      <c r="AA226" s="249">
        <f>IF($A226="","",X226+Y226+Z226+SUMIFS('09_CF_원금'!$E$6:$E$92,'09_CF_원금'!$D$6:$D$92,"중국",'09_CF_원금'!$A$6:$A$92,"&lt;="&amp;$A226)-SUMIFS('09_CF_원금'!$E$6:$E$92,'09_CF_원금'!$C$6:$C$92,"중국",'09_CF_원금'!$A$6:$A$92,"&lt;="&amp;$A226)+SUMIFS('09_CF_원금'!$E$6:$E$92,'09_CF_원금'!$D$6:$D$92,"업비트",'09_CF_원금'!$A$6:$A$92,"&lt;="&amp;$A226)-SUMIFS('09_CF_원금'!$E$6:$E$92,'09_CF_원금'!$C$6:$C$92,"업비트",'09_CF_원금'!$A$6:$A$92,"&lt;="&amp;$A226))</f>
        <v/>
      </c>
      <c r="AB226" s="249">
        <f>IF(OR(U226="",V226=""),"",U226-(V226-IF(S226="",0,S226)))</f>
        <v/>
      </c>
      <c r="AC226" s="249">
        <f>IF(AB226="","",T226+AB226)</f>
        <v/>
      </c>
      <c r="AD226" s="249">
        <f>IF(B226="","",MAX($B$5:B226))</f>
        <v/>
      </c>
      <c r="AE226" s="256" t="n"/>
      <c r="AF226" s="255" t="n"/>
      <c r="AG226" s="255" t="n"/>
      <c r="AH226" s="255" t="n"/>
      <c r="AI226" s="255" t="n"/>
      <c r="AJ226" s="257">
        <f>IF($A226="","",YEAR($A226)*100+MONTH($A226))</f>
        <v/>
      </c>
      <c r="AK226" s="257">
        <f>IF($A226="","",IF($N226="",0,1))</f>
        <v/>
      </c>
    </row>
    <row r="227">
      <c r="A227" s="247" t="n">
        <v>46318</v>
      </c>
      <c r="B227" s="248">
        <f>IF(V227&lt;&gt;"",V227-T227,IF(AF227&lt;&gt;"",AA227+AF227,""))</f>
        <v/>
      </c>
      <c r="C227" s="249">
        <f>IF(OR(B227="",B226=""),"",B227-B226)</f>
        <v/>
      </c>
      <c r="D227" s="248">
        <f>IF(OR(B227="",AA227=""),"",B227-AA227)</f>
        <v/>
      </c>
      <c r="E227" s="250">
        <f>IF(OR(B227="",AD227=0),"",MIN(0,B227/AD227-1))</f>
        <v/>
      </c>
      <c r="F227" s="250">
        <f>IF(OR(U227="",T227=0,T227=""),"",(P227-T227*1.4)/U227)</f>
        <v/>
      </c>
      <c r="G227" s="251">
        <f>IF(OR(AC227="",'09_CF_원금'!$B$108=0),"",AC227/'09_CF_원금'!$B$108)</f>
        <v/>
      </c>
      <c r="H227" s="250">
        <f>IF(OR(U227="",U227=0,AC227=""),"",AC227/U227)</f>
        <v/>
      </c>
      <c r="I227" s="250">
        <f>IF(OR(S227="",U227=""),"",S227/(U227+S227))</f>
        <v/>
      </c>
      <c r="J227" s="248">
        <f>IF(W227&lt;&gt;"",W227-X227,IF(AG227&lt;&gt;"",AG227,""))</f>
        <v/>
      </c>
      <c r="K227" s="248">
        <f>IF(Q227&lt;&gt;"",Q227-Y227,IF(AH227&lt;&gt;"",AH227,""))</f>
        <v/>
      </c>
      <c r="L227" s="248">
        <f>IF(R227&lt;&gt;"",R227-Z227,IF(AI227&lt;&gt;"",AI227,""))</f>
        <v/>
      </c>
      <c r="M227" s="252" t="n"/>
      <c r="N227" s="253" t="n"/>
      <c r="O227" s="254" t="n"/>
      <c r="P227" s="255" t="n"/>
      <c r="Q227" s="258">
        <f>IF($A227="","",IF(Q226="","",Q226))</f>
        <v/>
      </c>
      <c r="R227" s="258">
        <f>IF($A227="","",IF(R226="","",R226))</f>
        <v/>
      </c>
      <c r="S227" s="258">
        <f>IF($A227="","",IF(S226="","",S226))</f>
        <v/>
      </c>
      <c r="T227" s="249">
        <f>IF(OR(P227="",W227=""),"",P227-W227)</f>
        <v/>
      </c>
      <c r="U227" s="258">
        <f>IF($A227="","",IF(U226="","",U226))</f>
        <v/>
      </c>
      <c r="V227" s="249">
        <f>IF(P227="","",P227+IF(Q227="",0,Q227)+IF(R227="",0,R227))</f>
        <v/>
      </c>
      <c r="W227" s="255" t="n"/>
      <c r="X227" s="249">
        <f>SUMIFS('09_CF_원금'!$E$6:$E$92,'09_CF_원금'!$D$6:$D$92,"국장",'09_CF_원금'!$A$6:$A$92,"&lt;="&amp;$A227)-SUMIFS('09_CF_원금'!$E$6:$E$92,'09_CF_원금'!$C$6:$C$92,"국장",'09_CF_원금'!$A$6:$A$92,"&lt;="&amp;$A227)</f>
        <v/>
      </c>
      <c r="Y227" s="249">
        <f>SUMIFS('09_CF_원금'!$E$6:$E$92,'09_CF_원금'!$D$6:$D$92,"미장",'09_CF_원금'!$A$6:$A$92,"&lt;="&amp;$A227)-SUMIFS('09_CF_원금'!$E$6:$E$92,'09_CF_원금'!$C$6:$C$92,"미장",'09_CF_원금'!$A$6:$A$92,"&lt;="&amp;$A227)</f>
        <v/>
      </c>
      <c r="Z227" s="249">
        <f>SUMIFS('09_CF_원금'!$E$6:$E$92,'09_CF_원금'!$D$6:$D$92,"ISA",'09_CF_원금'!$A$6:$A$92,"&lt;="&amp;$A227)-SUMIFS('09_CF_원금'!$E$6:$E$92,'09_CF_원금'!$C$6:$C$92,"ISA",'09_CF_원금'!$A$6:$A$92,"&lt;="&amp;$A227)</f>
        <v/>
      </c>
      <c r="AA227" s="249">
        <f>IF($A227="","",X227+Y227+Z227+SUMIFS('09_CF_원금'!$E$6:$E$92,'09_CF_원금'!$D$6:$D$92,"중국",'09_CF_원금'!$A$6:$A$92,"&lt;="&amp;$A227)-SUMIFS('09_CF_원금'!$E$6:$E$92,'09_CF_원금'!$C$6:$C$92,"중국",'09_CF_원금'!$A$6:$A$92,"&lt;="&amp;$A227)+SUMIFS('09_CF_원금'!$E$6:$E$92,'09_CF_원금'!$D$6:$D$92,"업비트",'09_CF_원금'!$A$6:$A$92,"&lt;="&amp;$A227)-SUMIFS('09_CF_원금'!$E$6:$E$92,'09_CF_원금'!$C$6:$C$92,"업비트",'09_CF_원금'!$A$6:$A$92,"&lt;="&amp;$A227))</f>
        <v/>
      </c>
      <c r="AB227" s="249">
        <f>IF(OR(U227="",V227=""),"",U227-(V227-IF(S227="",0,S227)))</f>
        <v/>
      </c>
      <c r="AC227" s="249">
        <f>IF(AB227="","",T227+AB227)</f>
        <v/>
      </c>
      <c r="AD227" s="249">
        <f>IF(B227="","",MAX($B$5:B227))</f>
        <v/>
      </c>
      <c r="AE227" s="256" t="n"/>
      <c r="AF227" s="255" t="n"/>
      <c r="AG227" s="255" t="n"/>
      <c r="AH227" s="255" t="n"/>
      <c r="AI227" s="255" t="n"/>
      <c r="AJ227" s="257">
        <f>IF($A227="","",YEAR($A227)*100+MONTH($A227))</f>
        <v/>
      </c>
      <c r="AK227" s="257">
        <f>IF($A227="","",IF($N227="",0,1))</f>
        <v/>
      </c>
    </row>
    <row r="228">
      <c r="A228" s="247" t="n">
        <v>46321</v>
      </c>
      <c r="B228" s="248">
        <f>IF(V228&lt;&gt;"",V228-T228,IF(AF228&lt;&gt;"",AA228+AF228,""))</f>
        <v/>
      </c>
      <c r="C228" s="249">
        <f>IF(OR(B228="",B227=""),"",B228-B227)</f>
        <v/>
      </c>
      <c r="D228" s="248">
        <f>IF(OR(B228="",AA228=""),"",B228-AA228)</f>
        <v/>
      </c>
      <c r="E228" s="250">
        <f>IF(OR(B228="",AD228=0),"",MIN(0,B228/AD228-1))</f>
        <v/>
      </c>
      <c r="F228" s="250">
        <f>IF(OR(U228="",T228=0,T228=""),"",(P228-T228*1.4)/U228)</f>
        <v/>
      </c>
      <c r="G228" s="251">
        <f>IF(OR(AC228="",'09_CF_원금'!$B$108=0),"",AC228/'09_CF_원금'!$B$108)</f>
        <v/>
      </c>
      <c r="H228" s="250">
        <f>IF(OR(U228="",U228=0,AC228=""),"",AC228/U228)</f>
        <v/>
      </c>
      <c r="I228" s="250">
        <f>IF(OR(S228="",U228=""),"",S228/(U228+S228))</f>
        <v/>
      </c>
      <c r="J228" s="248">
        <f>IF(W228&lt;&gt;"",W228-X228,IF(AG228&lt;&gt;"",AG228,""))</f>
        <v/>
      </c>
      <c r="K228" s="248">
        <f>IF(Q228&lt;&gt;"",Q228-Y228,IF(AH228&lt;&gt;"",AH228,""))</f>
        <v/>
      </c>
      <c r="L228" s="248">
        <f>IF(R228&lt;&gt;"",R228-Z228,IF(AI228&lt;&gt;"",AI228,""))</f>
        <v/>
      </c>
      <c r="M228" s="252" t="n"/>
      <c r="N228" s="253" t="n"/>
      <c r="O228" s="254" t="n"/>
      <c r="P228" s="255" t="n"/>
      <c r="Q228" s="258">
        <f>IF($A228="","",IF(Q227="","",Q227))</f>
        <v/>
      </c>
      <c r="R228" s="258">
        <f>IF($A228="","",IF(R227="","",R227))</f>
        <v/>
      </c>
      <c r="S228" s="258">
        <f>IF($A228="","",IF(S227="","",S227))</f>
        <v/>
      </c>
      <c r="T228" s="249">
        <f>IF(OR(P228="",W228=""),"",P228-W228)</f>
        <v/>
      </c>
      <c r="U228" s="258">
        <f>IF($A228="","",IF(U227="","",U227))</f>
        <v/>
      </c>
      <c r="V228" s="249">
        <f>IF(P228="","",P228+IF(Q228="",0,Q228)+IF(R228="",0,R228))</f>
        <v/>
      </c>
      <c r="W228" s="255" t="n"/>
      <c r="X228" s="249">
        <f>SUMIFS('09_CF_원금'!$E$6:$E$92,'09_CF_원금'!$D$6:$D$92,"국장",'09_CF_원금'!$A$6:$A$92,"&lt;="&amp;$A228)-SUMIFS('09_CF_원금'!$E$6:$E$92,'09_CF_원금'!$C$6:$C$92,"국장",'09_CF_원금'!$A$6:$A$92,"&lt;="&amp;$A228)</f>
        <v/>
      </c>
      <c r="Y228" s="249">
        <f>SUMIFS('09_CF_원금'!$E$6:$E$92,'09_CF_원금'!$D$6:$D$92,"미장",'09_CF_원금'!$A$6:$A$92,"&lt;="&amp;$A228)-SUMIFS('09_CF_원금'!$E$6:$E$92,'09_CF_원금'!$C$6:$C$92,"미장",'09_CF_원금'!$A$6:$A$92,"&lt;="&amp;$A228)</f>
        <v/>
      </c>
      <c r="Z228" s="249">
        <f>SUMIFS('09_CF_원금'!$E$6:$E$92,'09_CF_원금'!$D$6:$D$92,"ISA",'09_CF_원금'!$A$6:$A$92,"&lt;="&amp;$A228)-SUMIFS('09_CF_원금'!$E$6:$E$92,'09_CF_원금'!$C$6:$C$92,"ISA",'09_CF_원금'!$A$6:$A$92,"&lt;="&amp;$A228)</f>
        <v/>
      </c>
      <c r="AA228" s="249">
        <f>IF($A228="","",X228+Y228+Z228+SUMIFS('09_CF_원금'!$E$6:$E$92,'09_CF_원금'!$D$6:$D$92,"중국",'09_CF_원금'!$A$6:$A$92,"&lt;="&amp;$A228)-SUMIFS('09_CF_원금'!$E$6:$E$92,'09_CF_원금'!$C$6:$C$92,"중국",'09_CF_원금'!$A$6:$A$92,"&lt;="&amp;$A228)+SUMIFS('09_CF_원금'!$E$6:$E$92,'09_CF_원금'!$D$6:$D$92,"업비트",'09_CF_원금'!$A$6:$A$92,"&lt;="&amp;$A228)-SUMIFS('09_CF_원금'!$E$6:$E$92,'09_CF_원금'!$C$6:$C$92,"업비트",'09_CF_원금'!$A$6:$A$92,"&lt;="&amp;$A228))</f>
        <v/>
      </c>
      <c r="AB228" s="249">
        <f>IF(OR(U228="",V228=""),"",U228-(V228-IF(S228="",0,S228)))</f>
        <v/>
      </c>
      <c r="AC228" s="249">
        <f>IF(AB228="","",T228+AB228)</f>
        <v/>
      </c>
      <c r="AD228" s="249">
        <f>IF(B228="","",MAX($B$5:B228))</f>
        <v/>
      </c>
      <c r="AE228" s="256" t="n"/>
      <c r="AF228" s="255" t="n"/>
      <c r="AG228" s="255" t="n"/>
      <c r="AH228" s="255" t="n"/>
      <c r="AI228" s="255" t="n"/>
      <c r="AJ228" s="257">
        <f>IF($A228="","",YEAR($A228)*100+MONTH($A228))</f>
        <v/>
      </c>
      <c r="AK228" s="257">
        <f>IF($A228="","",IF($N228="",0,1))</f>
        <v/>
      </c>
    </row>
    <row r="229">
      <c r="A229" s="247" t="n">
        <v>46322</v>
      </c>
      <c r="B229" s="248">
        <f>IF(V229&lt;&gt;"",V229-T229,IF(AF229&lt;&gt;"",AA229+AF229,""))</f>
        <v/>
      </c>
      <c r="C229" s="249">
        <f>IF(OR(B229="",B228=""),"",B229-B228)</f>
        <v/>
      </c>
      <c r="D229" s="248">
        <f>IF(OR(B229="",AA229=""),"",B229-AA229)</f>
        <v/>
      </c>
      <c r="E229" s="250">
        <f>IF(OR(B229="",AD229=0),"",MIN(0,B229/AD229-1))</f>
        <v/>
      </c>
      <c r="F229" s="250">
        <f>IF(OR(U229="",T229=0,T229=""),"",(P229-T229*1.4)/U229)</f>
        <v/>
      </c>
      <c r="G229" s="251">
        <f>IF(OR(AC229="",'09_CF_원금'!$B$108=0),"",AC229/'09_CF_원금'!$B$108)</f>
        <v/>
      </c>
      <c r="H229" s="250">
        <f>IF(OR(U229="",U229=0,AC229=""),"",AC229/U229)</f>
        <v/>
      </c>
      <c r="I229" s="250">
        <f>IF(OR(S229="",U229=""),"",S229/(U229+S229))</f>
        <v/>
      </c>
      <c r="J229" s="248">
        <f>IF(W229&lt;&gt;"",W229-X229,IF(AG229&lt;&gt;"",AG229,""))</f>
        <v/>
      </c>
      <c r="K229" s="248">
        <f>IF(Q229&lt;&gt;"",Q229-Y229,IF(AH229&lt;&gt;"",AH229,""))</f>
        <v/>
      </c>
      <c r="L229" s="248">
        <f>IF(R229&lt;&gt;"",R229-Z229,IF(AI229&lt;&gt;"",AI229,""))</f>
        <v/>
      </c>
      <c r="M229" s="252" t="n"/>
      <c r="N229" s="253" t="n"/>
      <c r="O229" s="254" t="n"/>
      <c r="P229" s="255" t="n"/>
      <c r="Q229" s="258">
        <f>IF($A229="","",IF(Q228="","",Q228))</f>
        <v/>
      </c>
      <c r="R229" s="258">
        <f>IF($A229="","",IF(R228="","",R228))</f>
        <v/>
      </c>
      <c r="S229" s="258">
        <f>IF($A229="","",IF(S228="","",S228))</f>
        <v/>
      </c>
      <c r="T229" s="249">
        <f>IF(OR(P229="",W229=""),"",P229-W229)</f>
        <v/>
      </c>
      <c r="U229" s="258">
        <f>IF($A229="","",IF(U228="","",U228))</f>
        <v/>
      </c>
      <c r="V229" s="249">
        <f>IF(P229="","",P229+IF(Q229="",0,Q229)+IF(R229="",0,R229))</f>
        <v/>
      </c>
      <c r="W229" s="255" t="n"/>
      <c r="X229" s="249">
        <f>SUMIFS('09_CF_원금'!$E$6:$E$92,'09_CF_원금'!$D$6:$D$92,"국장",'09_CF_원금'!$A$6:$A$92,"&lt;="&amp;$A229)-SUMIFS('09_CF_원금'!$E$6:$E$92,'09_CF_원금'!$C$6:$C$92,"국장",'09_CF_원금'!$A$6:$A$92,"&lt;="&amp;$A229)</f>
        <v/>
      </c>
      <c r="Y229" s="249">
        <f>SUMIFS('09_CF_원금'!$E$6:$E$92,'09_CF_원금'!$D$6:$D$92,"미장",'09_CF_원금'!$A$6:$A$92,"&lt;="&amp;$A229)-SUMIFS('09_CF_원금'!$E$6:$E$92,'09_CF_원금'!$C$6:$C$92,"미장",'09_CF_원금'!$A$6:$A$92,"&lt;="&amp;$A229)</f>
        <v/>
      </c>
      <c r="Z229" s="249">
        <f>SUMIFS('09_CF_원금'!$E$6:$E$92,'09_CF_원금'!$D$6:$D$92,"ISA",'09_CF_원금'!$A$6:$A$92,"&lt;="&amp;$A229)-SUMIFS('09_CF_원금'!$E$6:$E$92,'09_CF_원금'!$C$6:$C$92,"ISA",'09_CF_원금'!$A$6:$A$92,"&lt;="&amp;$A229)</f>
        <v/>
      </c>
      <c r="AA229" s="249">
        <f>IF($A229="","",X229+Y229+Z229+SUMIFS('09_CF_원금'!$E$6:$E$92,'09_CF_원금'!$D$6:$D$92,"중국",'09_CF_원금'!$A$6:$A$92,"&lt;="&amp;$A229)-SUMIFS('09_CF_원금'!$E$6:$E$92,'09_CF_원금'!$C$6:$C$92,"중국",'09_CF_원금'!$A$6:$A$92,"&lt;="&amp;$A229)+SUMIFS('09_CF_원금'!$E$6:$E$92,'09_CF_원금'!$D$6:$D$92,"업비트",'09_CF_원금'!$A$6:$A$92,"&lt;="&amp;$A229)-SUMIFS('09_CF_원금'!$E$6:$E$92,'09_CF_원금'!$C$6:$C$92,"업비트",'09_CF_원금'!$A$6:$A$92,"&lt;="&amp;$A229))</f>
        <v/>
      </c>
      <c r="AB229" s="249">
        <f>IF(OR(U229="",V229=""),"",U229-(V229-IF(S229="",0,S229)))</f>
        <v/>
      </c>
      <c r="AC229" s="249">
        <f>IF(AB229="","",T229+AB229)</f>
        <v/>
      </c>
      <c r="AD229" s="249">
        <f>IF(B229="","",MAX($B$5:B229))</f>
        <v/>
      </c>
      <c r="AE229" s="256" t="n"/>
      <c r="AF229" s="255" t="n"/>
      <c r="AG229" s="255" t="n"/>
      <c r="AH229" s="255" t="n"/>
      <c r="AI229" s="255" t="n"/>
      <c r="AJ229" s="257">
        <f>IF($A229="","",YEAR($A229)*100+MONTH($A229))</f>
        <v/>
      </c>
      <c r="AK229" s="257">
        <f>IF($A229="","",IF($N229="",0,1))</f>
        <v/>
      </c>
    </row>
    <row r="230">
      <c r="A230" s="247" t="n">
        <v>46323</v>
      </c>
      <c r="B230" s="248">
        <f>IF(V230&lt;&gt;"",V230-T230,IF(AF230&lt;&gt;"",AA230+AF230,""))</f>
        <v/>
      </c>
      <c r="C230" s="249">
        <f>IF(OR(B230="",B229=""),"",B230-B229)</f>
        <v/>
      </c>
      <c r="D230" s="248">
        <f>IF(OR(B230="",AA230=""),"",B230-AA230)</f>
        <v/>
      </c>
      <c r="E230" s="250">
        <f>IF(OR(B230="",AD230=0),"",MIN(0,B230/AD230-1))</f>
        <v/>
      </c>
      <c r="F230" s="250">
        <f>IF(OR(U230="",T230=0,T230=""),"",(P230-T230*1.4)/U230)</f>
        <v/>
      </c>
      <c r="G230" s="251">
        <f>IF(OR(AC230="",'09_CF_원금'!$B$108=0),"",AC230/'09_CF_원금'!$B$108)</f>
        <v/>
      </c>
      <c r="H230" s="250">
        <f>IF(OR(U230="",U230=0,AC230=""),"",AC230/U230)</f>
        <v/>
      </c>
      <c r="I230" s="250">
        <f>IF(OR(S230="",U230=""),"",S230/(U230+S230))</f>
        <v/>
      </c>
      <c r="J230" s="248">
        <f>IF(W230&lt;&gt;"",W230-X230,IF(AG230&lt;&gt;"",AG230,""))</f>
        <v/>
      </c>
      <c r="K230" s="248">
        <f>IF(Q230&lt;&gt;"",Q230-Y230,IF(AH230&lt;&gt;"",AH230,""))</f>
        <v/>
      </c>
      <c r="L230" s="248">
        <f>IF(R230&lt;&gt;"",R230-Z230,IF(AI230&lt;&gt;"",AI230,""))</f>
        <v/>
      </c>
      <c r="M230" s="252" t="n"/>
      <c r="N230" s="253" t="n"/>
      <c r="O230" s="254" t="n"/>
      <c r="P230" s="255" t="n"/>
      <c r="Q230" s="258">
        <f>IF($A230="","",IF(Q229="","",Q229))</f>
        <v/>
      </c>
      <c r="R230" s="258">
        <f>IF($A230="","",IF(R229="","",R229))</f>
        <v/>
      </c>
      <c r="S230" s="258">
        <f>IF($A230="","",IF(S229="","",S229))</f>
        <v/>
      </c>
      <c r="T230" s="249">
        <f>IF(OR(P230="",W230=""),"",P230-W230)</f>
        <v/>
      </c>
      <c r="U230" s="258">
        <f>IF($A230="","",IF(U229="","",U229))</f>
        <v/>
      </c>
      <c r="V230" s="249">
        <f>IF(P230="","",P230+IF(Q230="",0,Q230)+IF(R230="",0,R230))</f>
        <v/>
      </c>
      <c r="W230" s="255" t="n"/>
      <c r="X230" s="249">
        <f>SUMIFS('09_CF_원금'!$E$6:$E$92,'09_CF_원금'!$D$6:$D$92,"국장",'09_CF_원금'!$A$6:$A$92,"&lt;="&amp;$A230)-SUMIFS('09_CF_원금'!$E$6:$E$92,'09_CF_원금'!$C$6:$C$92,"국장",'09_CF_원금'!$A$6:$A$92,"&lt;="&amp;$A230)</f>
        <v/>
      </c>
      <c r="Y230" s="249">
        <f>SUMIFS('09_CF_원금'!$E$6:$E$92,'09_CF_원금'!$D$6:$D$92,"미장",'09_CF_원금'!$A$6:$A$92,"&lt;="&amp;$A230)-SUMIFS('09_CF_원금'!$E$6:$E$92,'09_CF_원금'!$C$6:$C$92,"미장",'09_CF_원금'!$A$6:$A$92,"&lt;="&amp;$A230)</f>
        <v/>
      </c>
      <c r="Z230" s="249">
        <f>SUMIFS('09_CF_원금'!$E$6:$E$92,'09_CF_원금'!$D$6:$D$92,"ISA",'09_CF_원금'!$A$6:$A$92,"&lt;="&amp;$A230)-SUMIFS('09_CF_원금'!$E$6:$E$92,'09_CF_원금'!$C$6:$C$92,"ISA",'09_CF_원금'!$A$6:$A$92,"&lt;="&amp;$A230)</f>
        <v/>
      </c>
      <c r="AA230" s="249">
        <f>IF($A230="","",X230+Y230+Z230+SUMIFS('09_CF_원금'!$E$6:$E$92,'09_CF_원금'!$D$6:$D$92,"중국",'09_CF_원금'!$A$6:$A$92,"&lt;="&amp;$A230)-SUMIFS('09_CF_원금'!$E$6:$E$92,'09_CF_원금'!$C$6:$C$92,"중국",'09_CF_원금'!$A$6:$A$92,"&lt;="&amp;$A230)+SUMIFS('09_CF_원금'!$E$6:$E$92,'09_CF_원금'!$D$6:$D$92,"업비트",'09_CF_원금'!$A$6:$A$92,"&lt;="&amp;$A230)-SUMIFS('09_CF_원금'!$E$6:$E$92,'09_CF_원금'!$C$6:$C$92,"업비트",'09_CF_원금'!$A$6:$A$92,"&lt;="&amp;$A230))</f>
        <v/>
      </c>
      <c r="AB230" s="249">
        <f>IF(OR(U230="",V230=""),"",U230-(V230-IF(S230="",0,S230)))</f>
        <v/>
      </c>
      <c r="AC230" s="249">
        <f>IF(AB230="","",T230+AB230)</f>
        <v/>
      </c>
      <c r="AD230" s="249">
        <f>IF(B230="","",MAX($B$5:B230))</f>
        <v/>
      </c>
      <c r="AE230" s="256" t="n"/>
      <c r="AF230" s="255" t="n"/>
      <c r="AG230" s="255" t="n"/>
      <c r="AH230" s="255" t="n"/>
      <c r="AI230" s="255" t="n"/>
      <c r="AJ230" s="257">
        <f>IF($A230="","",YEAR($A230)*100+MONTH($A230))</f>
        <v/>
      </c>
      <c r="AK230" s="257">
        <f>IF($A230="","",IF($N230="",0,1))</f>
        <v/>
      </c>
    </row>
    <row r="231">
      <c r="A231" s="247" t="n">
        <v>46324</v>
      </c>
      <c r="B231" s="248">
        <f>IF(V231&lt;&gt;"",V231-T231,IF(AF231&lt;&gt;"",AA231+AF231,""))</f>
        <v/>
      </c>
      <c r="C231" s="249">
        <f>IF(OR(B231="",B230=""),"",B231-B230)</f>
        <v/>
      </c>
      <c r="D231" s="248">
        <f>IF(OR(B231="",AA231=""),"",B231-AA231)</f>
        <v/>
      </c>
      <c r="E231" s="250">
        <f>IF(OR(B231="",AD231=0),"",MIN(0,B231/AD231-1))</f>
        <v/>
      </c>
      <c r="F231" s="250">
        <f>IF(OR(U231="",T231=0,T231=""),"",(P231-T231*1.4)/U231)</f>
        <v/>
      </c>
      <c r="G231" s="251">
        <f>IF(OR(AC231="",'09_CF_원금'!$B$108=0),"",AC231/'09_CF_원금'!$B$108)</f>
        <v/>
      </c>
      <c r="H231" s="250">
        <f>IF(OR(U231="",U231=0,AC231=""),"",AC231/U231)</f>
        <v/>
      </c>
      <c r="I231" s="250">
        <f>IF(OR(S231="",U231=""),"",S231/(U231+S231))</f>
        <v/>
      </c>
      <c r="J231" s="248">
        <f>IF(W231&lt;&gt;"",W231-X231,IF(AG231&lt;&gt;"",AG231,""))</f>
        <v/>
      </c>
      <c r="K231" s="248">
        <f>IF(Q231&lt;&gt;"",Q231-Y231,IF(AH231&lt;&gt;"",AH231,""))</f>
        <v/>
      </c>
      <c r="L231" s="248">
        <f>IF(R231&lt;&gt;"",R231-Z231,IF(AI231&lt;&gt;"",AI231,""))</f>
        <v/>
      </c>
      <c r="M231" s="252" t="n"/>
      <c r="N231" s="253" t="n"/>
      <c r="O231" s="254" t="n"/>
      <c r="P231" s="255" t="n"/>
      <c r="Q231" s="258">
        <f>IF($A231="","",IF(Q230="","",Q230))</f>
        <v/>
      </c>
      <c r="R231" s="258">
        <f>IF($A231="","",IF(R230="","",R230))</f>
        <v/>
      </c>
      <c r="S231" s="258">
        <f>IF($A231="","",IF(S230="","",S230))</f>
        <v/>
      </c>
      <c r="T231" s="249">
        <f>IF(OR(P231="",W231=""),"",P231-W231)</f>
        <v/>
      </c>
      <c r="U231" s="258">
        <f>IF($A231="","",IF(U230="","",U230))</f>
        <v/>
      </c>
      <c r="V231" s="249">
        <f>IF(P231="","",P231+IF(Q231="",0,Q231)+IF(R231="",0,R231))</f>
        <v/>
      </c>
      <c r="W231" s="255" t="n"/>
      <c r="X231" s="249">
        <f>SUMIFS('09_CF_원금'!$E$6:$E$92,'09_CF_원금'!$D$6:$D$92,"국장",'09_CF_원금'!$A$6:$A$92,"&lt;="&amp;$A231)-SUMIFS('09_CF_원금'!$E$6:$E$92,'09_CF_원금'!$C$6:$C$92,"국장",'09_CF_원금'!$A$6:$A$92,"&lt;="&amp;$A231)</f>
        <v/>
      </c>
      <c r="Y231" s="249">
        <f>SUMIFS('09_CF_원금'!$E$6:$E$92,'09_CF_원금'!$D$6:$D$92,"미장",'09_CF_원금'!$A$6:$A$92,"&lt;="&amp;$A231)-SUMIFS('09_CF_원금'!$E$6:$E$92,'09_CF_원금'!$C$6:$C$92,"미장",'09_CF_원금'!$A$6:$A$92,"&lt;="&amp;$A231)</f>
        <v/>
      </c>
      <c r="Z231" s="249">
        <f>SUMIFS('09_CF_원금'!$E$6:$E$92,'09_CF_원금'!$D$6:$D$92,"ISA",'09_CF_원금'!$A$6:$A$92,"&lt;="&amp;$A231)-SUMIFS('09_CF_원금'!$E$6:$E$92,'09_CF_원금'!$C$6:$C$92,"ISA",'09_CF_원금'!$A$6:$A$92,"&lt;="&amp;$A231)</f>
        <v/>
      </c>
      <c r="AA231" s="249">
        <f>IF($A231="","",X231+Y231+Z231+SUMIFS('09_CF_원금'!$E$6:$E$92,'09_CF_원금'!$D$6:$D$92,"중국",'09_CF_원금'!$A$6:$A$92,"&lt;="&amp;$A231)-SUMIFS('09_CF_원금'!$E$6:$E$92,'09_CF_원금'!$C$6:$C$92,"중국",'09_CF_원금'!$A$6:$A$92,"&lt;="&amp;$A231)+SUMIFS('09_CF_원금'!$E$6:$E$92,'09_CF_원금'!$D$6:$D$92,"업비트",'09_CF_원금'!$A$6:$A$92,"&lt;="&amp;$A231)-SUMIFS('09_CF_원금'!$E$6:$E$92,'09_CF_원금'!$C$6:$C$92,"업비트",'09_CF_원금'!$A$6:$A$92,"&lt;="&amp;$A231))</f>
        <v/>
      </c>
      <c r="AB231" s="249">
        <f>IF(OR(U231="",V231=""),"",U231-(V231-IF(S231="",0,S231)))</f>
        <v/>
      </c>
      <c r="AC231" s="249">
        <f>IF(AB231="","",T231+AB231)</f>
        <v/>
      </c>
      <c r="AD231" s="249">
        <f>IF(B231="","",MAX($B$5:B231))</f>
        <v/>
      </c>
      <c r="AE231" s="256" t="n"/>
      <c r="AF231" s="255" t="n"/>
      <c r="AG231" s="255" t="n"/>
      <c r="AH231" s="255" t="n"/>
      <c r="AI231" s="255" t="n"/>
      <c r="AJ231" s="257">
        <f>IF($A231="","",YEAR($A231)*100+MONTH($A231))</f>
        <v/>
      </c>
      <c r="AK231" s="257">
        <f>IF($A231="","",IF($N231="",0,1))</f>
        <v/>
      </c>
    </row>
    <row r="232">
      <c r="A232" s="247" t="n">
        <v>46325</v>
      </c>
      <c r="B232" s="248">
        <f>IF(V232&lt;&gt;"",V232-T232,IF(AF232&lt;&gt;"",AA232+AF232,""))</f>
        <v/>
      </c>
      <c r="C232" s="249">
        <f>IF(OR(B232="",B231=""),"",B232-B231)</f>
        <v/>
      </c>
      <c r="D232" s="248">
        <f>IF(OR(B232="",AA232=""),"",B232-AA232)</f>
        <v/>
      </c>
      <c r="E232" s="250">
        <f>IF(OR(B232="",AD232=0),"",MIN(0,B232/AD232-1))</f>
        <v/>
      </c>
      <c r="F232" s="250">
        <f>IF(OR(U232="",T232=0,T232=""),"",(P232-T232*1.4)/U232)</f>
        <v/>
      </c>
      <c r="G232" s="251">
        <f>IF(OR(AC232="",'09_CF_원금'!$B$108=0),"",AC232/'09_CF_원금'!$B$108)</f>
        <v/>
      </c>
      <c r="H232" s="250">
        <f>IF(OR(U232="",U232=0,AC232=""),"",AC232/U232)</f>
        <v/>
      </c>
      <c r="I232" s="250">
        <f>IF(OR(S232="",U232=""),"",S232/(U232+S232))</f>
        <v/>
      </c>
      <c r="J232" s="248">
        <f>IF(W232&lt;&gt;"",W232-X232,IF(AG232&lt;&gt;"",AG232,""))</f>
        <v/>
      </c>
      <c r="K232" s="248">
        <f>IF(Q232&lt;&gt;"",Q232-Y232,IF(AH232&lt;&gt;"",AH232,""))</f>
        <v/>
      </c>
      <c r="L232" s="248">
        <f>IF(R232&lt;&gt;"",R232-Z232,IF(AI232&lt;&gt;"",AI232,""))</f>
        <v/>
      </c>
      <c r="M232" s="252" t="n"/>
      <c r="N232" s="253" t="n"/>
      <c r="O232" s="254" t="n"/>
      <c r="P232" s="255" t="n"/>
      <c r="Q232" s="258">
        <f>IF($A232="","",IF(Q231="","",Q231))</f>
        <v/>
      </c>
      <c r="R232" s="258">
        <f>IF($A232="","",IF(R231="","",R231))</f>
        <v/>
      </c>
      <c r="S232" s="258">
        <f>IF($A232="","",IF(S231="","",S231))</f>
        <v/>
      </c>
      <c r="T232" s="249">
        <f>IF(OR(P232="",W232=""),"",P232-W232)</f>
        <v/>
      </c>
      <c r="U232" s="258">
        <f>IF($A232="","",IF(U231="","",U231))</f>
        <v/>
      </c>
      <c r="V232" s="249">
        <f>IF(P232="","",P232+IF(Q232="",0,Q232)+IF(R232="",0,R232))</f>
        <v/>
      </c>
      <c r="W232" s="255" t="n"/>
      <c r="X232" s="249">
        <f>SUMIFS('09_CF_원금'!$E$6:$E$92,'09_CF_원금'!$D$6:$D$92,"국장",'09_CF_원금'!$A$6:$A$92,"&lt;="&amp;$A232)-SUMIFS('09_CF_원금'!$E$6:$E$92,'09_CF_원금'!$C$6:$C$92,"국장",'09_CF_원금'!$A$6:$A$92,"&lt;="&amp;$A232)</f>
        <v/>
      </c>
      <c r="Y232" s="249">
        <f>SUMIFS('09_CF_원금'!$E$6:$E$92,'09_CF_원금'!$D$6:$D$92,"미장",'09_CF_원금'!$A$6:$A$92,"&lt;="&amp;$A232)-SUMIFS('09_CF_원금'!$E$6:$E$92,'09_CF_원금'!$C$6:$C$92,"미장",'09_CF_원금'!$A$6:$A$92,"&lt;="&amp;$A232)</f>
        <v/>
      </c>
      <c r="Z232" s="249">
        <f>SUMIFS('09_CF_원금'!$E$6:$E$92,'09_CF_원금'!$D$6:$D$92,"ISA",'09_CF_원금'!$A$6:$A$92,"&lt;="&amp;$A232)-SUMIFS('09_CF_원금'!$E$6:$E$92,'09_CF_원금'!$C$6:$C$92,"ISA",'09_CF_원금'!$A$6:$A$92,"&lt;="&amp;$A232)</f>
        <v/>
      </c>
      <c r="AA232" s="249">
        <f>IF($A232="","",X232+Y232+Z232+SUMIFS('09_CF_원금'!$E$6:$E$92,'09_CF_원금'!$D$6:$D$92,"중국",'09_CF_원금'!$A$6:$A$92,"&lt;="&amp;$A232)-SUMIFS('09_CF_원금'!$E$6:$E$92,'09_CF_원금'!$C$6:$C$92,"중국",'09_CF_원금'!$A$6:$A$92,"&lt;="&amp;$A232)+SUMIFS('09_CF_원금'!$E$6:$E$92,'09_CF_원금'!$D$6:$D$92,"업비트",'09_CF_원금'!$A$6:$A$92,"&lt;="&amp;$A232)-SUMIFS('09_CF_원금'!$E$6:$E$92,'09_CF_원금'!$C$6:$C$92,"업비트",'09_CF_원금'!$A$6:$A$92,"&lt;="&amp;$A232))</f>
        <v/>
      </c>
      <c r="AB232" s="249">
        <f>IF(OR(U232="",V232=""),"",U232-(V232-IF(S232="",0,S232)))</f>
        <v/>
      </c>
      <c r="AC232" s="249">
        <f>IF(AB232="","",T232+AB232)</f>
        <v/>
      </c>
      <c r="AD232" s="249">
        <f>IF(B232="","",MAX($B$5:B232))</f>
        <v/>
      </c>
      <c r="AE232" s="256" t="n"/>
      <c r="AF232" s="255" t="n"/>
      <c r="AG232" s="255" t="n"/>
      <c r="AH232" s="255" t="n"/>
      <c r="AI232" s="255" t="n"/>
      <c r="AJ232" s="257">
        <f>IF($A232="","",YEAR($A232)*100+MONTH($A232))</f>
        <v/>
      </c>
      <c r="AK232" s="257">
        <f>IF($A232="","",IF($N232="",0,1))</f>
        <v/>
      </c>
    </row>
    <row r="233">
      <c r="A233" s="247" t="n">
        <v>46328</v>
      </c>
      <c r="B233" s="248">
        <f>IF(V233&lt;&gt;"",V233-T233,IF(AF233&lt;&gt;"",AA233+AF233,""))</f>
        <v/>
      </c>
      <c r="C233" s="249">
        <f>IF(OR(B233="",B232=""),"",B233-B232)</f>
        <v/>
      </c>
      <c r="D233" s="248">
        <f>IF(OR(B233="",AA233=""),"",B233-AA233)</f>
        <v/>
      </c>
      <c r="E233" s="250">
        <f>IF(OR(B233="",AD233=0),"",MIN(0,B233/AD233-1))</f>
        <v/>
      </c>
      <c r="F233" s="250">
        <f>IF(OR(U233="",T233=0,T233=""),"",(P233-T233*1.4)/U233)</f>
        <v/>
      </c>
      <c r="G233" s="251">
        <f>IF(OR(AC233="",'09_CF_원금'!$B$108=0),"",AC233/'09_CF_원금'!$B$108)</f>
        <v/>
      </c>
      <c r="H233" s="250">
        <f>IF(OR(U233="",U233=0,AC233=""),"",AC233/U233)</f>
        <v/>
      </c>
      <c r="I233" s="250">
        <f>IF(OR(S233="",U233=""),"",S233/(U233+S233))</f>
        <v/>
      </c>
      <c r="J233" s="248">
        <f>IF(W233&lt;&gt;"",W233-X233,IF(AG233&lt;&gt;"",AG233,""))</f>
        <v/>
      </c>
      <c r="K233" s="248">
        <f>IF(Q233&lt;&gt;"",Q233-Y233,IF(AH233&lt;&gt;"",AH233,""))</f>
        <v/>
      </c>
      <c r="L233" s="248">
        <f>IF(R233&lt;&gt;"",R233-Z233,IF(AI233&lt;&gt;"",AI233,""))</f>
        <v/>
      </c>
      <c r="M233" s="252" t="n"/>
      <c r="N233" s="253" t="n"/>
      <c r="O233" s="254" t="n"/>
      <c r="P233" s="255" t="n"/>
      <c r="Q233" s="258">
        <f>IF($A233="","",IF(Q232="","",Q232))</f>
        <v/>
      </c>
      <c r="R233" s="258">
        <f>IF($A233="","",IF(R232="","",R232))</f>
        <v/>
      </c>
      <c r="S233" s="258">
        <f>IF($A233="","",IF(S232="","",S232))</f>
        <v/>
      </c>
      <c r="T233" s="249">
        <f>IF(OR(P233="",W233=""),"",P233-W233)</f>
        <v/>
      </c>
      <c r="U233" s="258">
        <f>IF($A233="","",IF(U232="","",U232))</f>
        <v/>
      </c>
      <c r="V233" s="249">
        <f>IF(P233="","",P233+IF(Q233="",0,Q233)+IF(R233="",0,R233))</f>
        <v/>
      </c>
      <c r="W233" s="255" t="n"/>
      <c r="X233" s="249">
        <f>SUMIFS('09_CF_원금'!$E$6:$E$92,'09_CF_원금'!$D$6:$D$92,"국장",'09_CF_원금'!$A$6:$A$92,"&lt;="&amp;$A233)-SUMIFS('09_CF_원금'!$E$6:$E$92,'09_CF_원금'!$C$6:$C$92,"국장",'09_CF_원금'!$A$6:$A$92,"&lt;="&amp;$A233)</f>
        <v/>
      </c>
      <c r="Y233" s="249">
        <f>SUMIFS('09_CF_원금'!$E$6:$E$92,'09_CF_원금'!$D$6:$D$92,"미장",'09_CF_원금'!$A$6:$A$92,"&lt;="&amp;$A233)-SUMIFS('09_CF_원금'!$E$6:$E$92,'09_CF_원금'!$C$6:$C$92,"미장",'09_CF_원금'!$A$6:$A$92,"&lt;="&amp;$A233)</f>
        <v/>
      </c>
      <c r="Z233" s="249">
        <f>SUMIFS('09_CF_원금'!$E$6:$E$92,'09_CF_원금'!$D$6:$D$92,"ISA",'09_CF_원금'!$A$6:$A$92,"&lt;="&amp;$A233)-SUMIFS('09_CF_원금'!$E$6:$E$92,'09_CF_원금'!$C$6:$C$92,"ISA",'09_CF_원금'!$A$6:$A$92,"&lt;="&amp;$A233)</f>
        <v/>
      </c>
      <c r="AA233" s="249">
        <f>IF($A233="","",X233+Y233+Z233+SUMIFS('09_CF_원금'!$E$6:$E$92,'09_CF_원금'!$D$6:$D$92,"중국",'09_CF_원금'!$A$6:$A$92,"&lt;="&amp;$A233)-SUMIFS('09_CF_원금'!$E$6:$E$92,'09_CF_원금'!$C$6:$C$92,"중국",'09_CF_원금'!$A$6:$A$92,"&lt;="&amp;$A233)+SUMIFS('09_CF_원금'!$E$6:$E$92,'09_CF_원금'!$D$6:$D$92,"업비트",'09_CF_원금'!$A$6:$A$92,"&lt;="&amp;$A233)-SUMIFS('09_CF_원금'!$E$6:$E$92,'09_CF_원금'!$C$6:$C$92,"업비트",'09_CF_원금'!$A$6:$A$92,"&lt;="&amp;$A233))</f>
        <v/>
      </c>
      <c r="AB233" s="249">
        <f>IF(OR(U233="",V233=""),"",U233-(V233-IF(S233="",0,S233)))</f>
        <v/>
      </c>
      <c r="AC233" s="249">
        <f>IF(AB233="","",T233+AB233)</f>
        <v/>
      </c>
      <c r="AD233" s="249">
        <f>IF(B233="","",MAX($B$5:B233))</f>
        <v/>
      </c>
      <c r="AE233" s="256" t="n"/>
      <c r="AF233" s="255" t="n"/>
      <c r="AG233" s="255" t="n"/>
      <c r="AH233" s="255" t="n"/>
      <c r="AI233" s="255" t="n"/>
      <c r="AJ233" s="257">
        <f>IF($A233="","",YEAR($A233)*100+MONTH($A233))</f>
        <v/>
      </c>
      <c r="AK233" s="257">
        <f>IF($A233="","",IF($N233="",0,1))</f>
        <v/>
      </c>
    </row>
    <row r="234">
      <c r="A234" s="247" t="n">
        <v>46329</v>
      </c>
      <c r="B234" s="248">
        <f>IF(V234&lt;&gt;"",V234-T234,IF(AF234&lt;&gt;"",AA234+AF234,""))</f>
        <v/>
      </c>
      <c r="C234" s="249">
        <f>IF(OR(B234="",B233=""),"",B234-B233)</f>
        <v/>
      </c>
      <c r="D234" s="248">
        <f>IF(OR(B234="",AA234=""),"",B234-AA234)</f>
        <v/>
      </c>
      <c r="E234" s="250">
        <f>IF(OR(B234="",AD234=0),"",MIN(0,B234/AD234-1))</f>
        <v/>
      </c>
      <c r="F234" s="250">
        <f>IF(OR(U234="",T234=0,T234=""),"",(P234-T234*1.4)/U234)</f>
        <v/>
      </c>
      <c r="G234" s="251">
        <f>IF(OR(AC234="",'09_CF_원금'!$B$108=0),"",AC234/'09_CF_원금'!$B$108)</f>
        <v/>
      </c>
      <c r="H234" s="250">
        <f>IF(OR(U234="",U234=0,AC234=""),"",AC234/U234)</f>
        <v/>
      </c>
      <c r="I234" s="250">
        <f>IF(OR(S234="",U234=""),"",S234/(U234+S234))</f>
        <v/>
      </c>
      <c r="J234" s="248">
        <f>IF(W234&lt;&gt;"",W234-X234,IF(AG234&lt;&gt;"",AG234,""))</f>
        <v/>
      </c>
      <c r="K234" s="248">
        <f>IF(Q234&lt;&gt;"",Q234-Y234,IF(AH234&lt;&gt;"",AH234,""))</f>
        <v/>
      </c>
      <c r="L234" s="248">
        <f>IF(R234&lt;&gt;"",R234-Z234,IF(AI234&lt;&gt;"",AI234,""))</f>
        <v/>
      </c>
      <c r="M234" s="252" t="n"/>
      <c r="N234" s="253" t="n"/>
      <c r="O234" s="254" t="n"/>
      <c r="P234" s="255" t="n"/>
      <c r="Q234" s="258">
        <f>IF($A234="","",IF(Q233="","",Q233))</f>
        <v/>
      </c>
      <c r="R234" s="258">
        <f>IF($A234="","",IF(R233="","",R233))</f>
        <v/>
      </c>
      <c r="S234" s="258">
        <f>IF($A234="","",IF(S233="","",S233))</f>
        <v/>
      </c>
      <c r="T234" s="249">
        <f>IF(OR(P234="",W234=""),"",P234-W234)</f>
        <v/>
      </c>
      <c r="U234" s="258">
        <f>IF($A234="","",IF(U233="","",U233))</f>
        <v/>
      </c>
      <c r="V234" s="249">
        <f>IF(P234="","",P234+IF(Q234="",0,Q234)+IF(R234="",0,R234))</f>
        <v/>
      </c>
      <c r="W234" s="255" t="n"/>
      <c r="X234" s="249">
        <f>SUMIFS('09_CF_원금'!$E$6:$E$92,'09_CF_원금'!$D$6:$D$92,"국장",'09_CF_원금'!$A$6:$A$92,"&lt;="&amp;$A234)-SUMIFS('09_CF_원금'!$E$6:$E$92,'09_CF_원금'!$C$6:$C$92,"국장",'09_CF_원금'!$A$6:$A$92,"&lt;="&amp;$A234)</f>
        <v/>
      </c>
      <c r="Y234" s="249">
        <f>SUMIFS('09_CF_원금'!$E$6:$E$92,'09_CF_원금'!$D$6:$D$92,"미장",'09_CF_원금'!$A$6:$A$92,"&lt;="&amp;$A234)-SUMIFS('09_CF_원금'!$E$6:$E$92,'09_CF_원금'!$C$6:$C$92,"미장",'09_CF_원금'!$A$6:$A$92,"&lt;="&amp;$A234)</f>
        <v/>
      </c>
      <c r="Z234" s="249">
        <f>SUMIFS('09_CF_원금'!$E$6:$E$92,'09_CF_원금'!$D$6:$D$92,"ISA",'09_CF_원금'!$A$6:$A$92,"&lt;="&amp;$A234)-SUMIFS('09_CF_원금'!$E$6:$E$92,'09_CF_원금'!$C$6:$C$92,"ISA",'09_CF_원금'!$A$6:$A$92,"&lt;="&amp;$A234)</f>
        <v/>
      </c>
      <c r="AA234" s="249">
        <f>IF($A234="","",X234+Y234+Z234+SUMIFS('09_CF_원금'!$E$6:$E$92,'09_CF_원금'!$D$6:$D$92,"중국",'09_CF_원금'!$A$6:$A$92,"&lt;="&amp;$A234)-SUMIFS('09_CF_원금'!$E$6:$E$92,'09_CF_원금'!$C$6:$C$92,"중국",'09_CF_원금'!$A$6:$A$92,"&lt;="&amp;$A234)+SUMIFS('09_CF_원금'!$E$6:$E$92,'09_CF_원금'!$D$6:$D$92,"업비트",'09_CF_원금'!$A$6:$A$92,"&lt;="&amp;$A234)-SUMIFS('09_CF_원금'!$E$6:$E$92,'09_CF_원금'!$C$6:$C$92,"업비트",'09_CF_원금'!$A$6:$A$92,"&lt;="&amp;$A234))</f>
        <v/>
      </c>
      <c r="AB234" s="249">
        <f>IF(OR(U234="",V234=""),"",U234-(V234-IF(S234="",0,S234)))</f>
        <v/>
      </c>
      <c r="AC234" s="249">
        <f>IF(AB234="","",T234+AB234)</f>
        <v/>
      </c>
      <c r="AD234" s="249">
        <f>IF(B234="","",MAX($B$5:B234))</f>
        <v/>
      </c>
      <c r="AE234" s="256" t="n"/>
      <c r="AF234" s="255" t="n"/>
      <c r="AG234" s="255" t="n"/>
      <c r="AH234" s="255" t="n"/>
      <c r="AI234" s="255" t="n"/>
      <c r="AJ234" s="257">
        <f>IF($A234="","",YEAR($A234)*100+MONTH($A234))</f>
        <v/>
      </c>
      <c r="AK234" s="257">
        <f>IF($A234="","",IF($N234="",0,1))</f>
        <v/>
      </c>
    </row>
    <row r="235">
      <c r="A235" s="247" t="n">
        <v>46330</v>
      </c>
      <c r="B235" s="248">
        <f>IF(V235&lt;&gt;"",V235-T235,IF(AF235&lt;&gt;"",AA235+AF235,""))</f>
        <v/>
      </c>
      <c r="C235" s="249">
        <f>IF(OR(B235="",B234=""),"",B235-B234)</f>
        <v/>
      </c>
      <c r="D235" s="248">
        <f>IF(OR(B235="",AA235=""),"",B235-AA235)</f>
        <v/>
      </c>
      <c r="E235" s="250">
        <f>IF(OR(B235="",AD235=0),"",MIN(0,B235/AD235-1))</f>
        <v/>
      </c>
      <c r="F235" s="250">
        <f>IF(OR(U235="",T235=0,T235=""),"",(P235-T235*1.4)/U235)</f>
        <v/>
      </c>
      <c r="G235" s="251">
        <f>IF(OR(AC235="",'09_CF_원금'!$B$108=0),"",AC235/'09_CF_원금'!$B$108)</f>
        <v/>
      </c>
      <c r="H235" s="250">
        <f>IF(OR(U235="",U235=0,AC235=""),"",AC235/U235)</f>
        <v/>
      </c>
      <c r="I235" s="250">
        <f>IF(OR(S235="",U235=""),"",S235/(U235+S235))</f>
        <v/>
      </c>
      <c r="J235" s="248">
        <f>IF(W235&lt;&gt;"",W235-X235,IF(AG235&lt;&gt;"",AG235,""))</f>
        <v/>
      </c>
      <c r="K235" s="248">
        <f>IF(Q235&lt;&gt;"",Q235-Y235,IF(AH235&lt;&gt;"",AH235,""))</f>
        <v/>
      </c>
      <c r="L235" s="248">
        <f>IF(R235&lt;&gt;"",R235-Z235,IF(AI235&lt;&gt;"",AI235,""))</f>
        <v/>
      </c>
      <c r="M235" s="252" t="n"/>
      <c r="N235" s="253" t="n"/>
      <c r="O235" s="254" t="n"/>
      <c r="P235" s="255" t="n"/>
      <c r="Q235" s="258">
        <f>IF($A235="","",IF(Q234="","",Q234))</f>
        <v/>
      </c>
      <c r="R235" s="258">
        <f>IF($A235="","",IF(R234="","",R234))</f>
        <v/>
      </c>
      <c r="S235" s="258">
        <f>IF($A235="","",IF(S234="","",S234))</f>
        <v/>
      </c>
      <c r="T235" s="249">
        <f>IF(OR(P235="",W235=""),"",P235-W235)</f>
        <v/>
      </c>
      <c r="U235" s="258">
        <f>IF($A235="","",IF(U234="","",U234))</f>
        <v/>
      </c>
      <c r="V235" s="249">
        <f>IF(P235="","",P235+IF(Q235="",0,Q235)+IF(R235="",0,R235))</f>
        <v/>
      </c>
      <c r="W235" s="255" t="n"/>
      <c r="X235" s="249">
        <f>SUMIFS('09_CF_원금'!$E$6:$E$92,'09_CF_원금'!$D$6:$D$92,"국장",'09_CF_원금'!$A$6:$A$92,"&lt;="&amp;$A235)-SUMIFS('09_CF_원금'!$E$6:$E$92,'09_CF_원금'!$C$6:$C$92,"국장",'09_CF_원금'!$A$6:$A$92,"&lt;="&amp;$A235)</f>
        <v/>
      </c>
      <c r="Y235" s="249">
        <f>SUMIFS('09_CF_원금'!$E$6:$E$92,'09_CF_원금'!$D$6:$D$92,"미장",'09_CF_원금'!$A$6:$A$92,"&lt;="&amp;$A235)-SUMIFS('09_CF_원금'!$E$6:$E$92,'09_CF_원금'!$C$6:$C$92,"미장",'09_CF_원금'!$A$6:$A$92,"&lt;="&amp;$A235)</f>
        <v/>
      </c>
      <c r="Z235" s="249">
        <f>SUMIFS('09_CF_원금'!$E$6:$E$92,'09_CF_원금'!$D$6:$D$92,"ISA",'09_CF_원금'!$A$6:$A$92,"&lt;="&amp;$A235)-SUMIFS('09_CF_원금'!$E$6:$E$92,'09_CF_원금'!$C$6:$C$92,"ISA",'09_CF_원금'!$A$6:$A$92,"&lt;="&amp;$A235)</f>
        <v/>
      </c>
      <c r="AA235" s="249">
        <f>IF($A235="","",X235+Y235+Z235+SUMIFS('09_CF_원금'!$E$6:$E$92,'09_CF_원금'!$D$6:$D$92,"중국",'09_CF_원금'!$A$6:$A$92,"&lt;="&amp;$A235)-SUMIFS('09_CF_원금'!$E$6:$E$92,'09_CF_원금'!$C$6:$C$92,"중국",'09_CF_원금'!$A$6:$A$92,"&lt;="&amp;$A235)+SUMIFS('09_CF_원금'!$E$6:$E$92,'09_CF_원금'!$D$6:$D$92,"업비트",'09_CF_원금'!$A$6:$A$92,"&lt;="&amp;$A235)-SUMIFS('09_CF_원금'!$E$6:$E$92,'09_CF_원금'!$C$6:$C$92,"업비트",'09_CF_원금'!$A$6:$A$92,"&lt;="&amp;$A235))</f>
        <v/>
      </c>
      <c r="AB235" s="249">
        <f>IF(OR(U235="",V235=""),"",U235-(V235-IF(S235="",0,S235)))</f>
        <v/>
      </c>
      <c r="AC235" s="249">
        <f>IF(AB235="","",T235+AB235)</f>
        <v/>
      </c>
      <c r="AD235" s="249">
        <f>IF(B235="","",MAX($B$5:B235))</f>
        <v/>
      </c>
      <c r="AE235" s="256" t="n"/>
      <c r="AF235" s="255" t="n"/>
      <c r="AG235" s="255" t="n"/>
      <c r="AH235" s="255" t="n"/>
      <c r="AI235" s="255" t="n"/>
      <c r="AJ235" s="257">
        <f>IF($A235="","",YEAR($A235)*100+MONTH($A235))</f>
        <v/>
      </c>
      <c r="AK235" s="257">
        <f>IF($A235="","",IF($N235="",0,1))</f>
        <v/>
      </c>
    </row>
    <row r="236">
      <c r="A236" s="247" t="n">
        <v>46331</v>
      </c>
      <c r="B236" s="248">
        <f>IF(V236&lt;&gt;"",V236-T236,IF(AF236&lt;&gt;"",AA236+AF236,""))</f>
        <v/>
      </c>
      <c r="C236" s="249">
        <f>IF(OR(B236="",B235=""),"",B236-B235)</f>
        <v/>
      </c>
      <c r="D236" s="248">
        <f>IF(OR(B236="",AA236=""),"",B236-AA236)</f>
        <v/>
      </c>
      <c r="E236" s="250">
        <f>IF(OR(B236="",AD236=0),"",MIN(0,B236/AD236-1))</f>
        <v/>
      </c>
      <c r="F236" s="250">
        <f>IF(OR(U236="",T236=0,T236=""),"",(P236-T236*1.4)/U236)</f>
        <v/>
      </c>
      <c r="G236" s="251">
        <f>IF(OR(AC236="",'09_CF_원금'!$B$108=0),"",AC236/'09_CF_원금'!$B$108)</f>
        <v/>
      </c>
      <c r="H236" s="250">
        <f>IF(OR(U236="",U236=0,AC236=""),"",AC236/U236)</f>
        <v/>
      </c>
      <c r="I236" s="250">
        <f>IF(OR(S236="",U236=""),"",S236/(U236+S236))</f>
        <v/>
      </c>
      <c r="J236" s="248">
        <f>IF(W236&lt;&gt;"",W236-X236,IF(AG236&lt;&gt;"",AG236,""))</f>
        <v/>
      </c>
      <c r="K236" s="248">
        <f>IF(Q236&lt;&gt;"",Q236-Y236,IF(AH236&lt;&gt;"",AH236,""))</f>
        <v/>
      </c>
      <c r="L236" s="248">
        <f>IF(R236&lt;&gt;"",R236-Z236,IF(AI236&lt;&gt;"",AI236,""))</f>
        <v/>
      </c>
      <c r="M236" s="252" t="n"/>
      <c r="N236" s="253" t="n"/>
      <c r="O236" s="254" t="n"/>
      <c r="P236" s="255" t="n"/>
      <c r="Q236" s="258">
        <f>IF($A236="","",IF(Q235="","",Q235))</f>
        <v/>
      </c>
      <c r="R236" s="258">
        <f>IF($A236="","",IF(R235="","",R235))</f>
        <v/>
      </c>
      <c r="S236" s="258">
        <f>IF($A236="","",IF(S235="","",S235))</f>
        <v/>
      </c>
      <c r="T236" s="249">
        <f>IF(OR(P236="",W236=""),"",P236-W236)</f>
        <v/>
      </c>
      <c r="U236" s="258">
        <f>IF($A236="","",IF(U235="","",U235))</f>
        <v/>
      </c>
      <c r="V236" s="249">
        <f>IF(P236="","",P236+IF(Q236="",0,Q236)+IF(R236="",0,R236))</f>
        <v/>
      </c>
      <c r="W236" s="255" t="n"/>
      <c r="X236" s="249">
        <f>SUMIFS('09_CF_원금'!$E$6:$E$92,'09_CF_원금'!$D$6:$D$92,"국장",'09_CF_원금'!$A$6:$A$92,"&lt;="&amp;$A236)-SUMIFS('09_CF_원금'!$E$6:$E$92,'09_CF_원금'!$C$6:$C$92,"국장",'09_CF_원금'!$A$6:$A$92,"&lt;="&amp;$A236)</f>
        <v/>
      </c>
      <c r="Y236" s="249">
        <f>SUMIFS('09_CF_원금'!$E$6:$E$92,'09_CF_원금'!$D$6:$D$92,"미장",'09_CF_원금'!$A$6:$A$92,"&lt;="&amp;$A236)-SUMIFS('09_CF_원금'!$E$6:$E$92,'09_CF_원금'!$C$6:$C$92,"미장",'09_CF_원금'!$A$6:$A$92,"&lt;="&amp;$A236)</f>
        <v/>
      </c>
      <c r="Z236" s="249">
        <f>SUMIFS('09_CF_원금'!$E$6:$E$92,'09_CF_원금'!$D$6:$D$92,"ISA",'09_CF_원금'!$A$6:$A$92,"&lt;="&amp;$A236)-SUMIFS('09_CF_원금'!$E$6:$E$92,'09_CF_원금'!$C$6:$C$92,"ISA",'09_CF_원금'!$A$6:$A$92,"&lt;="&amp;$A236)</f>
        <v/>
      </c>
      <c r="AA236" s="249">
        <f>IF($A236="","",X236+Y236+Z236+SUMIFS('09_CF_원금'!$E$6:$E$92,'09_CF_원금'!$D$6:$D$92,"중국",'09_CF_원금'!$A$6:$A$92,"&lt;="&amp;$A236)-SUMIFS('09_CF_원금'!$E$6:$E$92,'09_CF_원금'!$C$6:$C$92,"중국",'09_CF_원금'!$A$6:$A$92,"&lt;="&amp;$A236)+SUMIFS('09_CF_원금'!$E$6:$E$92,'09_CF_원금'!$D$6:$D$92,"업비트",'09_CF_원금'!$A$6:$A$92,"&lt;="&amp;$A236)-SUMIFS('09_CF_원금'!$E$6:$E$92,'09_CF_원금'!$C$6:$C$92,"업비트",'09_CF_원금'!$A$6:$A$92,"&lt;="&amp;$A236))</f>
        <v/>
      </c>
      <c r="AB236" s="249">
        <f>IF(OR(U236="",V236=""),"",U236-(V236-IF(S236="",0,S236)))</f>
        <v/>
      </c>
      <c r="AC236" s="249">
        <f>IF(AB236="","",T236+AB236)</f>
        <v/>
      </c>
      <c r="AD236" s="249">
        <f>IF(B236="","",MAX($B$5:B236))</f>
        <v/>
      </c>
      <c r="AE236" s="256" t="n"/>
      <c r="AF236" s="255" t="n"/>
      <c r="AG236" s="255" t="n"/>
      <c r="AH236" s="255" t="n"/>
      <c r="AI236" s="255" t="n"/>
      <c r="AJ236" s="257">
        <f>IF($A236="","",YEAR($A236)*100+MONTH($A236))</f>
        <v/>
      </c>
      <c r="AK236" s="257">
        <f>IF($A236="","",IF($N236="",0,1))</f>
        <v/>
      </c>
    </row>
    <row r="237">
      <c r="A237" s="247" t="n">
        <v>46332</v>
      </c>
      <c r="B237" s="248">
        <f>IF(V237&lt;&gt;"",V237-T237,IF(AF237&lt;&gt;"",AA237+AF237,""))</f>
        <v/>
      </c>
      <c r="C237" s="249">
        <f>IF(OR(B237="",B236=""),"",B237-B236)</f>
        <v/>
      </c>
      <c r="D237" s="248">
        <f>IF(OR(B237="",AA237=""),"",B237-AA237)</f>
        <v/>
      </c>
      <c r="E237" s="250">
        <f>IF(OR(B237="",AD237=0),"",MIN(0,B237/AD237-1))</f>
        <v/>
      </c>
      <c r="F237" s="250">
        <f>IF(OR(U237="",T237=0,T237=""),"",(P237-T237*1.4)/U237)</f>
        <v/>
      </c>
      <c r="G237" s="251">
        <f>IF(OR(AC237="",'09_CF_원금'!$B$108=0),"",AC237/'09_CF_원금'!$B$108)</f>
        <v/>
      </c>
      <c r="H237" s="250">
        <f>IF(OR(U237="",U237=0,AC237=""),"",AC237/U237)</f>
        <v/>
      </c>
      <c r="I237" s="250">
        <f>IF(OR(S237="",U237=""),"",S237/(U237+S237))</f>
        <v/>
      </c>
      <c r="J237" s="248">
        <f>IF(W237&lt;&gt;"",W237-X237,IF(AG237&lt;&gt;"",AG237,""))</f>
        <v/>
      </c>
      <c r="K237" s="248">
        <f>IF(Q237&lt;&gt;"",Q237-Y237,IF(AH237&lt;&gt;"",AH237,""))</f>
        <v/>
      </c>
      <c r="L237" s="248">
        <f>IF(R237&lt;&gt;"",R237-Z237,IF(AI237&lt;&gt;"",AI237,""))</f>
        <v/>
      </c>
      <c r="M237" s="252" t="n"/>
      <c r="N237" s="253" t="n"/>
      <c r="O237" s="254" t="n"/>
      <c r="P237" s="255" t="n"/>
      <c r="Q237" s="258">
        <f>IF($A237="","",IF(Q236="","",Q236))</f>
        <v/>
      </c>
      <c r="R237" s="258">
        <f>IF($A237="","",IF(R236="","",R236))</f>
        <v/>
      </c>
      <c r="S237" s="258">
        <f>IF($A237="","",IF(S236="","",S236))</f>
        <v/>
      </c>
      <c r="T237" s="249">
        <f>IF(OR(P237="",W237=""),"",P237-W237)</f>
        <v/>
      </c>
      <c r="U237" s="258">
        <f>IF($A237="","",IF(U236="","",U236))</f>
        <v/>
      </c>
      <c r="V237" s="249">
        <f>IF(P237="","",P237+IF(Q237="",0,Q237)+IF(R237="",0,R237))</f>
        <v/>
      </c>
      <c r="W237" s="255" t="n"/>
      <c r="X237" s="249">
        <f>SUMIFS('09_CF_원금'!$E$6:$E$92,'09_CF_원금'!$D$6:$D$92,"국장",'09_CF_원금'!$A$6:$A$92,"&lt;="&amp;$A237)-SUMIFS('09_CF_원금'!$E$6:$E$92,'09_CF_원금'!$C$6:$C$92,"국장",'09_CF_원금'!$A$6:$A$92,"&lt;="&amp;$A237)</f>
        <v/>
      </c>
      <c r="Y237" s="249">
        <f>SUMIFS('09_CF_원금'!$E$6:$E$92,'09_CF_원금'!$D$6:$D$92,"미장",'09_CF_원금'!$A$6:$A$92,"&lt;="&amp;$A237)-SUMIFS('09_CF_원금'!$E$6:$E$92,'09_CF_원금'!$C$6:$C$92,"미장",'09_CF_원금'!$A$6:$A$92,"&lt;="&amp;$A237)</f>
        <v/>
      </c>
      <c r="Z237" s="249">
        <f>SUMIFS('09_CF_원금'!$E$6:$E$92,'09_CF_원금'!$D$6:$D$92,"ISA",'09_CF_원금'!$A$6:$A$92,"&lt;="&amp;$A237)-SUMIFS('09_CF_원금'!$E$6:$E$92,'09_CF_원금'!$C$6:$C$92,"ISA",'09_CF_원금'!$A$6:$A$92,"&lt;="&amp;$A237)</f>
        <v/>
      </c>
      <c r="AA237" s="249">
        <f>IF($A237="","",X237+Y237+Z237+SUMIFS('09_CF_원금'!$E$6:$E$92,'09_CF_원금'!$D$6:$D$92,"중국",'09_CF_원금'!$A$6:$A$92,"&lt;="&amp;$A237)-SUMIFS('09_CF_원금'!$E$6:$E$92,'09_CF_원금'!$C$6:$C$92,"중국",'09_CF_원금'!$A$6:$A$92,"&lt;="&amp;$A237)+SUMIFS('09_CF_원금'!$E$6:$E$92,'09_CF_원금'!$D$6:$D$92,"업비트",'09_CF_원금'!$A$6:$A$92,"&lt;="&amp;$A237)-SUMIFS('09_CF_원금'!$E$6:$E$92,'09_CF_원금'!$C$6:$C$92,"업비트",'09_CF_원금'!$A$6:$A$92,"&lt;="&amp;$A237))</f>
        <v/>
      </c>
      <c r="AB237" s="249">
        <f>IF(OR(U237="",V237=""),"",U237-(V237-IF(S237="",0,S237)))</f>
        <v/>
      </c>
      <c r="AC237" s="249">
        <f>IF(AB237="","",T237+AB237)</f>
        <v/>
      </c>
      <c r="AD237" s="249">
        <f>IF(B237="","",MAX($B$5:B237))</f>
        <v/>
      </c>
      <c r="AE237" s="256" t="n"/>
      <c r="AF237" s="255" t="n"/>
      <c r="AG237" s="255" t="n"/>
      <c r="AH237" s="255" t="n"/>
      <c r="AI237" s="255" t="n"/>
      <c r="AJ237" s="257">
        <f>IF($A237="","",YEAR($A237)*100+MONTH($A237))</f>
        <v/>
      </c>
      <c r="AK237" s="257">
        <f>IF($A237="","",IF($N237="",0,1))</f>
        <v/>
      </c>
    </row>
    <row r="238">
      <c r="A238" s="247" t="n">
        <v>46335</v>
      </c>
      <c r="B238" s="248">
        <f>IF(V238&lt;&gt;"",V238-T238,IF(AF238&lt;&gt;"",AA238+AF238,""))</f>
        <v/>
      </c>
      <c r="C238" s="249">
        <f>IF(OR(B238="",B237=""),"",B238-B237)</f>
        <v/>
      </c>
      <c r="D238" s="248">
        <f>IF(OR(B238="",AA238=""),"",B238-AA238)</f>
        <v/>
      </c>
      <c r="E238" s="250">
        <f>IF(OR(B238="",AD238=0),"",MIN(0,B238/AD238-1))</f>
        <v/>
      </c>
      <c r="F238" s="250">
        <f>IF(OR(U238="",T238=0,T238=""),"",(P238-T238*1.4)/U238)</f>
        <v/>
      </c>
      <c r="G238" s="251">
        <f>IF(OR(AC238="",'09_CF_원금'!$B$108=0),"",AC238/'09_CF_원금'!$B$108)</f>
        <v/>
      </c>
      <c r="H238" s="250">
        <f>IF(OR(U238="",U238=0,AC238=""),"",AC238/U238)</f>
        <v/>
      </c>
      <c r="I238" s="250">
        <f>IF(OR(S238="",U238=""),"",S238/(U238+S238))</f>
        <v/>
      </c>
      <c r="J238" s="248">
        <f>IF(W238&lt;&gt;"",W238-X238,IF(AG238&lt;&gt;"",AG238,""))</f>
        <v/>
      </c>
      <c r="K238" s="248">
        <f>IF(Q238&lt;&gt;"",Q238-Y238,IF(AH238&lt;&gt;"",AH238,""))</f>
        <v/>
      </c>
      <c r="L238" s="248">
        <f>IF(R238&lt;&gt;"",R238-Z238,IF(AI238&lt;&gt;"",AI238,""))</f>
        <v/>
      </c>
      <c r="M238" s="252" t="n"/>
      <c r="N238" s="253" t="n"/>
      <c r="O238" s="254" t="n"/>
      <c r="P238" s="255" t="n"/>
      <c r="Q238" s="258">
        <f>IF($A238="","",IF(Q237="","",Q237))</f>
        <v/>
      </c>
      <c r="R238" s="258">
        <f>IF($A238="","",IF(R237="","",R237))</f>
        <v/>
      </c>
      <c r="S238" s="258">
        <f>IF($A238="","",IF(S237="","",S237))</f>
        <v/>
      </c>
      <c r="T238" s="249">
        <f>IF(OR(P238="",W238=""),"",P238-W238)</f>
        <v/>
      </c>
      <c r="U238" s="258">
        <f>IF($A238="","",IF(U237="","",U237))</f>
        <v/>
      </c>
      <c r="V238" s="249">
        <f>IF(P238="","",P238+IF(Q238="",0,Q238)+IF(R238="",0,R238))</f>
        <v/>
      </c>
      <c r="W238" s="255" t="n"/>
      <c r="X238" s="249">
        <f>SUMIFS('09_CF_원금'!$E$6:$E$92,'09_CF_원금'!$D$6:$D$92,"국장",'09_CF_원금'!$A$6:$A$92,"&lt;="&amp;$A238)-SUMIFS('09_CF_원금'!$E$6:$E$92,'09_CF_원금'!$C$6:$C$92,"국장",'09_CF_원금'!$A$6:$A$92,"&lt;="&amp;$A238)</f>
        <v/>
      </c>
      <c r="Y238" s="249">
        <f>SUMIFS('09_CF_원금'!$E$6:$E$92,'09_CF_원금'!$D$6:$D$92,"미장",'09_CF_원금'!$A$6:$A$92,"&lt;="&amp;$A238)-SUMIFS('09_CF_원금'!$E$6:$E$92,'09_CF_원금'!$C$6:$C$92,"미장",'09_CF_원금'!$A$6:$A$92,"&lt;="&amp;$A238)</f>
        <v/>
      </c>
      <c r="Z238" s="249">
        <f>SUMIFS('09_CF_원금'!$E$6:$E$92,'09_CF_원금'!$D$6:$D$92,"ISA",'09_CF_원금'!$A$6:$A$92,"&lt;="&amp;$A238)-SUMIFS('09_CF_원금'!$E$6:$E$92,'09_CF_원금'!$C$6:$C$92,"ISA",'09_CF_원금'!$A$6:$A$92,"&lt;="&amp;$A238)</f>
        <v/>
      </c>
      <c r="AA238" s="249">
        <f>IF($A238="","",X238+Y238+Z238+SUMIFS('09_CF_원금'!$E$6:$E$92,'09_CF_원금'!$D$6:$D$92,"중국",'09_CF_원금'!$A$6:$A$92,"&lt;="&amp;$A238)-SUMIFS('09_CF_원금'!$E$6:$E$92,'09_CF_원금'!$C$6:$C$92,"중국",'09_CF_원금'!$A$6:$A$92,"&lt;="&amp;$A238)+SUMIFS('09_CF_원금'!$E$6:$E$92,'09_CF_원금'!$D$6:$D$92,"업비트",'09_CF_원금'!$A$6:$A$92,"&lt;="&amp;$A238)-SUMIFS('09_CF_원금'!$E$6:$E$92,'09_CF_원금'!$C$6:$C$92,"업비트",'09_CF_원금'!$A$6:$A$92,"&lt;="&amp;$A238))</f>
        <v/>
      </c>
      <c r="AB238" s="249">
        <f>IF(OR(U238="",V238=""),"",U238-(V238-IF(S238="",0,S238)))</f>
        <v/>
      </c>
      <c r="AC238" s="249">
        <f>IF(AB238="","",T238+AB238)</f>
        <v/>
      </c>
      <c r="AD238" s="249">
        <f>IF(B238="","",MAX($B$5:B238))</f>
        <v/>
      </c>
      <c r="AE238" s="256" t="n"/>
      <c r="AF238" s="255" t="n"/>
      <c r="AG238" s="255" t="n"/>
      <c r="AH238" s="255" t="n"/>
      <c r="AI238" s="255" t="n"/>
      <c r="AJ238" s="257">
        <f>IF($A238="","",YEAR($A238)*100+MONTH($A238))</f>
        <v/>
      </c>
      <c r="AK238" s="257">
        <f>IF($A238="","",IF($N238="",0,1))</f>
        <v/>
      </c>
    </row>
    <row r="239">
      <c r="A239" s="247" t="n">
        <v>46336</v>
      </c>
      <c r="B239" s="248">
        <f>IF(V239&lt;&gt;"",V239-T239,IF(AF239&lt;&gt;"",AA239+AF239,""))</f>
        <v/>
      </c>
      <c r="C239" s="249">
        <f>IF(OR(B239="",B238=""),"",B239-B238)</f>
        <v/>
      </c>
      <c r="D239" s="248">
        <f>IF(OR(B239="",AA239=""),"",B239-AA239)</f>
        <v/>
      </c>
      <c r="E239" s="250">
        <f>IF(OR(B239="",AD239=0),"",MIN(0,B239/AD239-1))</f>
        <v/>
      </c>
      <c r="F239" s="250">
        <f>IF(OR(U239="",T239=0,T239=""),"",(P239-T239*1.4)/U239)</f>
        <v/>
      </c>
      <c r="G239" s="251">
        <f>IF(OR(AC239="",'09_CF_원금'!$B$108=0),"",AC239/'09_CF_원금'!$B$108)</f>
        <v/>
      </c>
      <c r="H239" s="250">
        <f>IF(OR(U239="",U239=0,AC239=""),"",AC239/U239)</f>
        <v/>
      </c>
      <c r="I239" s="250">
        <f>IF(OR(S239="",U239=""),"",S239/(U239+S239))</f>
        <v/>
      </c>
      <c r="J239" s="248">
        <f>IF(W239&lt;&gt;"",W239-X239,IF(AG239&lt;&gt;"",AG239,""))</f>
        <v/>
      </c>
      <c r="K239" s="248">
        <f>IF(Q239&lt;&gt;"",Q239-Y239,IF(AH239&lt;&gt;"",AH239,""))</f>
        <v/>
      </c>
      <c r="L239" s="248">
        <f>IF(R239&lt;&gt;"",R239-Z239,IF(AI239&lt;&gt;"",AI239,""))</f>
        <v/>
      </c>
      <c r="M239" s="252" t="n"/>
      <c r="N239" s="253" t="n"/>
      <c r="O239" s="254" t="n"/>
      <c r="P239" s="255" t="n"/>
      <c r="Q239" s="258">
        <f>IF($A239="","",IF(Q238="","",Q238))</f>
        <v/>
      </c>
      <c r="R239" s="258">
        <f>IF($A239="","",IF(R238="","",R238))</f>
        <v/>
      </c>
      <c r="S239" s="258">
        <f>IF($A239="","",IF(S238="","",S238))</f>
        <v/>
      </c>
      <c r="T239" s="249">
        <f>IF(OR(P239="",W239=""),"",P239-W239)</f>
        <v/>
      </c>
      <c r="U239" s="258">
        <f>IF($A239="","",IF(U238="","",U238))</f>
        <v/>
      </c>
      <c r="V239" s="249">
        <f>IF(P239="","",P239+IF(Q239="",0,Q239)+IF(R239="",0,R239))</f>
        <v/>
      </c>
      <c r="W239" s="255" t="n"/>
      <c r="X239" s="249">
        <f>SUMIFS('09_CF_원금'!$E$6:$E$92,'09_CF_원금'!$D$6:$D$92,"국장",'09_CF_원금'!$A$6:$A$92,"&lt;="&amp;$A239)-SUMIFS('09_CF_원금'!$E$6:$E$92,'09_CF_원금'!$C$6:$C$92,"국장",'09_CF_원금'!$A$6:$A$92,"&lt;="&amp;$A239)</f>
        <v/>
      </c>
      <c r="Y239" s="249">
        <f>SUMIFS('09_CF_원금'!$E$6:$E$92,'09_CF_원금'!$D$6:$D$92,"미장",'09_CF_원금'!$A$6:$A$92,"&lt;="&amp;$A239)-SUMIFS('09_CF_원금'!$E$6:$E$92,'09_CF_원금'!$C$6:$C$92,"미장",'09_CF_원금'!$A$6:$A$92,"&lt;="&amp;$A239)</f>
        <v/>
      </c>
      <c r="Z239" s="249">
        <f>SUMIFS('09_CF_원금'!$E$6:$E$92,'09_CF_원금'!$D$6:$D$92,"ISA",'09_CF_원금'!$A$6:$A$92,"&lt;="&amp;$A239)-SUMIFS('09_CF_원금'!$E$6:$E$92,'09_CF_원금'!$C$6:$C$92,"ISA",'09_CF_원금'!$A$6:$A$92,"&lt;="&amp;$A239)</f>
        <v/>
      </c>
      <c r="AA239" s="249">
        <f>IF($A239="","",X239+Y239+Z239+SUMIFS('09_CF_원금'!$E$6:$E$92,'09_CF_원금'!$D$6:$D$92,"중국",'09_CF_원금'!$A$6:$A$92,"&lt;="&amp;$A239)-SUMIFS('09_CF_원금'!$E$6:$E$92,'09_CF_원금'!$C$6:$C$92,"중국",'09_CF_원금'!$A$6:$A$92,"&lt;="&amp;$A239)+SUMIFS('09_CF_원금'!$E$6:$E$92,'09_CF_원금'!$D$6:$D$92,"업비트",'09_CF_원금'!$A$6:$A$92,"&lt;="&amp;$A239)-SUMIFS('09_CF_원금'!$E$6:$E$92,'09_CF_원금'!$C$6:$C$92,"업비트",'09_CF_원금'!$A$6:$A$92,"&lt;="&amp;$A239))</f>
        <v/>
      </c>
      <c r="AB239" s="249">
        <f>IF(OR(U239="",V239=""),"",U239-(V239-IF(S239="",0,S239)))</f>
        <v/>
      </c>
      <c r="AC239" s="249">
        <f>IF(AB239="","",T239+AB239)</f>
        <v/>
      </c>
      <c r="AD239" s="249">
        <f>IF(B239="","",MAX($B$5:B239))</f>
        <v/>
      </c>
      <c r="AE239" s="256" t="n"/>
      <c r="AF239" s="255" t="n"/>
      <c r="AG239" s="255" t="n"/>
      <c r="AH239" s="255" t="n"/>
      <c r="AI239" s="255" t="n"/>
      <c r="AJ239" s="257">
        <f>IF($A239="","",YEAR($A239)*100+MONTH($A239))</f>
        <v/>
      </c>
      <c r="AK239" s="257">
        <f>IF($A239="","",IF($N239="",0,1))</f>
        <v/>
      </c>
    </row>
    <row r="240">
      <c r="A240" s="247" t="n">
        <v>46337</v>
      </c>
      <c r="B240" s="248">
        <f>IF(V240&lt;&gt;"",V240-T240,IF(AF240&lt;&gt;"",AA240+AF240,""))</f>
        <v/>
      </c>
      <c r="C240" s="249">
        <f>IF(OR(B240="",B239=""),"",B240-B239)</f>
        <v/>
      </c>
      <c r="D240" s="248">
        <f>IF(OR(B240="",AA240=""),"",B240-AA240)</f>
        <v/>
      </c>
      <c r="E240" s="250">
        <f>IF(OR(B240="",AD240=0),"",MIN(0,B240/AD240-1))</f>
        <v/>
      </c>
      <c r="F240" s="250">
        <f>IF(OR(U240="",T240=0,T240=""),"",(P240-T240*1.4)/U240)</f>
        <v/>
      </c>
      <c r="G240" s="251">
        <f>IF(OR(AC240="",'09_CF_원금'!$B$108=0),"",AC240/'09_CF_원금'!$B$108)</f>
        <v/>
      </c>
      <c r="H240" s="250">
        <f>IF(OR(U240="",U240=0,AC240=""),"",AC240/U240)</f>
        <v/>
      </c>
      <c r="I240" s="250">
        <f>IF(OR(S240="",U240=""),"",S240/(U240+S240))</f>
        <v/>
      </c>
      <c r="J240" s="248">
        <f>IF(W240&lt;&gt;"",W240-X240,IF(AG240&lt;&gt;"",AG240,""))</f>
        <v/>
      </c>
      <c r="K240" s="248">
        <f>IF(Q240&lt;&gt;"",Q240-Y240,IF(AH240&lt;&gt;"",AH240,""))</f>
        <v/>
      </c>
      <c r="L240" s="248">
        <f>IF(R240&lt;&gt;"",R240-Z240,IF(AI240&lt;&gt;"",AI240,""))</f>
        <v/>
      </c>
      <c r="M240" s="252" t="n"/>
      <c r="N240" s="253" t="n"/>
      <c r="O240" s="254" t="n"/>
      <c r="P240" s="255" t="n"/>
      <c r="Q240" s="258">
        <f>IF($A240="","",IF(Q239="","",Q239))</f>
        <v/>
      </c>
      <c r="R240" s="258">
        <f>IF($A240="","",IF(R239="","",R239))</f>
        <v/>
      </c>
      <c r="S240" s="258">
        <f>IF($A240="","",IF(S239="","",S239))</f>
        <v/>
      </c>
      <c r="T240" s="249">
        <f>IF(OR(P240="",W240=""),"",P240-W240)</f>
        <v/>
      </c>
      <c r="U240" s="258">
        <f>IF($A240="","",IF(U239="","",U239))</f>
        <v/>
      </c>
      <c r="V240" s="249">
        <f>IF(P240="","",P240+IF(Q240="",0,Q240)+IF(R240="",0,R240))</f>
        <v/>
      </c>
      <c r="W240" s="255" t="n"/>
      <c r="X240" s="249">
        <f>SUMIFS('09_CF_원금'!$E$6:$E$92,'09_CF_원금'!$D$6:$D$92,"국장",'09_CF_원금'!$A$6:$A$92,"&lt;="&amp;$A240)-SUMIFS('09_CF_원금'!$E$6:$E$92,'09_CF_원금'!$C$6:$C$92,"국장",'09_CF_원금'!$A$6:$A$92,"&lt;="&amp;$A240)</f>
        <v/>
      </c>
      <c r="Y240" s="249">
        <f>SUMIFS('09_CF_원금'!$E$6:$E$92,'09_CF_원금'!$D$6:$D$92,"미장",'09_CF_원금'!$A$6:$A$92,"&lt;="&amp;$A240)-SUMIFS('09_CF_원금'!$E$6:$E$92,'09_CF_원금'!$C$6:$C$92,"미장",'09_CF_원금'!$A$6:$A$92,"&lt;="&amp;$A240)</f>
        <v/>
      </c>
      <c r="Z240" s="249">
        <f>SUMIFS('09_CF_원금'!$E$6:$E$92,'09_CF_원금'!$D$6:$D$92,"ISA",'09_CF_원금'!$A$6:$A$92,"&lt;="&amp;$A240)-SUMIFS('09_CF_원금'!$E$6:$E$92,'09_CF_원금'!$C$6:$C$92,"ISA",'09_CF_원금'!$A$6:$A$92,"&lt;="&amp;$A240)</f>
        <v/>
      </c>
      <c r="AA240" s="249">
        <f>IF($A240="","",X240+Y240+Z240+SUMIFS('09_CF_원금'!$E$6:$E$92,'09_CF_원금'!$D$6:$D$92,"중국",'09_CF_원금'!$A$6:$A$92,"&lt;="&amp;$A240)-SUMIFS('09_CF_원금'!$E$6:$E$92,'09_CF_원금'!$C$6:$C$92,"중국",'09_CF_원금'!$A$6:$A$92,"&lt;="&amp;$A240)+SUMIFS('09_CF_원금'!$E$6:$E$92,'09_CF_원금'!$D$6:$D$92,"업비트",'09_CF_원금'!$A$6:$A$92,"&lt;="&amp;$A240)-SUMIFS('09_CF_원금'!$E$6:$E$92,'09_CF_원금'!$C$6:$C$92,"업비트",'09_CF_원금'!$A$6:$A$92,"&lt;="&amp;$A240))</f>
        <v/>
      </c>
      <c r="AB240" s="249">
        <f>IF(OR(U240="",V240=""),"",U240-(V240-IF(S240="",0,S240)))</f>
        <v/>
      </c>
      <c r="AC240" s="249">
        <f>IF(AB240="","",T240+AB240)</f>
        <v/>
      </c>
      <c r="AD240" s="249">
        <f>IF(B240="","",MAX($B$5:B240))</f>
        <v/>
      </c>
      <c r="AE240" s="256" t="n"/>
      <c r="AF240" s="255" t="n"/>
      <c r="AG240" s="255" t="n"/>
      <c r="AH240" s="255" t="n"/>
      <c r="AI240" s="255" t="n"/>
      <c r="AJ240" s="257">
        <f>IF($A240="","",YEAR($A240)*100+MONTH($A240))</f>
        <v/>
      </c>
      <c r="AK240" s="257">
        <f>IF($A240="","",IF($N240="",0,1))</f>
        <v/>
      </c>
    </row>
    <row r="241">
      <c r="A241" s="247" t="n">
        <v>46338</v>
      </c>
      <c r="B241" s="248">
        <f>IF(V241&lt;&gt;"",V241-T241,IF(AF241&lt;&gt;"",AA241+AF241,""))</f>
        <v/>
      </c>
      <c r="C241" s="249">
        <f>IF(OR(B241="",B240=""),"",B241-B240)</f>
        <v/>
      </c>
      <c r="D241" s="248">
        <f>IF(OR(B241="",AA241=""),"",B241-AA241)</f>
        <v/>
      </c>
      <c r="E241" s="250">
        <f>IF(OR(B241="",AD241=0),"",MIN(0,B241/AD241-1))</f>
        <v/>
      </c>
      <c r="F241" s="250">
        <f>IF(OR(U241="",T241=0,T241=""),"",(P241-T241*1.4)/U241)</f>
        <v/>
      </c>
      <c r="G241" s="251">
        <f>IF(OR(AC241="",'09_CF_원금'!$B$108=0),"",AC241/'09_CF_원금'!$B$108)</f>
        <v/>
      </c>
      <c r="H241" s="250">
        <f>IF(OR(U241="",U241=0,AC241=""),"",AC241/U241)</f>
        <v/>
      </c>
      <c r="I241" s="250">
        <f>IF(OR(S241="",U241=""),"",S241/(U241+S241))</f>
        <v/>
      </c>
      <c r="J241" s="248">
        <f>IF(W241&lt;&gt;"",W241-X241,IF(AG241&lt;&gt;"",AG241,""))</f>
        <v/>
      </c>
      <c r="K241" s="248">
        <f>IF(Q241&lt;&gt;"",Q241-Y241,IF(AH241&lt;&gt;"",AH241,""))</f>
        <v/>
      </c>
      <c r="L241" s="248">
        <f>IF(R241&lt;&gt;"",R241-Z241,IF(AI241&lt;&gt;"",AI241,""))</f>
        <v/>
      </c>
      <c r="M241" s="252" t="n"/>
      <c r="N241" s="253" t="n"/>
      <c r="O241" s="254" t="n"/>
      <c r="P241" s="255" t="n"/>
      <c r="Q241" s="258">
        <f>IF($A241="","",IF(Q240="","",Q240))</f>
        <v/>
      </c>
      <c r="R241" s="258">
        <f>IF($A241="","",IF(R240="","",R240))</f>
        <v/>
      </c>
      <c r="S241" s="258">
        <f>IF($A241="","",IF(S240="","",S240))</f>
        <v/>
      </c>
      <c r="T241" s="249">
        <f>IF(OR(P241="",W241=""),"",P241-W241)</f>
        <v/>
      </c>
      <c r="U241" s="258">
        <f>IF($A241="","",IF(U240="","",U240))</f>
        <v/>
      </c>
      <c r="V241" s="249">
        <f>IF(P241="","",P241+IF(Q241="",0,Q241)+IF(R241="",0,R241))</f>
        <v/>
      </c>
      <c r="W241" s="255" t="n"/>
      <c r="X241" s="249">
        <f>SUMIFS('09_CF_원금'!$E$6:$E$92,'09_CF_원금'!$D$6:$D$92,"국장",'09_CF_원금'!$A$6:$A$92,"&lt;="&amp;$A241)-SUMIFS('09_CF_원금'!$E$6:$E$92,'09_CF_원금'!$C$6:$C$92,"국장",'09_CF_원금'!$A$6:$A$92,"&lt;="&amp;$A241)</f>
        <v/>
      </c>
      <c r="Y241" s="249">
        <f>SUMIFS('09_CF_원금'!$E$6:$E$92,'09_CF_원금'!$D$6:$D$92,"미장",'09_CF_원금'!$A$6:$A$92,"&lt;="&amp;$A241)-SUMIFS('09_CF_원금'!$E$6:$E$92,'09_CF_원금'!$C$6:$C$92,"미장",'09_CF_원금'!$A$6:$A$92,"&lt;="&amp;$A241)</f>
        <v/>
      </c>
      <c r="Z241" s="249">
        <f>SUMIFS('09_CF_원금'!$E$6:$E$92,'09_CF_원금'!$D$6:$D$92,"ISA",'09_CF_원금'!$A$6:$A$92,"&lt;="&amp;$A241)-SUMIFS('09_CF_원금'!$E$6:$E$92,'09_CF_원금'!$C$6:$C$92,"ISA",'09_CF_원금'!$A$6:$A$92,"&lt;="&amp;$A241)</f>
        <v/>
      </c>
      <c r="AA241" s="249">
        <f>IF($A241="","",X241+Y241+Z241+SUMIFS('09_CF_원금'!$E$6:$E$92,'09_CF_원금'!$D$6:$D$92,"중국",'09_CF_원금'!$A$6:$A$92,"&lt;="&amp;$A241)-SUMIFS('09_CF_원금'!$E$6:$E$92,'09_CF_원금'!$C$6:$C$92,"중국",'09_CF_원금'!$A$6:$A$92,"&lt;="&amp;$A241)+SUMIFS('09_CF_원금'!$E$6:$E$92,'09_CF_원금'!$D$6:$D$92,"업비트",'09_CF_원금'!$A$6:$A$92,"&lt;="&amp;$A241)-SUMIFS('09_CF_원금'!$E$6:$E$92,'09_CF_원금'!$C$6:$C$92,"업비트",'09_CF_원금'!$A$6:$A$92,"&lt;="&amp;$A241))</f>
        <v/>
      </c>
      <c r="AB241" s="249">
        <f>IF(OR(U241="",V241=""),"",U241-(V241-IF(S241="",0,S241)))</f>
        <v/>
      </c>
      <c r="AC241" s="249">
        <f>IF(AB241="","",T241+AB241)</f>
        <v/>
      </c>
      <c r="AD241" s="249">
        <f>IF(B241="","",MAX($B$5:B241))</f>
        <v/>
      </c>
      <c r="AE241" s="256" t="n"/>
      <c r="AF241" s="255" t="n"/>
      <c r="AG241" s="255" t="n"/>
      <c r="AH241" s="255" t="n"/>
      <c r="AI241" s="255" t="n"/>
      <c r="AJ241" s="257">
        <f>IF($A241="","",YEAR($A241)*100+MONTH($A241))</f>
        <v/>
      </c>
      <c r="AK241" s="257">
        <f>IF($A241="","",IF($N241="",0,1))</f>
        <v/>
      </c>
    </row>
    <row r="242">
      <c r="A242" s="247" t="n">
        <v>46339</v>
      </c>
      <c r="B242" s="248">
        <f>IF(V242&lt;&gt;"",V242-T242,IF(AF242&lt;&gt;"",AA242+AF242,""))</f>
        <v/>
      </c>
      <c r="C242" s="249">
        <f>IF(OR(B242="",B241=""),"",B242-B241)</f>
        <v/>
      </c>
      <c r="D242" s="248">
        <f>IF(OR(B242="",AA242=""),"",B242-AA242)</f>
        <v/>
      </c>
      <c r="E242" s="250">
        <f>IF(OR(B242="",AD242=0),"",MIN(0,B242/AD242-1))</f>
        <v/>
      </c>
      <c r="F242" s="250">
        <f>IF(OR(U242="",T242=0,T242=""),"",(P242-T242*1.4)/U242)</f>
        <v/>
      </c>
      <c r="G242" s="251">
        <f>IF(OR(AC242="",'09_CF_원금'!$B$108=0),"",AC242/'09_CF_원금'!$B$108)</f>
        <v/>
      </c>
      <c r="H242" s="250">
        <f>IF(OR(U242="",U242=0,AC242=""),"",AC242/U242)</f>
        <v/>
      </c>
      <c r="I242" s="250">
        <f>IF(OR(S242="",U242=""),"",S242/(U242+S242))</f>
        <v/>
      </c>
      <c r="J242" s="248">
        <f>IF(W242&lt;&gt;"",W242-X242,IF(AG242&lt;&gt;"",AG242,""))</f>
        <v/>
      </c>
      <c r="K242" s="248">
        <f>IF(Q242&lt;&gt;"",Q242-Y242,IF(AH242&lt;&gt;"",AH242,""))</f>
        <v/>
      </c>
      <c r="L242" s="248">
        <f>IF(R242&lt;&gt;"",R242-Z242,IF(AI242&lt;&gt;"",AI242,""))</f>
        <v/>
      </c>
      <c r="M242" s="252" t="n"/>
      <c r="N242" s="253" t="n"/>
      <c r="O242" s="254" t="n"/>
      <c r="P242" s="255" t="n"/>
      <c r="Q242" s="258">
        <f>IF($A242="","",IF(Q241="","",Q241))</f>
        <v/>
      </c>
      <c r="R242" s="258">
        <f>IF($A242="","",IF(R241="","",R241))</f>
        <v/>
      </c>
      <c r="S242" s="258">
        <f>IF($A242="","",IF(S241="","",S241))</f>
        <v/>
      </c>
      <c r="T242" s="249">
        <f>IF(OR(P242="",W242=""),"",P242-W242)</f>
        <v/>
      </c>
      <c r="U242" s="258">
        <f>IF($A242="","",IF(U241="","",U241))</f>
        <v/>
      </c>
      <c r="V242" s="249">
        <f>IF(P242="","",P242+IF(Q242="",0,Q242)+IF(R242="",0,R242))</f>
        <v/>
      </c>
      <c r="W242" s="255" t="n"/>
      <c r="X242" s="249">
        <f>SUMIFS('09_CF_원금'!$E$6:$E$92,'09_CF_원금'!$D$6:$D$92,"국장",'09_CF_원금'!$A$6:$A$92,"&lt;="&amp;$A242)-SUMIFS('09_CF_원금'!$E$6:$E$92,'09_CF_원금'!$C$6:$C$92,"국장",'09_CF_원금'!$A$6:$A$92,"&lt;="&amp;$A242)</f>
        <v/>
      </c>
      <c r="Y242" s="249">
        <f>SUMIFS('09_CF_원금'!$E$6:$E$92,'09_CF_원금'!$D$6:$D$92,"미장",'09_CF_원금'!$A$6:$A$92,"&lt;="&amp;$A242)-SUMIFS('09_CF_원금'!$E$6:$E$92,'09_CF_원금'!$C$6:$C$92,"미장",'09_CF_원금'!$A$6:$A$92,"&lt;="&amp;$A242)</f>
        <v/>
      </c>
      <c r="Z242" s="249">
        <f>SUMIFS('09_CF_원금'!$E$6:$E$92,'09_CF_원금'!$D$6:$D$92,"ISA",'09_CF_원금'!$A$6:$A$92,"&lt;="&amp;$A242)-SUMIFS('09_CF_원금'!$E$6:$E$92,'09_CF_원금'!$C$6:$C$92,"ISA",'09_CF_원금'!$A$6:$A$92,"&lt;="&amp;$A242)</f>
        <v/>
      </c>
      <c r="AA242" s="249">
        <f>IF($A242="","",X242+Y242+Z242+SUMIFS('09_CF_원금'!$E$6:$E$92,'09_CF_원금'!$D$6:$D$92,"중국",'09_CF_원금'!$A$6:$A$92,"&lt;="&amp;$A242)-SUMIFS('09_CF_원금'!$E$6:$E$92,'09_CF_원금'!$C$6:$C$92,"중국",'09_CF_원금'!$A$6:$A$92,"&lt;="&amp;$A242)+SUMIFS('09_CF_원금'!$E$6:$E$92,'09_CF_원금'!$D$6:$D$92,"업비트",'09_CF_원금'!$A$6:$A$92,"&lt;="&amp;$A242)-SUMIFS('09_CF_원금'!$E$6:$E$92,'09_CF_원금'!$C$6:$C$92,"업비트",'09_CF_원금'!$A$6:$A$92,"&lt;="&amp;$A242))</f>
        <v/>
      </c>
      <c r="AB242" s="249">
        <f>IF(OR(U242="",V242=""),"",U242-(V242-IF(S242="",0,S242)))</f>
        <v/>
      </c>
      <c r="AC242" s="249">
        <f>IF(AB242="","",T242+AB242)</f>
        <v/>
      </c>
      <c r="AD242" s="249">
        <f>IF(B242="","",MAX($B$5:B242))</f>
        <v/>
      </c>
      <c r="AE242" s="256" t="n"/>
      <c r="AF242" s="255" t="n"/>
      <c r="AG242" s="255" t="n"/>
      <c r="AH242" s="255" t="n"/>
      <c r="AI242" s="255" t="n"/>
      <c r="AJ242" s="257">
        <f>IF($A242="","",YEAR($A242)*100+MONTH($A242))</f>
        <v/>
      </c>
      <c r="AK242" s="257">
        <f>IF($A242="","",IF($N242="",0,1))</f>
        <v/>
      </c>
    </row>
    <row r="243">
      <c r="A243" s="247" t="n">
        <v>46342</v>
      </c>
      <c r="B243" s="248">
        <f>IF(V243&lt;&gt;"",V243-T243,IF(AF243&lt;&gt;"",AA243+AF243,""))</f>
        <v/>
      </c>
      <c r="C243" s="249">
        <f>IF(OR(B243="",B242=""),"",B243-B242)</f>
        <v/>
      </c>
      <c r="D243" s="248">
        <f>IF(OR(B243="",AA243=""),"",B243-AA243)</f>
        <v/>
      </c>
      <c r="E243" s="250">
        <f>IF(OR(B243="",AD243=0),"",MIN(0,B243/AD243-1))</f>
        <v/>
      </c>
      <c r="F243" s="250">
        <f>IF(OR(U243="",T243=0,T243=""),"",(P243-T243*1.4)/U243)</f>
        <v/>
      </c>
      <c r="G243" s="251">
        <f>IF(OR(AC243="",'09_CF_원금'!$B$108=0),"",AC243/'09_CF_원금'!$B$108)</f>
        <v/>
      </c>
      <c r="H243" s="250">
        <f>IF(OR(U243="",U243=0,AC243=""),"",AC243/U243)</f>
        <v/>
      </c>
      <c r="I243" s="250">
        <f>IF(OR(S243="",U243=""),"",S243/(U243+S243))</f>
        <v/>
      </c>
      <c r="J243" s="248">
        <f>IF(W243&lt;&gt;"",W243-X243,IF(AG243&lt;&gt;"",AG243,""))</f>
        <v/>
      </c>
      <c r="K243" s="248">
        <f>IF(Q243&lt;&gt;"",Q243-Y243,IF(AH243&lt;&gt;"",AH243,""))</f>
        <v/>
      </c>
      <c r="L243" s="248">
        <f>IF(R243&lt;&gt;"",R243-Z243,IF(AI243&lt;&gt;"",AI243,""))</f>
        <v/>
      </c>
      <c r="M243" s="252" t="n"/>
      <c r="N243" s="253" t="n"/>
      <c r="O243" s="254" t="n"/>
      <c r="P243" s="255" t="n"/>
      <c r="Q243" s="258">
        <f>IF($A243="","",IF(Q242="","",Q242))</f>
        <v/>
      </c>
      <c r="R243" s="258">
        <f>IF($A243="","",IF(R242="","",R242))</f>
        <v/>
      </c>
      <c r="S243" s="258">
        <f>IF($A243="","",IF(S242="","",S242))</f>
        <v/>
      </c>
      <c r="T243" s="249">
        <f>IF(OR(P243="",W243=""),"",P243-W243)</f>
        <v/>
      </c>
      <c r="U243" s="258">
        <f>IF($A243="","",IF(U242="","",U242))</f>
        <v/>
      </c>
      <c r="V243" s="249">
        <f>IF(P243="","",P243+IF(Q243="",0,Q243)+IF(R243="",0,R243))</f>
        <v/>
      </c>
      <c r="W243" s="255" t="n"/>
      <c r="X243" s="249">
        <f>SUMIFS('09_CF_원금'!$E$6:$E$92,'09_CF_원금'!$D$6:$D$92,"국장",'09_CF_원금'!$A$6:$A$92,"&lt;="&amp;$A243)-SUMIFS('09_CF_원금'!$E$6:$E$92,'09_CF_원금'!$C$6:$C$92,"국장",'09_CF_원금'!$A$6:$A$92,"&lt;="&amp;$A243)</f>
        <v/>
      </c>
      <c r="Y243" s="249">
        <f>SUMIFS('09_CF_원금'!$E$6:$E$92,'09_CF_원금'!$D$6:$D$92,"미장",'09_CF_원금'!$A$6:$A$92,"&lt;="&amp;$A243)-SUMIFS('09_CF_원금'!$E$6:$E$92,'09_CF_원금'!$C$6:$C$92,"미장",'09_CF_원금'!$A$6:$A$92,"&lt;="&amp;$A243)</f>
        <v/>
      </c>
      <c r="Z243" s="249">
        <f>SUMIFS('09_CF_원금'!$E$6:$E$92,'09_CF_원금'!$D$6:$D$92,"ISA",'09_CF_원금'!$A$6:$A$92,"&lt;="&amp;$A243)-SUMIFS('09_CF_원금'!$E$6:$E$92,'09_CF_원금'!$C$6:$C$92,"ISA",'09_CF_원금'!$A$6:$A$92,"&lt;="&amp;$A243)</f>
        <v/>
      </c>
      <c r="AA243" s="249">
        <f>IF($A243="","",X243+Y243+Z243+SUMIFS('09_CF_원금'!$E$6:$E$92,'09_CF_원금'!$D$6:$D$92,"중국",'09_CF_원금'!$A$6:$A$92,"&lt;="&amp;$A243)-SUMIFS('09_CF_원금'!$E$6:$E$92,'09_CF_원금'!$C$6:$C$92,"중국",'09_CF_원금'!$A$6:$A$92,"&lt;="&amp;$A243)+SUMIFS('09_CF_원금'!$E$6:$E$92,'09_CF_원금'!$D$6:$D$92,"업비트",'09_CF_원금'!$A$6:$A$92,"&lt;="&amp;$A243)-SUMIFS('09_CF_원금'!$E$6:$E$92,'09_CF_원금'!$C$6:$C$92,"업비트",'09_CF_원금'!$A$6:$A$92,"&lt;="&amp;$A243))</f>
        <v/>
      </c>
      <c r="AB243" s="249">
        <f>IF(OR(U243="",V243=""),"",U243-(V243-IF(S243="",0,S243)))</f>
        <v/>
      </c>
      <c r="AC243" s="249">
        <f>IF(AB243="","",T243+AB243)</f>
        <v/>
      </c>
      <c r="AD243" s="249">
        <f>IF(B243="","",MAX($B$5:B243))</f>
        <v/>
      </c>
      <c r="AE243" s="256" t="n"/>
      <c r="AF243" s="255" t="n"/>
      <c r="AG243" s="255" t="n"/>
      <c r="AH243" s="255" t="n"/>
      <c r="AI243" s="255" t="n"/>
      <c r="AJ243" s="257">
        <f>IF($A243="","",YEAR($A243)*100+MONTH($A243))</f>
        <v/>
      </c>
      <c r="AK243" s="257">
        <f>IF($A243="","",IF($N243="",0,1))</f>
        <v/>
      </c>
    </row>
    <row r="244">
      <c r="A244" s="247" t="n">
        <v>46343</v>
      </c>
      <c r="B244" s="248">
        <f>IF(V244&lt;&gt;"",V244-T244,IF(AF244&lt;&gt;"",AA244+AF244,""))</f>
        <v/>
      </c>
      <c r="C244" s="249">
        <f>IF(OR(B244="",B243=""),"",B244-B243)</f>
        <v/>
      </c>
      <c r="D244" s="248">
        <f>IF(OR(B244="",AA244=""),"",B244-AA244)</f>
        <v/>
      </c>
      <c r="E244" s="250">
        <f>IF(OR(B244="",AD244=0),"",MIN(0,B244/AD244-1))</f>
        <v/>
      </c>
      <c r="F244" s="250">
        <f>IF(OR(U244="",T244=0,T244=""),"",(P244-T244*1.4)/U244)</f>
        <v/>
      </c>
      <c r="G244" s="251">
        <f>IF(OR(AC244="",'09_CF_원금'!$B$108=0),"",AC244/'09_CF_원금'!$B$108)</f>
        <v/>
      </c>
      <c r="H244" s="250">
        <f>IF(OR(U244="",U244=0,AC244=""),"",AC244/U244)</f>
        <v/>
      </c>
      <c r="I244" s="250">
        <f>IF(OR(S244="",U244=""),"",S244/(U244+S244))</f>
        <v/>
      </c>
      <c r="J244" s="248">
        <f>IF(W244&lt;&gt;"",W244-X244,IF(AG244&lt;&gt;"",AG244,""))</f>
        <v/>
      </c>
      <c r="K244" s="248">
        <f>IF(Q244&lt;&gt;"",Q244-Y244,IF(AH244&lt;&gt;"",AH244,""))</f>
        <v/>
      </c>
      <c r="L244" s="248">
        <f>IF(R244&lt;&gt;"",R244-Z244,IF(AI244&lt;&gt;"",AI244,""))</f>
        <v/>
      </c>
      <c r="M244" s="252" t="n"/>
      <c r="N244" s="253" t="n"/>
      <c r="O244" s="254" t="n"/>
      <c r="P244" s="255" t="n"/>
      <c r="Q244" s="258">
        <f>IF($A244="","",IF(Q243="","",Q243))</f>
        <v/>
      </c>
      <c r="R244" s="258">
        <f>IF($A244="","",IF(R243="","",R243))</f>
        <v/>
      </c>
      <c r="S244" s="258">
        <f>IF($A244="","",IF(S243="","",S243))</f>
        <v/>
      </c>
      <c r="T244" s="249">
        <f>IF(OR(P244="",W244=""),"",P244-W244)</f>
        <v/>
      </c>
      <c r="U244" s="258">
        <f>IF($A244="","",IF(U243="","",U243))</f>
        <v/>
      </c>
      <c r="V244" s="249">
        <f>IF(P244="","",P244+IF(Q244="",0,Q244)+IF(R244="",0,R244))</f>
        <v/>
      </c>
      <c r="W244" s="255" t="n"/>
      <c r="X244" s="249">
        <f>SUMIFS('09_CF_원금'!$E$6:$E$92,'09_CF_원금'!$D$6:$D$92,"국장",'09_CF_원금'!$A$6:$A$92,"&lt;="&amp;$A244)-SUMIFS('09_CF_원금'!$E$6:$E$92,'09_CF_원금'!$C$6:$C$92,"국장",'09_CF_원금'!$A$6:$A$92,"&lt;="&amp;$A244)</f>
        <v/>
      </c>
      <c r="Y244" s="249">
        <f>SUMIFS('09_CF_원금'!$E$6:$E$92,'09_CF_원금'!$D$6:$D$92,"미장",'09_CF_원금'!$A$6:$A$92,"&lt;="&amp;$A244)-SUMIFS('09_CF_원금'!$E$6:$E$92,'09_CF_원금'!$C$6:$C$92,"미장",'09_CF_원금'!$A$6:$A$92,"&lt;="&amp;$A244)</f>
        <v/>
      </c>
      <c r="Z244" s="249">
        <f>SUMIFS('09_CF_원금'!$E$6:$E$92,'09_CF_원금'!$D$6:$D$92,"ISA",'09_CF_원금'!$A$6:$A$92,"&lt;="&amp;$A244)-SUMIFS('09_CF_원금'!$E$6:$E$92,'09_CF_원금'!$C$6:$C$92,"ISA",'09_CF_원금'!$A$6:$A$92,"&lt;="&amp;$A244)</f>
        <v/>
      </c>
      <c r="AA244" s="249">
        <f>IF($A244="","",X244+Y244+Z244+SUMIFS('09_CF_원금'!$E$6:$E$92,'09_CF_원금'!$D$6:$D$92,"중국",'09_CF_원금'!$A$6:$A$92,"&lt;="&amp;$A244)-SUMIFS('09_CF_원금'!$E$6:$E$92,'09_CF_원금'!$C$6:$C$92,"중국",'09_CF_원금'!$A$6:$A$92,"&lt;="&amp;$A244)+SUMIFS('09_CF_원금'!$E$6:$E$92,'09_CF_원금'!$D$6:$D$92,"업비트",'09_CF_원금'!$A$6:$A$92,"&lt;="&amp;$A244)-SUMIFS('09_CF_원금'!$E$6:$E$92,'09_CF_원금'!$C$6:$C$92,"업비트",'09_CF_원금'!$A$6:$A$92,"&lt;="&amp;$A244))</f>
        <v/>
      </c>
      <c r="AB244" s="249">
        <f>IF(OR(U244="",V244=""),"",U244-(V244-IF(S244="",0,S244)))</f>
        <v/>
      </c>
      <c r="AC244" s="249">
        <f>IF(AB244="","",T244+AB244)</f>
        <v/>
      </c>
      <c r="AD244" s="249">
        <f>IF(B244="","",MAX($B$5:B244))</f>
        <v/>
      </c>
      <c r="AE244" s="256" t="n"/>
      <c r="AF244" s="255" t="n"/>
      <c r="AG244" s="255" t="n"/>
      <c r="AH244" s="255" t="n"/>
      <c r="AI244" s="255" t="n"/>
      <c r="AJ244" s="257">
        <f>IF($A244="","",YEAR($A244)*100+MONTH($A244))</f>
        <v/>
      </c>
      <c r="AK244" s="257">
        <f>IF($A244="","",IF($N244="",0,1))</f>
        <v/>
      </c>
    </row>
    <row r="245">
      <c r="A245" s="247" t="n">
        <v>46344</v>
      </c>
      <c r="B245" s="248">
        <f>IF(V245&lt;&gt;"",V245-T245,IF(AF245&lt;&gt;"",AA245+AF245,""))</f>
        <v/>
      </c>
      <c r="C245" s="249">
        <f>IF(OR(B245="",B244=""),"",B245-B244)</f>
        <v/>
      </c>
      <c r="D245" s="248">
        <f>IF(OR(B245="",AA245=""),"",B245-AA245)</f>
        <v/>
      </c>
      <c r="E245" s="250">
        <f>IF(OR(B245="",AD245=0),"",MIN(0,B245/AD245-1))</f>
        <v/>
      </c>
      <c r="F245" s="250">
        <f>IF(OR(U245="",T245=0,T245=""),"",(P245-T245*1.4)/U245)</f>
        <v/>
      </c>
      <c r="G245" s="251">
        <f>IF(OR(AC245="",'09_CF_원금'!$B$108=0),"",AC245/'09_CF_원금'!$B$108)</f>
        <v/>
      </c>
      <c r="H245" s="250">
        <f>IF(OR(U245="",U245=0,AC245=""),"",AC245/U245)</f>
        <v/>
      </c>
      <c r="I245" s="250">
        <f>IF(OR(S245="",U245=""),"",S245/(U245+S245))</f>
        <v/>
      </c>
      <c r="J245" s="248">
        <f>IF(W245&lt;&gt;"",W245-X245,IF(AG245&lt;&gt;"",AG245,""))</f>
        <v/>
      </c>
      <c r="K245" s="248">
        <f>IF(Q245&lt;&gt;"",Q245-Y245,IF(AH245&lt;&gt;"",AH245,""))</f>
        <v/>
      </c>
      <c r="L245" s="248">
        <f>IF(R245&lt;&gt;"",R245-Z245,IF(AI245&lt;&gt;"",AI245,""))</f>
        <v/>
      </c>
      <c r="M245" s="252" t="n"/>
      <c r="N245" s="253" t="n"/>
      <c r="O245" s="254" t="n"/>
      <c r="P245" s="255" t="n"/>
      <c r="Q245" s="258">
        <f>IF($A245="","",IF(Q244="","",Q244))</f>
        <v/>
      </c>
      <c r="R245" s="258">
        <f>IF($A245="","",IF(R244="","",R244))</f>
        <v/>
      </c>
      <c r="S245" s="258">
        <f>IF($A245="","",IF(S244="","",S244))</f>
        <v/>
      </c>
      <c r="T245" s="249">
        <f>IF(OR(P245="",W245=""),"",P245-W245)</f>
        <v/>
      </c>
      <c r="U245" s="258">
        <f>IF($A245="","",IF(U244="","",U244))</f>
        <v/>
      </c>
      <c r="V245" s="249">
        <f>IF(P245="","",P245+IF(Q245="",0,Q245)+IF(R245="",0,R245))</f>
        <v/>
      </c>
      <c r="W245" s="255" t="n"/>
      <c r="X245" s="249">
        <f>SUMIFS('09_CF_원금'!$E$6:$E$92,'09_CF_원금'!$D$6:$D$92,"국장",'09_CF_원금'!$A$6:$A$92,"&lt;="&amp;$A245)-SUMIFS('09_CF_원금'!$E$6:$E$92,'09_CF_원금'!$C$6:$C$92,"국장",'09_CF_원금'!$A$6:$A$92,"&lt;="&amp;$A245)</f>
        <v/>
      </c>
      <c r="Y245" s="249">
        <f>SUMIFS('09_CF_원금'!$E$6:$E$92,'09_CF_원금'!$D$6:$D$92,"미장",'09_CF_원금'!$A$6:$A$92,"&lt;="&amp;$A245)-SUMIFS('09_CF_원금'!$E$6:$E$92,'09_CF_원금'!$C$6:$C$92,"미장",'09_CF_원금'!$A$6:$A$92,"&lt;="&amp;$A245)</f>
        <v/>
      </c>
      <c r="Z245" s="249">
        <f>SUMIFS('09_CF_원금'!$E$6:$E$92,'09_CF_원금'!$D$6:$D$92,"ISA",'09_CF_원금'!$A$6:$A$92,"&lt;="&amp;$A245)-SUMIFS('09_CF_원금'!$E$6:$E$92,'09_CF_원금'!$C$6:$C$92,"ISA",'09_CF_원금'!$A$6:$A$92,"&lt;="&amp;$A245)</f>
        <v/>
      </c>
      <c r="AA245" s="249">
        <f>IF($A245="","",X245+Y245+Z245+SUMIFS('09_CF_원금'!$E$6:$E$92,'09_CF_원금'!$D$6:$D$92,"중국",'09_CF_원금'!$A$6:$A$92,"&lt;="&amp;$A245)-SUMIFS('09_CF_원금'!$E$6:$E$92,'09_CF_원금'!$C$6:$C$92,"중국",'09_CF_원금'!$A$6:$A$92,"&lt;="&amp;$A245)+SUMIFS('09_CF_원금'!$E$6:$E$92,'09_CF_원금'!$D$6:$D$92,"업비트",'09_CF_원금'!$A$6:$A$92,"&lt;="&amp;$A245)-SUMIFS('09_CF_원금'!$E$6:$E$92,'09_CF_원금'!$C$6:$C$92,"업비트",'09_CF_원금'!$A$6:$A$92,"&lt;="&amp;$A245))</f>
        <v/>
      </c>
      <c r="AB245" s="249">
        <f>IF(OR(U245="",V245=""),"",U245-(V245-IF(S245="",0,S245)))</f>
        <v/>
      </c>
      <c r="AC245" s="249">
        <f>IF(AB245="","",T245+AB245)</f>
        <v/>
      </c>
      <c r="AD245" s="249">
        <f>IF(B245="","",MAX($B$5:B245))</f>
        <v/>
      </c>
      <c r="AE245" s="256" t="n"/>
      <c r="AF245" s="255" t="n"/>
      <c r="AG245" s="255" t="n"/>
      <c r="AH245" s="255" t="n"/>
      <c r="AI245" s="255" t="n"/>
      <c r="AJ245" s="257">
        <f>IF($A245="","",YEAR($A245)*100+MONTH($A245))</f>
        <v/>
      </c>
      <c r="AK245" s="257">
        <f>IF($A245="","",IF($N245="",0,1))</f>
        <v/>
      </c>
    </row>
    <row r="246">
      <c r="A246" s="247" t="n">
        <v>46345</v>
      </c>
      <c r="B246" s="248">
        <f>IF(V246&lt;&gt;"",V246-T246,IF(AF246&lt;&gt;"",AA246+AF246,""))</f>
        <v/>
      </c>
      <c r="C246" s="249">
        <f>IF(OR(B246="",B245=""),"",B246-B245)</f>
        <v/>
      </c>
      <c r="D246" s="248">
        <f>IF(OR(B246="",AA246=""),"",B246-AA246)</f>
        <v/>
      </c>
      <c r="E246" s="250">
        <f>IF(OR(B246="",AD246=0),"",MIN(0,B246/AD246-1))</f>
        <v/>
      </c>
      <c r="F246" s="250">
        <f>IF(OR(U246="",T246=0,T246=""),"",(P246-T246*1.4)/U246)</f>
        <v/>
      </c>
      <c r="G246" s="251">
        <f>IF(OR(AC246="",'09_CF_원금'!$B$108=0),"",AC246/'09_CF_원금'!$B$108)</f>
        <v/>
      </c>
      <c r="H246" s="250">
        <f>IF(OR(U246="",U246=0,AC246=""),"",AC246/U246)</f>
        <v/>
      </c>
      <c r="I246" s="250">
        <f>IF(OR(S246="",U246=""),"",S246/(U246+S246))</f>
        <v/>
      </c>
      <c r="J246" s="248">
        <f>IF(W246&lt;&gt;"",W246-X246,IF(AG246&lt;&gt;"",AG246,""))</f>
        <v/>
      </c>
      <c r="K246" s="248">
        <f>IF(Q246&lt;&gt;"",Q246-Y246,IF(AH246&lt;&gt;"",AH246,""))</f>
        <v/>
      </c>
      <c r="L246" s="248">
        <f>IF(R246&lt;&gt;"",R246-Z246,IF(AI246&lt;&gt;"",AI246,""))</f>
        <v/>
      </c>
      <c r="M246" s="252" t="n"/>
      <c r="N246" s="253" t="n"/>
      <c r="O246" s="254" t="n"/>
      <c r="P246" s="255" t="n"/>
      <c r="Q246" s="258">
        <f>IF($A246="","",IF(Q245="","",Q245))</f>
        <v/>
      </c>
      <c r="R246" s="258">
        <f>IF($A246="","",IF(R245="","",R245))</f>
        <v/>
      </c>
      <c r="S246" s="258">
        <f>IF($A246="","",IF(S245="","",S245))</f>
        <v/>
      </c>
      <c r="T246" s="249">
        <f>IF(OR(P246="",W246=""),"",P246-W246)</f>
        <v/>
      </c>
      <c r="U246" s="258">
        <f>IF($A246="","",IF(U245="","",U245))</f>
        <v/>
      </c>
      <c r="V246" s="249">
        <f>IF(P246="","",P246+IF(Q246="",0,Q246)+IF(R246="",0,R246))</f>
        <v/>
      </c>
      <c r="W246" s="255" t="n"/>
      <c r="X246" s="249">
        <f>SUMIFS('09_CF_원금'!$E$6:$E$92,'09_CF_원금'!$D$6:$D$92,"국장",'09_CF_원금'!$A$6:$A$92,"&lt;="&amp;$A246)-SUMIFS('09_CF_원금'!$E$6:$E$92,'09_CF_원금'!$C$6:$C$92,"국장",'09_CF_원금'!$A$6:$A$92,"&lt;="&amp;$A246)</f>
        <v/>
      </c>
      <c r="Y246" s="249">
        <f>SUMIFS('09_CF_원금'!$E$6:$E$92,'09_CF_원금'!$D$6:$D$92,"미장",'09_CF_원금'!$A$6:$A$92,"&lt;="&amp;$A246)-SUMIFS('09_CF_원금'!$E$6:$E$92,'09_CF_원금'!$C$6:$C$92,"미장",'09_CF_원금'!$A$6:$A$92,"&lt;="&amp;$A246)</f>
        <v/>
      </c>
      <c r="Z246" s="249">
        <f>SUMIFS('09_CF_원금'!$E$6:$E$92,'09_CF_원금'!$D$6:$D$92,"ISA",'09_CF_원금'!$A$6:$A$92,"&lt;="&amp;$A246)-SUMIFS('09_CF_원금'!$E$6:$E$92,'09_CF_원금'!$C$6:$C$92,"ISA",'09_CF_원금'!$A$6:$A$92,"&lt;="&amp;$A246)</f>
        <v/>
      </c>
      <c r="AA246" s="249">
        <f>IF($A246="","",X246+Y246+Z246+SUMIFS('09_CF_원금'!$E$6:$E$92,'09_CF_원금'!$D$6:$D$92,"중국",'09_CF_원금'!$A$6:$A$92,"&lt;="&amp;$A246)-SUMIFS('09_CF_원금'!$E$6:$E$92,'09_CF_원금'!$C$6:$C$92,"중국",'09_CF_원금'!$A$6:$A$92,"&lt;="&amp;$A246)+SUMIFS('09_CF_원금'!$E$6:$E$92,'09_CF_원금'!$D$6:$D$92,"업비트",'09_CF_원금'!$A$6:$A$92,"&lt;="&amp;$A246)-SUMIFS('09_CF_원금'!$E$6:$E$92,'09_CF_원금'!$C$6:$C$92,"업비트",'09_CF_원금'!$A$6:$A$92,"&lt;="&amp;$A246))</f>
        <v/>
      </c>
      <c r="AB246" s="249">
        <f>IF(OR(U246="",V246=""),"",U246-(V246-IF(S246="",0,S246)))</f>
        <v/>
      </c>
      <c r="AC246" s="249">
        <f>IF(AB246="","",T246+AB246)</f>
        <v/>
      </c>
      <c r="AD246" s="249">
        <f>IF(B246="","",MAX($B$5:B246))</f>
        <v/>
      </c>
      <c r="AE246" s="256" t="n"/>
      <c r="AF246" s="255" t="n"/>
      <c r="AG246" s="255" t="n"/>
      <c r="AH246" s="255" t="n"/>
      <c r="AI246" s="255" t="n"/>
      <c r="AJ246" s="257">
        <f>IF($A246="","",YEAR($A246)*100+MONTH($A246))</f>
        <v/>
      </c>
      <c r="AK246" s="257">
        <f>IF($A246="","",IF($N246="",0,1))</f>
        <v/>
      </c>
    </row>
    <row r="247">
      <c r="A247" s="247" t="n">
        <v>46346</v>
      </c>
      <c r="B247" s="248">
        <f>IF(V247&lt;&gt;"",V247-T247,IF(AF247&lt;&gt;"",AA247+AF247,""))</f>
        <v/>
      </c>
      <c r="C247" s="249">
        <f>IF(OR(B247="",B246=""),"",B247-B246)</f>
        <v/>
      </c>
      <c r="D247" s="248">
        <f>IF(OR(B247="",AA247=""),"",B247-AA247)</f>
        <v/>
      </c>
      <c r="E247" s="250">
        <f>IF(OR(B247="",AD247=0),"",MIN(0,B247/AD247-1))</f>
        <v/>
      </c>
      <c r="F247" s="250">
        <f>IF(OR(U247="",T247=0,T247=""),"",(P247-T247*1.4)/U247)</f>
        <v/>
      </c>
      <c r="G247" s="251">
        <f>IF(OR(AC247="",'09_CF_원금'!$B$108=0),"",AC247/'09_CF_원금'!$B$108)</f>
        <v/>
      </c>
      <c r="H247" s="250">
        <f>IF(OR(U247="",U247=0,AC247=""),"",AC247/U247)</f>
        <v/>
      </c>
      <c r="I247" s="250">
        <f>IF(OR(S247="",U247=""),"",S247/(U247+S247))</f>
        <v/>
      </c>
      <c r="J247" s="248">
        <f>IF(W247&lt;&gt;"",W247-X247,IF(AG247&lt;&gt;"",AG247,""))</f>
        <v/>
      </c>
      <c r="K247" s="248">
        <f>IF(Q247&lt;&gt;"",Q247-Y247,IF(AH247&lt;&gt;"",AH247,""))</f>
        <v/>
      </c>
      <c r="L247" s="248">
        <f>IF(R247&lt;&gt;"",R247-Z247,IF(AI247&lt;&gt;"",AI247,""))</f>
        <v/>
      </c>
      <c r="M247" s="252" t="n"/>
      <c r="N247" s="253" t="n"/>
      <c r="O247" s="254" t="n"/>
      <c r="P247" s="255" t="n"/>
      <c r="Q247" s="258">
        <f>IF($A247="","",IF(Q246="","",Q246))</f>
        <v/>
      </c>
      <c r="R247" s="258">
        <f>IF($A247="","",IF(R246="","",R246))</f>
        <v/>
      </c>
      <c r="S247" s="258">
        <f>IF($A247="","",IF(S246="","",S246))</f>
        <v/>
      </c>
      <c r="T247" s="249">
        <f>IF(OR(P247="",W247=""),"",P247-W247)</f>
        <v/>
      </c>
      <c r="U247" s="258">
        <f>IF($A247="","",IF(U246="","",U246))</f>
        <v/>
      </c>
      <c r="V247" s="249">
        <f>IF(P247="","",P247+IF(Q247="",0,Q247)+IF(R247="",0,R247))</f>
        <v/>
      </c>
      <c r="W247" s="255" t="n"/>
      <c r="X247" s="249">
        <f>SUMIFS('09_CF_원금'!$E$6:$E$92,'09_CF_원금'!$D$6:$D$92,"국장",'09_CF_원금'!$A$6:$A$92,"&lt;="&amp;$A247)-SUMIFS('09_CF_원금'!$E$6:$E$92,'09_CF_원금'!$C$6:$C$92,"국장",'09_CF_원금'!$A$6:$A$92,"&lt;="&amp;$A247)</f>
        <v/>
      </c>
      <c r="Y247" s="249">
        <f>SUMIFS('09_CF_원금'!$E$6:$E$92,'09_CF_원금'!$D$6:$D$92,"미장",'09_CF_원금'!$A$6:$A$92,"&lt;="&amp;$A247)-SUMIFS('09_CF_원금'!$E$6:$E$92,'09_CF_원금'!$C$6:$C$92,"미장",'09_CF_원금'!$A$6:$A$92,"&lt;="&amp;$A247)</f>
        <v/>
      </c>
      <c r="Z247" s="249">
        <f>SUMIFS('09_CF_원금'!$E$6:$E$92,'09_CF_원금'!$D$6:$D$92,"ISA",'09_CF_원금'!$A$6:$A$92,"&lt;="&amp;$A247)-SUMIFS('09_CF_원금'!$E$6:$E$92,'09_CF_원금'!$C$6:$C$92,"ISA",'09_CF_원금'!$A$6:$A$92,"&lt;="&amp;$A247)</f>
        <v/>
      </c>
      <c r="AA247" s="249">
        <f>IF($A247="","",X247+Y247+Z247+SUMIFS('09_CF_원금'!$E$6:$E$92,'09_CF_원금'!$D$6:$D$92,"중국",'09_CF_원금'!$A$6:$A$92,"&lt;="&amp;$A247)-SUMIFS('09_CF_원금'!$E$6:$E$92,'09_CF_원금'!$C$6:$C$92,"중국",'09_CF_원금'!$A$6:$A$92,"&lt;="&amp;$A247)+SUMIFS('09_CF_원금'!$E$6:$E$92,'09_CF_원금'!$D$6:$D$92,"업비트",'09_CF_원금'!$A$6:$A$92,"&lt;="&amp;$A247)-SUMIFS('09_CF_원금'!$E$6:$E$92,'09_CF_원금'!$C$6:$C$92,"업비트",'09_CF_원금'!$A$6:$A$92,"&lt;="&amp;$A247))</f>
        <v/>
      </c>
      <c r="AB247" s="249">
        <f>IF(OR(U247="",V247=""),"",U247-(V247-IF(S247="",0,S247)))</f>
        <v/>
      </c>
      <c r="AC247" s="249">
        <f>IF(AB247="","",T247+AB247)</f>
        <v/>
      </c>
      <c r="AD247" s="249">
        <f>IF(B247="","",MAX($B$5:B247))</f>
        <v/>
      </c>
      <c r="AE247" s="256" t="n"/>
      <c r="AF247" s="255" t="n"/>
      <c r="AG247" s="255" t="n"/>
      <c r="AH247" s="255" t="n"/>
      <c r="AI247" s="255" t="n"/>
      <c r="AJ247" s="257">
        <f>IF($A247="","",YEAR($A247)*100+MONTH($A247))</f>
        <v/>
      </c>
      <c r="AK247" s="257">
        <f>IF($A247="","",IF($N247="",0,1))</f>
        <v/>
      </c>
    </row>
    <row r="248">
      <c r="A248" s="247" t="n">
        <v>46349</v>
      </c>
      <c r="B248" s="248">
        <f>IF(V248&lt;&gt;"",V248-T248,IF(AF248&lt;&gt;"",AA248+AF248,""))</f>
        <v/>
      </c>
      <c r="C248" s="249">
        <f>IF(OR(B248="",B247=""),"",B248-B247)</f>
        <v/>
      </c>
      <c r="D248" s="248">
        <f>IF(OR(B248="",AA248=""),"",B248-AA248)</f>
        <v/>
      </c>
      <c r="E248" s="250">
        <f>IF(OR(B248="",AD248=0),"",MIN(0,B248/AD248-1))</f>
        <v/>
      </c>
      <c r="F248" s="250">
        <f>IF(OR(U248="",T248=0,T248=""),"",(P248-T248*1.4)/U248)</f>
        <v/>
      </c>
      <c r="G248" s="251">
        <f>IF(OR(AC248="",'09_CF_원금'!$B$108=0),"",AC248/'09_CF_원금'!$B$108)</f>
        <v/>
      </c>
      <c r="H248" s="250">
        <f>IF(OR(U248="",U248=0,AC248=""),"",AC248/U248)</f>
        <v/>
      </c>
      <c r="I248" s="250">
        <f>IF(OR(S248="",U248=""),"",S248/(U248+S248))</f>
        <v/>
      </c>
      <c r="J248" s="248">
        <f>IF(W248&lt;&gt;"",W248-X248,IF(AG248&lt;&gt;"",AG248,""))</f>
        <v/>
      </c>
      <c r="K248" s="248">
        <f>IF(Q248&lt;&gt;"",Q248-Y248,IF(AH248&lt;&gt;"",AH248,""))</f>
        <v/>
      </c>
      <c r="L248" s="248">
        <f>IF(R248&lt;&gt;"",R248-Z248,IF(AI248&lt;&gt;"",AI248,""))</f>
        <v/>
      </c>
      <c r="M248" s="252" t="n"/>
      <c r="N248" s="253" t="n"/>
      <c r="O248" s="254" t="n"/>
      <c r="P248" s="255" t="n"/>
      <c r="Q248" s="258">
        <f>IF($A248="","",IF(Q247="","",Q247))</f>
        <v/>
      </c>
      <c r="R248" s="258">
        <f>IF($A248="","",IF(R247="","",R247))</f>
        <v/>
      </c>
      <c r="S248" s="258">
        <f>IF($A248="","",IF(S247="","",S247))</f>
        <v/>
      </c>
      <c r="T248" s="249">
        <f>IF(OR(P248="",W248=""),"",P248-W248)</f>
        <v/>
      </c>
      <c r="U248" s="258">
        <f>IF($A248="","",IF(U247="","",U247))</f>
        <v/>
      </c>
      <c r="V248" s="249">
        <f>IF(P248="","",P248+IF(Q248="",0,Q248)+IF(R248="",0,R248))</f>
        <v/>
      </c>
      <c r="W248" s="255" t="n"/>
      <c r="X248" s="249">
        <f>SUMIFS('09_CF_원금'!$E$6:$E$92,'09_CF_원금'!$D$6:$D$92,"국장",'09_CF_원금'!$A$6:$A$92,"&lt;="&amp;$A248)-SUMIFS('09_CF_원금'!$E$6:$E$92,'09_CF_원금'!$C$6:$C$92,"국장",'09_CF_원금'!$A$6:$A$92,"&lt;="&amp;$A248)</f>
        <v/>
      </c>
      <c r="Y248" s="249">
        <f>SUMIFS('09_CF_원금'!$E$6:$E$92,'09_CF_원금'!$D$6:$D$92,"미장",'09_CF_원금'!$A$6:$A$92,"&lt;="&amp;$A248)-SUMIFS('09_CF_원금'!$E$6:$E$92,'09_CF_원금'!$C$6:$C$92,"미장",'09_CF_원금'!$A$6:$A$92,"&lt;="&amp;$A248)</f>
        <v/>
      </c>
      <c r="Z248" s="249">
        <f>SUMIFS('09_CF_원금'!$E$6:$E$92,'09_CF_원금'!$D$6:$D$92,"ISA",'09_CF_원금'!$A$6:$A$92,"&lt;="&amp;$A248)-SUMIFS('09_CF_원금'!$E$6:$E$92,'09_CF_원금'!$C$6:$C$92,"ISA",'09_CF_원금'!$A$6:$A$92,"&lt;="&amp;$A248)</f>
        <v/>
      </c>
      <c r="AA248" s="249">
        <f>IF($A248="","",X248+Y248+Z248+SUMIFS('09_CF_원금'!$E$6:$E$92,'09_CF_원금'!$D$6:$D$92,"중국",'09_CF_원금'!$A$6:$A$92,"&lt;="&amp;$A248)-SUMIFS('09_CF_원금'!$E$6:$E$92,'09_CF_원금'!$C$6:$C$92,"중국",'09_CF_원금'!$A$6:$A$92,"&lt;="&amp;$A248)+SUMIFS('09_CF_원금'!$E$6:$E$92,'09_CF_원금'!$D$6:$D$92,"업비트",'09_CF_원금'!$A$6:$A$92,"&lt;="&amp;$A248)-SUMIFS('09_CF_원금'!$E$6:$E$92,'09_CF_원금'!$C$6:$C$92,"업비트",'09_CF_원금'!$A$6:$A$92,"&lt;="&amp;$A248))</f>
        <v/>
      </c>
      <c r="AB248" s="249">
        <f>IF(OR(U248="",V248=""),"",U248-(V248-IF(S248="",0,S248)))</f>
        <v/>
      </c>
      <c r="AC248" s="249">
        <f>IF(AB248="","",T248+AB248)</f>
        <v/>
      </c>
      <c r="AD248" s="249">
        <f>IF(B248="","",MAX($B$5:B248))</f>
        <v/>
      </c>
      <c r="AE248" s="256" t="n"/>
      <c r="AF248" s="255" t="n"/>
      <c r="AG248" s="255" t="n"/>
      <c r="AH248" s="255" t="n"/>
      <c r="AI248" s="255" t="n"/>
      <c r="AJ248" s="257">
        <f>IF($A248="","",YEAR($A248)*100+MONTH($A248))</f>
        <v/>
      </c>
      <c r="AK248" s="257">
        <f>IF($A248="","",IF($N248="",0,1))</f>
        <v/>
      </c>
    </row>
    <row r="249">
      <c r="A249" s="247" t="n">
        <v>46350</v>
      </c>
      <c r="B249" s="248">
        <f>IF(V249&lt;&gt;"",V249-T249,IF(AF249&lt;&gt;"",AA249+AF249,""))</f>
        <v/>
      </c>
      <c r="C249" s="249">
        <f>IF(OR(B249="",B248=""),"",B249-B248)</f>
        <v/>
      </c>
      <c r="D249" s="248">
        <f>IF(OR(B249="",AA249=""),"",B249-AA249)</f>
        <v/>
      </c>
      <c r="E249" s="250">
        <f>IF(OR(B249="",AD249=0),"",MIN(0,B249/AD249-1))</f>
        <v/>
      </c>
      <c r="F249" s="250">
        <f>IF(OR(U249="",T249=0,T249=""),"",(P249-T249*1.4)/U249)</f>
        <v/>
      </c>
      <c r="G249" s="251">
        <f>IF(OR(AC249="",'09_CF_원금'!$B$108=0),"",AC249/'09_CF_원금'!$B$108)</f>
        <v/>
      </c>
      <c r="H249" s="250">
        <f>IF(OR(U249="",U249=0,AC249=""),"",AC249/U249)</f>
        <v/>
      </c>
      <c r="I249" s="250">
        <f>IF(OR(S249="",U249=""),"",S249/(U249+S249))</f>
        <v/>
      </c>
      <c r="J249" s="248">
        <f>IF(W249&lt;&gt;"",W249-X249,IF(AG249&lt;&gt;"",AG249,""))</f>
        <v/>
      </c>
      <c r="K249" s="248">
        <f>IF(Q249&lt;&gt;"",Q249-Y249,IF(AH249&lt;&gt;"",AH249,""))</f>
        <v/>
      </c>
      <c r="L249" s="248">
        <f>IF(R249&lt;&gt;"",R249-Z249,IF(AI249&lt;&gt;"",AI249,""))</f>
        <v/>
      </c>
      <c r="M249" s="252" t="n"/>
      <c r="N249" s="253" t="n"/>
      <c r="O249" s="254" t="n"/>
      <c r="P249" s="255" t="n"/>
      <c r="Q249" s="258">
        <f>IF($A249="","",IF(Q248="","",Q248))</f>
        <v/>
      </c>
      <c r="R249" s="258">
        <f>IF($A249="","",IF(R248="","",R248))</f>
        <v/>
      </c>
      <c r="S249" s="258">
        <f>IF($A249="","",IF(S248="","",S248))</f>
        <v/>
      </c>
      <c r="T249" s="249">
        <f>IF(OR(P249="",W249=""),"",P249-W249)</f>
        <v/>
      </c>
      <c r="U249" s="258">
        <f>IF($A249="","",IF(U248="","",U248))</f>
        <v/>
      </c>
      <c r="V249" s="249">
        <f>IF(P249="","",P249+IF(Q249="",0,Q249)+IF(R249="",0,R249))</f>
        <v/>
      </c>
      <c r="W249" s="255" t="n"/>
      <c r="X249" s="249">
        <f>SUMIFS('09_CF_원금'!$E$6:$E$92,'09_CF_원금'!$D$6:$D$92,"국장",'09_CF_원금'!$A$6:$A$92,"&lt;="&amp;$A249)-SUMIFS('09_CF_원금'!$E$6:$E$92,'09_CF_원금'!$C$6:$C$92,"국장",'09_CF_원금'!$A$6:$A$92,"&lt;="&amp;$A249)</f>
        <v/>
      </c>
      <c r="Y249" s="249">
        <f>SUMIFS('09_CF_원금'!$E$6:$E$92,'09_CF_원금'!$D$6:$D$92,"미장",'09_CF_원금'!$A$6:$A$92,"&lt;="&amp;$A249)-SUMIFS('09_CF_원금'!$E$6:$E$92,'09_CF_원금'!$C$6:$C$92,"미장",'09_CF_원금'!$A$6:$A$92,"&lt;="&amp;$A249)</f>
        <v/>
      </c>
      <c r="Z249" s="249">
        <f>SUMIFS('09_CF_원금'!$E$6:$E$92,'09_CF_원금'!$D$6:$D$92,"ISA",'09_CF_원금'!$A$6:$A$92,"&lt;="&amp;$A249)-SUMIFS('09_CF_원금'!$E$6:$E$92,'09_CF_원금'!$C$6:$C$92,"ISA",'09_CF_원금'!$A$6:$A$92,"&lt;="&amp;$A249)</f>
        <v/>
      </c>
      <c r="AA249" s="249">
        <f>IF($A249="","",X249+Y249+Z249+SUMIFS('09_CF_원금'!$E$6:$E$92,'09_CF_원금'!$D$6:$D$92,"중국",'09_CF_원금'!$A$6:$A$92,"&lt;="&amp;$A249)-SUMIFS('09_CF_원금'!$E$6:$E$92,'09_CF_원금'!$C$6:$C$92,"중국",'09_CF_원금'!$A$6:$A$92,"&lt;="&amp;$A249)+SUMIFS('09_CF_원금'!$E$6:$E$92,'09_CF_원금'!$D$6:$D$92,"업비트",'09_CF_원금'!$A$6:$A$92,"&lt;="&amp;$A249)-SUMIFS('09_CF_원금'!$E$6:$E$92,'09_CF_원금'!$C$6:$C$92,"업비트",'09_CF_원금'!$A$6:$A$92,"&lt;="&amp;$A249))</f>
        <v/>
      </c>
      <c r="AB249" s="249">
        <f>IF(OR(U249="",V249=""),"",U249-(V249-IF(S249="",0,S249)))</f>
        <v/>
      </c>
      <c r="AC249" s="249">
        <f>IF(AB249="","",T249+AB249)</f>
        <v/>
      </c>
      <c r="AD249" s="249">
        <f>IF(B249="","",MAX($B$5:B249))</f>
        <v/>
      </c>
      <c r="AE249" s="256" t="n"/>
      <c r="AF249" s="255" t="n"/>
      <c r="AG249" s="255" t="n"/>
      <c r="AH249" s="255" t="n"/>
      <c r="AI249" s="255" t="n"/>
      <c r="AJ249" s="257">
        <f>IF($A249="","",YEAR($A249)*100+MONTH($A249))</f>
        <v/>
      </c>
      <c r="AK249" s="257">
        <f>IF($A249="","",IF($N249="",0,1))</f>
        <v/>
      </c>
    </row>
    <row r="250">
      <c r="A250" s="247" t="n">
        <v>46351</v>
      </c>
      <c r="B250" s="248">
        <f>IF(V250&lt;&gt;"",V250-T250,IF(AF250&lt;&gt;"",AA250+AF250,""))</f>
        <v/>
      </c>
      <c r="C250" s="249">
        <f>IF(OR(B250="",B249=""),"",B250-B249)</f>
        <v/>
      </c>
      <c r="D250" s="248">
        <f>IF(OR(B250="",AA250=""),"",B250-AA250)</f>
        <v/>
      </c>
      <c r="E250" s="250">
        <f>IF(OR(B250="",AD250=0),"",MIN(0,B250/AD250-1))</f>
        <v/>
      </c>
      <c r="F250" s="250">
        <f>IF(OR(U250="",T250=0,T250=""),"",(P250-T250*1.4)/U250)</f>
        <v/>
      </c>
      <c r="G250" s="251">
        <f>IF(OR(AC250="",'09_CF_원금'!$B$108=0),"",AC250/'09_CF_원금'!$B$108)</f>
        <v/>
      </c>
      <c r="H250" s="250">
        <f>IF(OR(U250="",U250=0,AC250=""),"",AC250/U250)</f>
        <v/>
      </c>
      <c r="I250" s="250">
        <f>IF(OR(S250="",U250=""),"",S250/(U250+S250))</f>
        <v/>
      </c>
      <c r="J250" s="248">
        <f>IF(W250&lt;&gt;"",W250-X250,IF(AG250&lt;&gt;"",AG250,""))</f>
        <v/>
      </c>
      <c r="K250" s="248">
        <f>IF(Q250&lt;&gt;"",Q250-Y250,IF(AH250&lt;&gt;"",AH250,""))</f>
        <v/>
      </c>
      <c r="L250" s="248">
        <f>IF(R250&lt;&gt;"",R250-Z250,IF(AI250&lt;&gt;"",AI250,""))</f>
        <v/>
      </c>
      <c r="M250" s="252" t="n"/>
      <c r="N250" s="253" t="n"/>
      <c r="O250" s="254" t="n"/>
      <c r="P250" s="255" t="n"/>
      <c r="Q250" s="258">
        <f>IF($A250="","",IF(Q249="","",Q249))</f>
        <v/>
      </c>
      <c r="R250" s="258">
        <f>IF($A250="","",IF(R249="","",R249))</f>
        <v/>
      </c>
      <c r="S250" s="258">
        <f>IF($A250="","",IF(S249="","",S249))</f>
        <v/>
      </c>
      <c r="T250" s="249">
        <f>IF(OR(P250="",W250=""),"",P250-W250)</f>
        <v/>
      </c>
      <c r="U250" s="258">
        <f>IF($A250="","",IF(U249="","",U249))</f>
        <v/>
      </c>
      <c r="V250" s="249">
        <f>IF(P250="","",P250+IF(Q250="",0,Q250)+IF(R250="",0,R250))</f>
        <v/>
      </c>
      <c r="W250" s="255" t="n"/>
      <c r="X250" s="249">
        <f>SUMIFS('09_CF_원금'!$E$6:$E$92,'09_CF_원금'!$D$6:$D$92,"국장",'09_CF_원금'!$A$6:$A$92,"&lt;="&amp;$A250)-SUMIFS('09_CF_원금'!$E$6:$E$92,'09_CF_원금'!$C$6:$C$92,"국장",'09_CF_원금'!$A$6:$A$92,"&lt;="&amp;$A250)</f>
        <v/>
      </c>
      <c r="Y250" s="249">
        <f>SUMIFS('09_CF_원금'!$E$6:$E$92,'09_CF_원금'!$D$6:$D$92,"미장",'09_CF_원금'!$A$6:$A$92,"&lt;="&amp;$A250)-SUMIFS('09_CF_원금'!$E$6:$E$92,'09_CF_원금'!$C$6:$C$92,"미장",'09_CF_원금'!$A$6:$A$92,"&lt;="&amp;$A250)</f>
        <v/>
      </c>
      <c r="Z250" s="249">
        <f>SUMIFS('09_CF_원금'!$E$6:$E$92,'09_CF_원금'!$D$6:$D$92,"ISA",'09_CF_원금'!$A$6:$A$92,"&lt;="&amp;$A250)-SUMIFS('09_CF_원금'!$E$6:$E$92,'09_CF_원금'!$C$6:$C$92,"ISA",'09_CF_원금'!$A$6:$A$92,"&lt;="&amp;$A250)</f>
        <v/>
      </c>
      <c r="AA250" s="249">
        <f>IF($A250="","",X250+Y250+Z250+SUMIFS('09_CF_원금'!$E$6:$E$92,'09_CF_원금'!$D$6:$D$92,"중국",'09_CF_원금'!$A$6:$A$92,"&lt;="&amp;$A250)-SUMIFS('09_CF_원금'!$E$6:$E$92,'09_CF_원금'!$C$6:$C$92,"중국",'09_CF_원금'!$A$6:$A$92,"&lt;="&amp;$A250)+SUMIFS('09_CF_원금'!$E$6:$E$92,'09_CF_원금'!$D$6:$D$92,"업비트",'09_CF_원금'!$A$6:$A$92,"&lt;="&amp;$A250)-SUMIFS('09_CF_원금'!$E$6:$E$92,'09_CF_원금'!$C$6:$C$92,"업비트",'09_CF_원금'!$A$6:$A$92,"&lt;="&amp;$A250))</f>
        <v/>
      </c>
      <c r="AB250" s="249">
        <f>IF(OR(U250="",V250=""),"",U250-(V250-IF(S250="",0,S250)))</f>
        <v/>
      </c>
      <c r="AC250" s="249">
        <f>IF(AB250="","",T250+AB250)</f>
        <v/>
      </c>
      <c r="AD250" s="249">
        <f>IF(B250="","",MAX($B$5:B250))</f>
        <v/>
      </c>
      <c r="AE250" s="256" t="n"/>
      <c r="AF250" s="255" t="n"/>
      <c r="AG250" s="255" t="n"/>
      <c r="AH250" s="255" t="n"/>
      <c r="AI250" s="255" t="n"/>
      <c r="AJ250" s="257">
        <f>IF($A250="","",YEAR($A250)*100+MONTH($A250))</f>
        <v/>
      </c>
      <c r="AK250" s="257">
        <f>IF($A250="","",IF($N250="",0,1))</f>
        <v/>
      </c>
    </row>
    <row r="251">
      <c r="A251" s="247" t="n">
        <v>46352</v>
      </c>
      <c r="B251" s="248">
        <f>IF(V251&lt;&gt;"",V251-T251,IF(AF251&lt;&gt;"",AA251+AF251,""))</f>
        <v/>
      </c>
      <c r="C251" s="249">
        <f>IF(OR(B251="",B250=""),"",B251-B250)</f>
        <v/>
      </c>
      <c r="D251" s="248">
        <f>IF(OR(B251="",AA251=""),"",B251-AA251)</f>
        <v/>
      </c>
      <c r="E251" s="250">
        <f>IF(OR(B251="",AD251=0),"",MIN(0,B251/AD251-1))</f>
        <v/>
      </c>
      <c r="F251" s="250">
        <f>IF(OR(U251="",T251=0,T251=""),"",(P251-T251*1.4)/U251)</f>
        <v/>
      </c>
      <c r="G251" s="251">
        <f>IF(OR(AC251="",'09_CF_원금'!$B$108=0),"",AC251/'09_CF_원금'!$B$108)</f>
        <v/>
      </c>
      <c r="H251" s="250">
        <f>IF(OR(U251="",U251=0,AC251=""),"",AC251/U251)</f>
        <v/>
      </c>
      <c r="I251" s="250">
        <f>IF(OR(S251="",U251=""),"",S251/(U251+S251))</f>
        <v/>
      </c>
      <c r="J251" s="248">
        <f>IF(W251&lt;&gt;"",W251-X251,IF(AG251&lt;&gt;"",AG251,""))</f>
        <v/>
      </c>
      <c r="K251" s="248">
        <f>IF(Q251&lt;&gt;"",Q251-Y251,IF(AH251&lt;&gt;"",AH251,""))</f>
        <v/>
      </c>
      <c r="L251" s="248">
        <f>IF(R251&lt;&gt;"",R251-Z251,IF(AI251&lt;&gt;"",AI251,""))</f>
        <v/>
      </c>
      <c r="M251" s="252" t="n"/>
      <c r="N251" s="253" t="n"/>
      <c r="O251" s="254" t="n"/>
      <c r="P251" s="255" t="n"/>
      <c r="Q251" s="258">
        <f>IF($A251="","",IF(Q250="","",Q250))</f>
        <v/>
      </c>
      <c r="R251" s="258">
        <f>IF($A251="","",IF(R250="","",R250))</f>
        <v/>
      </c>
      <c r="S251" s="258">
        <f>IF($A251="","",IF(S250="","",S250))</f>
        <v/>
      </c>
      <c r="T251" s="249">
        <f>IF(OR(P251="",W251=""),"",P251-W251)</f>
        <v/>
      </c>
      <c r="U251" s="258">
        <f>IF($A251="","",IF(U250="","",U250))</f>
        <v/>
      </c>
      <c r="V251" s="249">
        <f>IF(P251="","",P251+IF(Q251="",0,Q251)+IF(R251="",0,R251))</f>
        <v/>
      </c>
      <c r="W251" s="255" t="n"/>
      <c r="X251" s="249">
        <f>SUMIFS('09_CF_원금'!$E$6:$E$92,'09_CF_원금'!$D$6:$D$92,"국장",'09_CF_원금'!$A$6:$A$92,"&lt;="&amp;$A251)-SUMIFS('09_CF_원금'!$E$6:$E$92,'09_CF_원금'!$C$6:$C$92,"국장",'09_CF_원금'!$A$6:$A$92,"&lt;="&amp;$A251)</f>
        <v/>
      </c>
      <c r="Y251" s="249">
        <f>SUMIFS('09_CF_원금'!$E$6:$E$92,'09_CF_원금'!$D$6:$D$92,"미장",'09_CF_원금'!$A$6:$A$92,"&lt;="&amp;$A251)-SUMIFS('09_CF_원금'!$E$6:$E$92,'09_CF_원금'!$C$6:$C$92,"미장",'09_CF_원금'!$A$6:$A$92,"&lt;="&amp;$A251)</f>
        <v/>
      </c>
      <c r="Z251" s="249">
        <f>SUMIFS('09_CF_원금'!$E$6:$E$92,'09_CF_원금'!$D$6:$D$92,"ISA",'09_CF_원금'!$A$6:$A$92,"&lt;="&amp;$A251)-SUMIFS('09_CF_원금'!$E$6:$E$92,'09_CF_원금'!$C$6:$C$92,"ISA",'09_CF_원금'!$A$6:$A$92,"&lt;="&amp;$A251)</f>
        <v/>
      </c>
      <c r="AA251" s="249">
        <f>IF($A251="","",X251+Y251+Z251+SUMIFS('09_CF_원금'!$E$6:$E$92,'09_CF_원금'!$D$6:$D$92,"중국",'09_CF_원금'!$A$6:$A$92,"&lt;="&amp;$A251)-SUMIFS('09_CF_원금'!$E$6:$E$92,'09_CF_원금'!$C$6:$C$92,"중국",'09_CF_원금'!$A$6:$A$92,"&lt;="&amp;$A251)+SUMIFS('09_CF_원금'!$E$6:$E$92,'09_CF_원금'!$D$6:$D$92,"업비트",'09_CF_원금'!$A$6:$A$92,"&lt;="&amp;$A251)-SUMIFS('09_CF_원금'!$E$6:$E$92,'09_CF_원금'!$C$6:$C$92,"업비트",'09_CF_원금'!$A$6:$A$92,"&lt;="&amp;$A251))</f>
        <v/>
      </c>
      <c r="AB251" s="249">
        <f>IF(OR(U251="",V251=""),"",U251-(V251-IF(S251="",0,S251)))</f>
        <v/>
      </c>
      <c r="AC251" s="249">
        <f>IF(AB251="","",T251+AB251)</f>
        <v/>
      </c>
      <c r="AD251" s="249">
        <f>IF(B251="","",MAX($B$5:B251))</f>
        <v/>
      </c>
      <c r="AE251" s="256" t="n"/>
      <c r="AF251" s="255" t="n"/>
      <c r="AG251" s="255" t="n"/>
      <c r="AH251" s="255" t="n"/>
      <c r="AI251" s="255" t="n"/>
      <c r="AJ251" s="257">
        <f>IF($A251="","",YEAR($A251)*100+MONTH($A251))</f>
        <v/>
      </c>
      <c r="AK251" s="257">
        <f>IF($A251="","",IF($N251="",0,1))</f>
        <v/>
      </c>
    </row>
    <row r="252">
      <c r="A252" s="247" t="n">
        <v>46353</v>
      </c>
      <c r="B252" s="248">
        <f>IF(V252&lt;&gt;"",V252-T252,IF(AF252&lt;&gt;"",AA252+AF252,""))</f>
        <v/>
      </c>
      <c r="C252" s="249">
        <f>IF(OR(B252="",B251=""),"",B252-B251)</f>
        <v/>
      </c>
      <c r="D252" s="248">
        <f>IF(OR(B252="",AA252=""),"",B252-AA252)</f>
        <v/>
      </c>
      <c r="E252" s="250">
        <f>IF(OR(B252="",AD252=0),"",MIN(0,B252/AD252-1))</f>
        <v/>
      </c>
      <c r="F252" s="250">
        <f>IF(OR(U252="",T252=0,T252=""),"",(P252-T252*1.4)/U252)</f>
        <v/>
      </c>
      <c r="G252" s="251">
        <f>IF(OR(AC252="",'09_CF_원금'!$B$108=0),"",AC252/'09_CF_원금'!$B$108)</f>
        <v/>
      </c>
      <c r="H252" s="250">
        <f>IF(OR(U252="",U252=0,AC252=""),"",AC252/U252)</f>
        <v/>
      </c>
      <c r="I252" s="250">
        <f>IF(OR(S252="",U252=""),"",S252/(U252+S252))</f>
        <v/>
      </c>
      <c r="J252" s="248">
        <f>IF(W252&lt;&gt;"",W252-X252,IF(AG252&lt;&gt;"",AG252,""))</f>
        <v/>
      </c>
      <c r="K252" s="248">
        <f>IF(Q252&lt;&gt;"",Q252-Y252,IF(AH252&lt;&gt;"",AH252,""))</f>
        <v/>
      </c>
      <c r="L252" s="248">
        <f>IF(R252&lt;&gt;"",R252-Z252,IF(AI252&lt;&gt;"",AI252,""))</f>
        <v/>
      </c>
      <c r="M252" s="252" t="n"/>
      <c r="N252" s="253" t="n"/>
      <c r="O252" s="254" t="n"/>
      <c r="P252" s="255" t="n"/>
      <c r="Q252" s="258">
        <f>IF($A252="","",IF(Q251="","",Q251))</f>
        <v/>
      </c>
      <c r="R252" s="258">
        <f>IF($A252="","",IF(R251="","",R251))</f>
        <v/>
      </c>
      <c r="S252" s="258">
        <f>IF($A252="","",IF(S251="","",S251))</f>
        <v/>
      </c>
      <c r="T252" s="249">
        <f>IF(OR(P252="",W252=""),"",P252-W252)</f>
        <v/>
      </c>
      <c r="U252" s="258">
        <f>IF($A252="","",IF(U251="","",U251))</f>
        <v/>
      </c>
      <c r="V252" s="249">
        <f>IF(P252="","",P252+IF(Q252="",0,Q252)+IF(R252="",0,R252))</f>
        <v/>
      </c>
      <c r="W252" s="255" t="n"/>
      <c r="X252" s="249">
        <f>SUMIFS('09_CF_원금'!$E$6:$E$92,'09_CF_원금'!$D$6:$D$92,"국장",'09_CF_원금'!$A$6:$A$92,"&lt;="&amp;$A252)-SUMIFS('09_CF_원금'!$E$6:$E$92,'09_CF_원금'!$C$6:$C$92,"국장",'09_CF_원금'!$A$6:$A$92,"&lt;="&amp;$A252)</f>
        <v/>
      </c>
      <c r="Y252" s="249">
        <f>SUMIFS('09_CF_원금'!$E$6:$E$92,'09_CF_원금'!$D$6:$D$92,"미장",'09_CF_원금'!$A$6:$A$92,"&lt;="&amp;$A252)-SUMIFS('09_CF_원금'!$E$6:$E$92,'09_CF_원금'!$C$6:$C$92,"미장",'09_CF_원금'!$A$6:$A$92,"&lt;="&amp;$A252)</f>
        <v/>
      </c>
      <c r="Z252" s="249">
        <f>SUMIFS('09_CF_원금'!$E$6:$E$92,'09_CF_원금'!$D$6:$D$92,"ISA",'09_CF_원금'!$A$6:$A$92,"&lt;="&amp;$A252)-SUMIFS('09_CF_원금'!$E$6:$E$92,'09_CF_원금'!$C$6:$C$92,"ISA",'09_CF_원금'!$A$6:$A$92,"&lt;="&amp;$A252)</f>
        <v/>
      </c>
      <c r="AA252" s="249">
        <f>IF($A252="","",X252+Y252+Z252+SUMIFS('09_CF_원금'!$E$6:$E$92,'09_CF_원금'!$D$6:$D$92,"중국",'09_CF_원금'!$A$6:$A$92,"&lt;="&amp;$A252)-SUMIFS('09_CF_원금'!$E$6:$E$92,'09_CF_원금'!$C$6:$C$92,"중국",'09_CF_원금'!$A$6:$A$92,"&lt;="&amp;$A252)+SUMIFS('09_CF_원금'!$E$6:$E$92,'09_CF_원금'!$D$6:$D$92,"업비트",'09_CF_원금'!$A$6:$A$92,"&lt;="&amp;$A252)-SUMIFS('09_CF_원금'!$E$6:$E$92,'09_CF_원금'!$C$6:$C$92,"업비트",'09_CF_원금'!$A$6:$A$92,"&lt;="&amp;$A252))</f>
        <v/>
      </c>
      <c r="AB252" s="249">
        <f>IF(OR(U252="",V252=""),"",U252-(V252-IF(S252="",0,S252)))</f>
        <v/>
      </c>
      <c r="AC252" s="249">
        <f>IF(AB252="","",T252+AB252)</f>
        <v/>
      </c>
      <c r="AD252" s="249">
        <f>IF(B252="","",MAX($B$5:B252))</f>
        <v/>
      </c>
      <c r="AE252" s="256" t="n"/>
      <c r="AF252" s="255" t="n"/>
      <c r="AG252" s="255" t="n"/>
      <c r="AH252" s="255" t="n"/>
      <c r="AI252" s="255" t="n"/>
      <c r="AJ252" s="257">
        <f>IF($A252="","",YEAR($A252)*100+MONTH($A252))</f>
        <v/>
      </c>
      <c r="AK252" s="257">
        <f>IF($A252="","",IF($N252="",0,1))</f>
        <v/>
      </c>
    </row>
    <row r="253">
      <c r="A253" s="247" t="n">
        <v>46356</v>
      </c>
      <c r="B253" s="248">
        <f>IF(V253&lt;&gt;"",V253-T253,IF(AF253&lt;&gt;"",AA253+AF253,""))</f>
        <v/>
      </c>
      <c r="C253" s="249">
        <f>IF(OR(B253="",B252=""),"",B253-B252)</f>
        <v/>
      </c>
      <c r="D253" s="248">
        <f>IF(OR(B253="",AA253=""),"",B253-AA253)</f>
        <v/>
      </c>
      <c r="E253" s="250">
        <f>IF(OR(B253="",AD253=0),"",MIN(0,B253/AD253-1))</f>
        <v/>
      </c>
      <c r="F253" s="250">
        <f>IF(OR(U253="",T253=0,T253=""),"",(P253-T253*1.4)/U253)</f>
        <v/>
      </c>
      <c r="G253" s="251">
        <f>IF(OR(AC253="",'09_CF_원금'!$B$108=0),"",AC253/'09_CF_원금'!$B$108)</f>
        <v/>
      </c>
      <c r="H253" s="250">
        <f>IF(OR(U253="",U253=0,AC253=""),"",AC253/U253)</f>
        <v/>
      </c>
      <c r="I253" s="250">
        <f>IF(OR(S253="",U253=""),"",S253/(U253+S253))</f>
        <v/>
      </c>
      <c r="J253" s="248">
        <f>IF(W253&lt;&gt;"",W253-X253,IF(AG253&lt;&gt;"",AG253,""))</f>
        <v/>
      </c>
      <c r="K253" s="248">
        <f>IF(Q253&lt;&gt;"",Q253-Y253,IF(AH253&lt;&gt;"",AH253,""))</f>
        <v/>
      </c>
      <c r="L253" s="248">
        <f>IF(R253&lt;&gt;"",R253-Z253,IF(AI253&lt;&gt;"",AI253,""))</f>
        <v/>
      </c>
      <c r="M253" s="252" t="n"/>
      <c r="N253" s="253" t="n"/>
      <c r="O253" s="254" t="n"/>
      <c r="P253" s="255" t="n"/>
      <c r="Q253" s="258">
        <f>IF($A253="","",IF(Q252="","",Q252))</f>
        <v/>
      </c>
      <c r="R253" s="258">
        <f>IF($A253="","",IF(R252="","",R252))</f>
        <v/>
      </c>
      <c r="S253" s="258">
        <f>IF($A253="","",IF(S252="","",S252))</f>
        <v/>
      </c>
      <c r="T253" s="249">
        <f>IF(OR(P253="",W253=""),"",P253-W253)</f>
        <v/>
      </c>
      <c r="U253" s="258">
        <f>IF($A253="","",IF(U252="","",U252))</f>
        <v/>
      </c>
      <c r="V253" s="249">
        <f>IF(P253="","",P253+IF(Q253="",0,Q253)+IF(R253="",0,R253))</f>
        <v/>
      </c>
      <c r="W253" s="255" t="n"/>
      <c r="X253" s="249">
        <f>SUMIFS('09_CF_원금'!$E$6:$E$92,'09_CF_원금'!$D$6:$D$92,"국장",'09_CF_원금'!$A$6:$A$92,"&lt;="&amp;$A253)-SUMIFS('09_CF_원금'!$E$6:$E$92,'09_CF_원금'!$C$6:$C$92,"국장",'09_CF_원금'!$A$6:$A$92,"&lt;="&amp;$A253)</f>
        <v/>
      </c>
      <c r="Y253" s="249">
        <f>SUMIFS('09_CF_원금'!$E$6:$E$92,'09_CF_원금'!$D$6:$D$92,"미장",'09_CF_원금'!$A$6:$A$92,"&lt;="&amp;$A253)-SUMIFS('09_CF_원금'!$E$6:$E$92,'09_CF_원금'!$C$6:$C$92,"미장",'09_CF_원금'!$A$6:$A$92,"&lt;="&amp;$A253)</f>
        <v/>
      </c>
      <c r="Z253" s="249">
        <f>SUMIFS('09_CF_원금'!$E$6:$E$92,'09_CF_원금'!$D$6:$D$92,"ISA",'09_CF_원금'!$A$6:$A$92,"&lt;="&amp;$A253)-SUMIFS('09_CF_원금'!$E$6:$E$92,'09_CF_원금'!$C$6:$C$92,"ISA",'09_CF_원금'!$A$6:$A$92,"&lt;="&amp;$A253)</f>
        <v/>
      </c>
      <c r="AA253" s="249">
        <f>IF($A253="","",X253+Y253+Z253+SUMIFS('09_CF_원금'!$E$6:$E$92,'09_CF_원금'!$D$6:$D$92,"중국",'09_CF_원금'!$A$6:$A$92,"&lt;="&amp;$A253)-SUMIFS('09_CF_원금'!$E$6:$E$92,'09_CF_원금'!$C$6:$C$92,"중국",'09_CF_원금'!$A$6:$A$92,"&lt;="&amp;$A253)+SUMIFS('09_CF_원금'!$E$6:$E$92,'09_CF_원금'!$D$6:$D$92,"업비트",'09_CF_원금'!$A$6:$A$92,"&lt;="&amp;$A253)-SUMIFS('09_CF_원금'!$E$6:$E$92,'09_CF_원금'!$C$6:$C$92,"업비트",'09_CF_원금'!$A$6:$A$92,"&lt;="&amp;$A253))</f>
        <v/>
      </c>
      <c r="AB253" s="249">
        <f>IF(OR(U253="",V253=""),"",U253-(V253-IF(S253="",0,S253)))</f>
        <v/>
      </c>
      <c r="AC253" s="249">
        <f>IF(AB253="","",T253+AB253)</f>
        <v/>
      </c>
      <c r="AD253" s="249">
        <f>IF(B253="","",MAX($B$5:B253))</f>
        <v/>
      </c>
      <c r="AE253" s="256" t="n"/>
      <c r="AF253" s="255" t="n"/>
      <c r="AG253" s="255" t="n"/>
      <c r="AH253" s="255" t="n"/>
      <c r="AI253" s="255" t="n"/>
      <c r="AJ253" s="257">
        <f>IF($A253="","",YEAR($A253)*100+MONTH($A253))</f>
        <v/>
      </c>
      <c r="AK253" s="257">
        <f>IF($A253="","",IF($N253="",0,1))</f>
        <v/>
      </c>
    </row>
    <row r="254">
      <c r="A254" s="247" t="n">
        <v>46357</v>
      </c>
      <c r="B254" s="248">
        <f>IF(V254&lt;&gt;"",V254-T254,IF(AF254&lt;&gt;"",AA254+AF254,""))</f>
        <v/>
      </c>
      <c r="C254" s="249">
        <f>IF(OR(B254="",B253=""),"",B254-B253)</f>
        <v/>
      </c>
      <c r="D254" s="248">
        <f>IF(OR(B254="",AA254=""),"",B254-AA254)</f>
        <v/>
      </c>
      <c r="E254" s="250">
        <f>IF(OR(B254="",AD254=0),"",MIN(0,B254/AD254-1))</f>
        <v/>
      </c>
      <c r="F254" s="250">
        <f>IF(OR(U254="",T254=0,T254=""),"",(P254-T254*1.4)/U254)</f>
        <v/>
      </c>
      <c r="G254" s="251">
        <f>IF(OR(AC254="",'09_CF_원금'!$B$108=0),"",AC254/'09_CF_원금'!$B$108)</f>
        <v/>
      </c>
      <c r="H254" s="250">
        <f>IF(OR(U254="",U254=0,AC254=""),"",AC254/U254)</f>
        <v/>
      </c>
      <c r="I254" s="250">
        <f>IF(OR(S254="",U254=""),"",S254/(U254+S254))</f>
        <v/>
      </c>
      <c r="J254" s="248">
        <f>IF(W254&lt;&gt;"",W254-X254,IF(AG254&lt;&gt;"",AG254,""))</f>
        <v/>
      </c>
      <c r="K254" s="248">
        <f>IF(Q254&lt;&gt;"",Q254-Y254,IF(AH254&lt;&gt;"",AH254,""))</f>
        <v/>
      </c>
      <c r="L254" s="248">
        <f>IF(R254&lt;&gt;"",R254-Z254,IF(AI254&lt;&gt;"",AI254,""))</f>
        <v/>
      </c>
      <c r="M254" s="252" t="n"/>
      <c r="N254" s="253" t="n"/>
      <c r="O254" s="254" t="n"/>
      <c r="P254" s="255" t="n"/>
      <c r="Q254" s="258">
        <f>IF($A254="","",IF(Q253="","",Q253))</f>
        <v/>
      </c>
      <c r="R254" s="258">
        <f>IF($A254="","",IF(R253="","",R253))</f>
        <v/>
      </c>
      <c r="S254" s="258">
        <f>IF($A254="","",IF(S253="","",S253))</f>
        <v/>
      </c>
      <c r="T254" s="249">
        <f>IF(OR(P254="",W254=""),"",P254-W254)</f>
        <v/>
      </c>
      <c r="U254" s="258">
        <f>IF($A254="","",IF(U253="","",U253))</f>
        <v/>
      </c>
      <c r="V254" s="249">
        <f>IF(P254="","",P254+IF(Q254="",0,Q254)+IF(R254="",0,R254))</f>
        <v/>
      </c>
      <c r="W254" s="255" t="n"/>
      <c r="X254" s="249">
        <f>SUMIFS('09_CF_원금'!$E$6:$E$92,'09_CF_원금'!$D$6:$D$92,"국장",'09_CF_원금'!$A$6:$A$92,"&lt;="&amp;$A254)-SUMIFS('09_CF_원금'!$E$6:$E$92,'09_CF_원금'!$C$6:$C$92,"국장",'09_CF_원금'!$A$6:$A$92,"&lt;="&amp;$A254)</f>
        <v/>
      </c>
      <c r="Y254" s="249">
        <f>SUMIFS('09_CF_원금'!$E$6:$E$92,'09_CF_원금'!$D$6:$D$92,"미장",'09_CF_원금'!$A$6:$A$92,"&lt;="&amp;$A254)-SUMIFS('09_CF_원금'!$E$6:$E$92,'09_CF_원금'!$C$6:$C$92,"미장",'09_CF_원금'!$A$6:$A$92,"&lt;="&amp;$A254)</f>
        <v/>
      </c>
      <c r="Z254" s="249">
        <f>SUMIFS('09_CF_원금'!$E$6:$E$92,'09_CF_원금'!$D$6:$D$92,"ISA",'09_CF_원금'!$A$6:$A$92,"&lt;="&amp;$A254)-SUMIFS('09_CF_원금'!$E$6:$E$92,'09_CF_원금'!$C$6:$C$92,"ISA",'09_CF_원금'!$A$6:$A$92,"&lt;="&amp;$A254)</f>
        <v/>
      </c>
      <c r="AA254" s="249">
        <f>IF($A254="","",X254+Y254+Z254+SUMIFS('09_CF_원금'!$E$6:$E$92,'09_CF_원금'!$D$6:$D$92,"중국",'09_CF_원금'!$A$6:$A$92,"&lt;="&amp;$A254)-SUMIFS('09_CF_원금'!$E$6:$E$92,'09_CF_원금'!$C$6:$C$92,"중국",'09_CF_원금'!$A$6:$A$92,"&lt;="&amp;$A254)+SUMIFS('09_CF_원금'!$E$6:$E$92,'09_CF_원금'!$D$6:$D$92,"업비트",'09_CF_원금'!$A$6:$A$92,"&lt;="&amp;$A254)-SUMIFS('09_CF_원금'!$E$6:$E$92,'09_CF_원금'!$C$6:$C$92,"업비트",'09_CF_원금'!$A$6:$A$92,"&lt;="&amp;$A254))</f>
        <v/>
      </c>
      <c r="AB254" s="249">
        <f>IF(OR(U254="",V254=""),"",U254-(V254-IF(S254="",0,S254)))</f>
        <v/>
      </c>
      <c r="AC254" s="249">
        <f>IF(AB254="","",T254+AB254)</f>
        <v/>
      </c>
      <c r="AD254" s="249">
        <f>IF(B254="","",MAX($B$5:B254))</f>
        <v/>
      </c>
      <c r="AE254" s="256" t="n"/>
      <c r="AF254" s="255" t="n"/>
      <c r="AG254" s="255" t="n"/>
      <c r="AH254" s="255" t="n"/>
      <c r="AI254" s="255" t="n"/>
      <c r="AJ254" s="257">
        <f>IF($A254="","",YEAR($A254)*100+MONTH($A254))</f>
        <v/>
      </c>
      <c r="AK254" s="257">
        <f>IF($A254="","",IF($N254="",0,1))</f>
        <v/>
      </c>
    </row>
    <row r="255">
      <c r="A255" s="247" t="n">
        <v>46358</v>
      </c>
      <c r="B255" s="248">
        <f>IF(V255&lt;&gt;"",V255-T255,IF(AF255&lt;&gt;"",AA255+AF255,""))</f>
        <v/>
      </c>
      <c r="C255" s="249">
        <f>IF(OR(B255="",B254=""),"",B255-B254)</f>
        <v/>
      </c>
      <c r="D255" s="248">
        <f>IF(OR(B255="",AA255=""),"",B255-AA255)</f>
        <v/>
      </c>
      <c r="E255" s="250">
        <f>IF(OR(B255="",AD255=0),"",MIN(0,B255/AD255-1))</f>
        <v/>
      </c>
      <c r="F255" s="250">
        <f>IF(OR(U255="",T255=0,T255=""),"",(P255-T255*1.4)/U255)</f>
        <v/>
      </c>
      <c r="G255" s="251">
        <f>IF(OR(AC255="",'09_CF_원금'!$B$108=0),"",AC255/'09_CF_원금'!$B$108)</f>
        <v/>
      </c>
      <c r="H255" s="250">
        <f>IF(OR(U255="",U255=0,AC255=""),"",AC255/U255)</f>
        <v/>
      </c>
      <c r="I255" s="250">
        <f>IF(OR(S255="",U255=""),"",S255/(U255+S255))</f>
        <v/>
      </c>
      <c r="J255" s="248">
        <f>IF(W255&lt;&gt;"",W255-X255,IF(AG255&lt;&gt;"",AG255,""))</f>
        <v/>
      </c>
      <c r="K255" s="248">
        <f>IF(Q255&lt;&gt;"",Q255-Y255,IF(AH255&lt;&gt;"",AH255,""))</f>
        <v/>
      </c>
      <c r="L255" s="248">
        <f>IF(R255&lt;&gt;"",R255-Z255,IF(AI255&lt;&gt;"",AI255,""))</f>
        <v/>
      </c>
      <c r="M255" s="252" t="n"/>
      <c r="N255" s="253" t="n"/>
      <c r="O255" s="254" t="n"/>
      <c r="P255" s="255" t="n"/>
      <c r="Q255" s="258">
        <f>IF($A255="","",IF(Q254="","",Q254))</f>
        <v/>
      </c>
      <c r="R255" s="258">
        <f>IF($A255="","",IF(R254="","",R254))</f>
        <v/>
      </c>
      <c r="S255" s="258">
        <f>IF($A255="","",IF(S254="","",S254))</f>
        <v/>
      </c>
      <c r="T255" s="249">
        <f>IF(OR(P255="",W255=""),"",P255-W255)</f>
        <v/>
      </c>
      <c r="U255" s="258">
        <f>IF($A255="","",IF(U254="","",U254))</f>
        <v/>
      </c>
      <c r="V255" s="249">
        <f>IF(P255="","",P255+IF(Q255="",0,Q255)+IF(R255="",0,R255))</f>
        <v/>
      </c>
      <c r="W255" s="255" t="n"/>
      <c r="X255" s="249">
        <f>SUMIFS('09_CF_원금'!$E$6:$E$92,'09_CF_원금'!$D$6:$D$92,"국장",'09_CF_원금'!$A$6:$A$92,"&lt;="&amp;$A255)-SUMIFS('09_CF_원금'!$E$6:$E$92,'09_CF_원금'!$C$6:$C$92,"국장",'09_CF_원금'!$A$6:$A$92,"&lt;="&amp;$A255)</f>
        <v/>
      </c>
      <c r="Y255" s="249">
        <f>SUMIFS('09_CF_원금'!$E$6:$E$92,'09_CF_원금'!$D$6:$D$92,"미장",'09_CF_원금'!$A$6:$A$92,"&lt;="&amp;$A255)-SUMIFS('09_CF_원금'!$E$6:$E$92,'09_CF_원금'!$C$6:$C$92,"미장",'09_CF_원금'!$A$6:$A$92,"&lt;="&amp;$A255)</f>
        <v/>
      </c>
      <c r="Z255" s="249">
        <f>SUMIFS('09_CF_원금'!$E$6:$E$92,'09_CF_원금'!$D$6:$D$92,"ISA",'09_CF_원금'!$A$6:$A$92,"&lt;="&amp;$A255)-SUMIFS('09_CF_원금'!$E$6:$E$92,'09_CF_원금'!$C$6:$C$92,"ISA",'09_CF_원금'!$A$6:$A$92,"&lt;="&amp;$A255)</f>
        <v/>
      </c>
      <c r="AA255" s="249">
        <f>IF($A255="","",X255+Y255+Z255+SUMIFS('09_CF_원금'!$E$6:$E$92,'09_CF_원금'!$D$6:$D$92,"중국",'09_CF_원금'!$A$6:$A$92,"&lt;="&amp;$A255)-SUMIFS('09_CF_원금'!$E$6:$E$92,'09_CF_원금'!$C$6:$C$92,"중국",'09_CF_원금'!$A$6:$A$92,"&lt;="&amp;$A255)+SUMIFS('09_CF_원금'!$E$6:$E$92,'09_CF_원금'!$D$6:$D$92,"업비트",'09_CF_원금'!$A$6:$A$92,"&lt;="&amp;$A255)-SUMIFS('09_CF_원금'!$E$6:$E$92,'09_CF_원금'!$C$6:$C$92,"업비트",'09_CF_원금'!$A$6:$A$92,"&lt;="&amp;$A255))</f>
        <v/>
      </c>
      <c r="AB255" s="249">
        <f>IF(OR(U255="",V255=""),"",U255-(V255-IF(S255="",0,S255)))</f>
        <v/>
      </c>
      <c r="AC255" s="249">
        <f>IF(AB255="","",T255+AB255)</f>
        <v/>
      </c>
      <c r="AD255" s="249">
        <f>IF(B255="","",MAX($B$5:B255))</f>
        <v/>
      </c>
      <c r="AE255" s="256" t="n"/>
      <c r="AF255" s="255" t="n"/>
      <c r="AG255" s="255" t="n"/>
      <c r="AH255" s="255" t="n"/>
      <c r="AI255" s="255" t="n"/>
      <c r="AJ255" s="257">
        <f>IF($A255="","",YEAR($A255)*100+MONTH($A255))</f>
        <v/>
      </c>
      <c r="AK255" s="257">
        <f>IF($A255="","",IF($N255="",0,1))</f>
        <v/>
      </c>
    </row>
    <row r="256">
      <c r="A256" s="247" t="n">
        <v>46359</v>
      </c>
      <c r="B256" s="248">
        <f>IF(V256&lt;&gt;"",V256-T256,IF(AF256&lt;&gt;"",AA256+AF256,""))</f>
        <v/>
      </c>
      <c r="C256" s="249">
        <f>IF(OR(B256="",B255=""),"",B256-B255)</f>
        <v/>
      </c>
      <c r="D256" s="248">
        <f>IF(OR(B256="",AA256=""),"",B256-AA256)</f>
        <v/>
      </c>
      <c r="E256" s="250">
        <f>IF(OR(B256="",AD256=0),"",MIN(0,B256/AD256-1))</f>
        <v/>
      </c>
      <c r="F256" s="250">
        <f>IF(OR(U256="",T256=0,T256=""),"",(P256-T256*1.4)/U256)</f>
        <v/>
      </c>
      <c r="G256" s="251">
        <f>IF(OR(AC256="",'09_CF_원금'!$B$108=0),"",AC256/'09_CF_원금'!$B$108)</f>
        <v/>
      </c>
      <c r="H256" s="250">
        <f>IF(OR(U256="",U256=0,AC256=""),"",AC256/U256)</f>
        <v/>
      </c>
      <c r="I256" s="250">
        <f>IF(OR(S256="",U256=""),"",S256/(U256+S256))</f>
        <v/>
      </c>
      <c r="J256" s="248">
        <f>IF(W256&lt;&gt;"",W256-X256,IF(AG256&lt;&gt;"",AG256,""))</f>
        <v/>
      </c>
      <c r="K256" s="248">
        <f>IF(Q256&lt;&gt;"",Q256-Y256,IF(AH256&lt;&gt;"",AH256,""))</f>
        <v/>
      </c>
      <c r="L256" s="248">
        <f>IF(R256&lt;&gt;"",R256-Z256,IF(AI256&lt;&gt;"",AI256,""))</f>
        <v/>
      </c>
      <c r="M256" s="252" t="n"/>
      <c r="N256" s="253" t="n"/>
      <c r="O256" s="254" t="n"/>
      <c r="P256" s="255" t="n"/>
      <c r="Q256" s="258">
        <f>IF($A256="","",IF(Q255="","",Q255))</f>
        <v/>
      </c>
      <c r="R256" s="258">
        <f>IF($A256="","",IF(R255="","",R255))</f>
        <v/>
      </c>
      <c r="S256" s="258">
        <f>IF($A256="","",IF(S255="","",S255))</f>
        <v/>
      </c>
      <c r="T256" s="249">
        <f>IF(OR(P256="",W256=""),"",P256-W256)</f>
        <v/>
      </c>
      <c r="U256" s="258">
        <f>IF($A256="","",IF(U255="","",U255))</f>
        <v/>
      </c>
      <c r="V256" s="249">
        <f>IF(P256="","",P256+IF(Q256="",0,Q256)+IF(R256="",0,R256))</f>
        <v/>
      </c>
      <c r="W256" s="255" t="n"/>
      <c r="X256" s="249">
        <f>SUMIFS('09_CF_원금'!$E$6:$E$92,'09_CF_원금'!$D$6:$D$92,"국장",'09_CF_원금'!$A$6:$A$92,"&lt;="&amp;$A256)-SUMIFS('09_CF_원금'!$E$6:$E$92,'09_CF_원금'!$C$6:$C$92,"국장",'09_CF_원금'!$A$6:$A$92,"&lt;="&amp;$A256)</f>
        <v/>
      </c>
      <c r="Y256" s="249">
        <f>SUMIFS('09_CF_원금'!$E$6:$E$92,'09_CF_원금'!$D$6:$D$92,"미장",'09_CF_원금'!$A$6:$A$92,"&lt;="&amp;$A256)-SUMIFS('09_CF_원금'!$E$6:$E$92,'09_CF_원금'!$C$6:$C$92,"미장",'09_CF_원금'!$A$6:$A$92,"&lt;="&amp;$A256)</f>
        <v/>
      </c>
      <c r="Z256" s="249">
        <f>SUMIFS('09_CF_원금'!$E$6:$E$92,'09_CF_원금'!$D$6:$D$92,"ISA",'09_CF_원금'!$A$6:$A$92,"&lt;="&amp;$A256)-SUMIFS('09_CF_원금'!$E$6:$E$92,'09_CF_원금'!$C$6:$C$92,"ISA",'09_CF_원금'!$A$6:$A$92,"&lt;="&amp;$A256)</f>
        <v/>
      </c>
      <c r="AA256" s="249">
        <f>IF($A256="","",X256+Y256+Z256+SUMIFS('09_CF_원금'!$E$6:$E$92,'09_CF_원금'!$D$6:$D$92,"중국",'09_CF_원금'!$A$6:$A$92,"&lt;="&amp;$A256)-SUMIFS('09_CF_원금'!$E$6:$E$92,'09_CF_원금'!$C$6:$C$92,"중국",'09_CF_원금'!$A$6:$A$92,"&lt;="&amp;$A256)+SUMIFS('09_CF_원금'!$E$6:$E$92,'09_CF_원금'!$D$6:$D$92,"업비트",'09_CF_원금'!$A$6:$A$92,"&lt;="&amp;$A256)-SUMIFS('09_CF_원금'!$E$6:$E$92,'09_CF_원금'!$C$6:$C$92,"업비트",'09_CF_원금'!$A$6:$A$92,"&lt;="&amp;$A256))</f>
        <v/>
      </c>
      <c r="AB256" s="249">
        <f>IF(OR(U256="",V256=""),"",U256-(V256-IF(S256="",0,S256)))</f>
        <v/>
      </c>
      <c r="AC256" s="249">
        <f>IF(AB256="","",T256+AB256)</f>
        <v/>
      </c>
      <c r="AD256" s="249">
        <f>IF(B256="","",MAX($B$5:B256))</f>
        <v/>
      </c>
      <c r="AE256" s="256" t="n"/>
      <c r="AF256" s="255" t="n"/>
      <c r="AG256" s="255" t="n"/>
      <c r="AH256" s="255" t="n"/>
      <c r="AI256" s="255" t="n"/>
      <c r="AJ256" s="257">
        <f>IF($A256="","",YEAR($A256)*100+MONTH($A256))</f>
        <v/>
      </c>
      <c r="AK256" s="257">
        <f>IF($A256="","",IF($N256="",0,1))</f>
        <v/>
      </c>
    </row>
    <row r="257">
      <c r="A257" s="247" t="n">
        <v>46360</v>
      </c>
      <c r="B257" s="248">
        <f>IF(V257&lt;&gt;"",V257-T257,IF(AF257&lt;&gt;"",AA257+AF257,""))</f>
        <v/>
      </c>
      <c r="C257" s="249">
        <f>IF(OR(B257="",B256=""),"",B257-B256)</f>
        <v/>
      </c>
      <c r="D257" s="248">
        <f>IF(OR(B257="",AA257=""),"",B257-AA257)</f>
        <v/>
      </c>
      <c r="E257" s="250">
        <f>IF(OR(B257="",AD257=0),"",MIN(0,B257/AD257-1))</f>
        <v/>
      </c>
      <c r="F257" s="250">
        <f>IF(OR(U257="",T257=0,T257=""),"",(P257-T257*1.4)/U257)</f>
        <v/>
      </c>
      <c r="G257" s="251">
        <f>IF(OR(AC257="",'09_CF_원금'!$B$108=0),"",AC257/'09_CF_원금'!$B$108)</f>
        <v/>
      </c>
      <c r="H257" s="250">
        <f>IF(OR(U257="",U257=0,AC257=""),"",AC257/U257)</f>
        <v/>
      </c>
      <c r="I257" s="250">
        <f>IF(OR(S257="",U257=""),"",S257/(U257+S257))</f>
        <v/>
      </c>
      <c r="J257" s="248">
        <f>IF(W257&lt;&gt;"",W257-X257,IF(AG257&lt;&gt;"",AG257,""))</f>
        <v/>
      </c>
      <c r="K257" s="248">
        <f>IF(Q257&lt;&gt;"",Q257-Y257,IF(AH257&lt;&gt;"",AH257,""))</f>
        <v/>
      </c>
      <c r="L257" s="248">
        <f>IF(R257&lt;&gt;"",R257-Z257,IF(AI257&lt;&gt;"",AI257,""))</f>
        <v/>
      </c>
      <c r="M257" s="252" t="n"/>
      <c r="N257" s="253" t="n"/>
      <c r="O257" s="254" t="n"/>
      <c r="P257" s="255" t="n"/>
      <c r="Q257" s="258">
        <f>IF($A257="","",IF(Q256="","",Q256))</f>
        <v/>
      </c>
      <c r="R257" s="258">
        <f>IF($A257="","",IF(R256="","",R256))</f>
        <v/>
      </c>
      <c r="S257" s="258">
        <f>IF($A257="","",IF(S256="","",S256))</f>
        <v/>
      </c>
      <c r="T257" s="249">
        <f>IF(OR(P257="",W257=""),"",P257-W257)</f>
        <v/>
      </c>
      <c r="U257" s="258">
        <f>IF($A257="","",IF(U256="","",U256))</f>
        <v/>
      </c>
      <c r="V257" s="249">
        <f>IF(P257="","",P257+IF(Q257="",0,Q257)+IF(R257="",0,R257))</f>
        <v/>
      </c>
      <c r="W257" s="255" t="n"/>
      <c r="X257" s="249">
        <f>SUMIFS('09_CF_원금'!$E$6:$E$92,'09_CF_원금'!$D$6:$D$92,"국장",'09_CF_원금'!$A$6:$A$92,"&lt;="&amp;$A257)-SUMIFS('09_CF_원금'!$E$6:$E$92,'09_CF_원금'!$C$6:$C$92,"국장",'09_CF_원금'!$A$6:$A$92,"&lt;="&amp;$A257)</f>
        <v/>
      </c>
      <c r="Y257" s="249">
        <f>SUMIFS('09_CF_원금'!$E$6:$E$92,'09_CF_원금'!$D$6:$D$92,"미장",'09_CF_원금'!$A$6:$A$92,"&lt;="&amp;$A257)-SUMIFS('09_CF_원금'!$E$6:$E$92,'09_CF_원금'!$C$6:$C$92,"미장",'09_CF_원금'!$A$6:$A$92,"&lt;="&amp;$A257)</f>
        <v/>
      </c>
      <c r="Z257" s="249">
        <f>SUMIFS('09_CF_원금'!$E$6:$E$92,'09_CF_원금'!$D$6:$D$92,"ISA",'09_CF_원금'!$A$6:$A$92,"&lt;="&amp;$A257)-SUMIFS('09_CF_원금'!$E$6:$E$92,'09_CF_원금'!$C$6:$C$92,"ISA",'09_CF_원금'!$A$6:$A$92,"&lt;="&amp;$A257)</f>
        <v/>
      </c>
      <c r="AA257" s="249">
        <f>IF($A257="","",X257+Y257+Z257+SUMIFS('09_CF_원금'!$E$6:$E$92,'09_CF_원금'!$D$6:$D$92,"중국",'09_CF_원금'!$A$6:$A$92,"&lt;="&amp;$A257)-SUMIFS('09_CF_원금'!$E$6:$E$92,'09_CF_원금'!$C$6:$C$92,"중국",'09_CF_원금'!$A$6:$A$92,"&lt;="&amp;$A257)+SUMIFS('09_CF_원금'!$E$6:$E$92,'09_CF_원금'!$D$6:$D$92,"업비트",'09_CF_원금'!$A$6:$A$92,"&lt;="&amp;$A257)-SUMIFS('09_CF_원금'!$E$6:$E$92,'09_CF_원금'!$C$6:$C$92,"업비트",'09_CF_원금'!$A$6:$A$92,"&lt;="&amp;$A257))</f>
        <v/>
      </c>
      <c r="AB257" s="249">
        <f>IF(OR(U257="",V257=""),"",U257-(V257-IF(S257="",0,S257)))</f>
        <v/>
      </c>
      <c r="AC257" s="249">
        <f>IF(AB257="","",T257+AB257)</f>
        <v/>
      </c>
      <c r="AD257" s="249">
        <f>IF(B257="","",MAX($B$5:B257))</f>
        <v/>
      </c>
      <c r="AE257" s="256" t="n"/>
      <c r="AF257" s="255" t="n"/>
      <c r="AG257" s="255" t="n"/>
      <c r="AH257" s="255" t="n"/>
      <c r="AI257" s="255" t="n"/>
      <c r="AJ257" s="257">
        <f>IF($A257="","",YEAR($A257)*100+MONTH($A257))</f>
        <v/>
      </c>
      <c r="AK257" s="257">
        <f>IF($A257="","",IF($N257="",0,1))</f>
        <v/>
      </c>
    </row>
    <row r="258">
      <c r="A258" s="247" t="n">
        <v>46363</v>
      </c>
      <c r="B258" s="248">
        <f>IF(V258&lt;&gt;"",V258-T258,IF(AF258&lt;&gt;"",AA258+AF258,""))</f>
        <v/>
      </c>
      <c r="C258" s="249">
        <f>IF(OR(B258="",B257=""),"",B258-B257)</f>
        <v/>
      </c>
      <c r="D258" s="248">
        <f>IF(OR(B258="",AA258=""),"",B258-AA258)</f>
        <v/>
      </c>
      <c r="E258" s="250">
        <f>IF(OR(B258="",AD258=0),"",MIN(0,B258/AD258-1))</f>
        <v/>
      </c>
      <c r="F258" s="250">
        <f>IF(OR(U258="",T258=0,T258=""),"",(P258-T258*1.4)/U258)</f>
        <v/>
      </c>
      <c r="G258" s="251">
        <f>IF(OR(AC258="",'09_CF_원금'!$B$108=0),"",AC258/'09_CF_원금'!$B$108)</f>
        <v/>
      </c>
      <c r="H258" s="250">
        <f>IF(OR(U258="",U258=0,AC258=""),"",AC258/U258)</f>
        <v/>
      </c>
      <c r="I258" s="250">
        <f>IF(OR(S258="",U258=""),"",S258/(U258+S258))</f>
        <v/>
      </c>
      <c r="J258" s="248">
        <f>IF(W258&lt;&gt;"",W258-X258,IF(AG258&lt;&gt;"",AG258,""))</f>
        <v/>
      </c>
      <c r="K258" s="248">
        <f>IF(Q258&lt;&gt;"",Q258-Y258,IF(AH258&lt;&gt;"",AH258,""))</f>
        <v/>
      </c>
      <c r="L258" s="248">
        <f>IF(R258&lt;&gt;"",R258-Z258,IF(AI258&lt;&gt;"",AI258,""))</f>
        <v/>
      </c>
      <c r="M258" s="252" t="n"/>
      <c r="N258" s="253" t="n"/>
      <c r="O258" s="254" t="n"/>
      <c r="P258" s="255" t="n"/>
      <c r="Q258" s="258">
        <f>IF($A258="","",IF(Q257="","",Q257))</f>
        <v/>
      </c>
      <c r="R258" s="258">
        <f>IF($A258="","",IF(R257="","",R257))</f>
        <v/>
      </c>
      <c r="S258" s="258">
        <f>IF($A258="","",IF(S257="","",S257))</f>
        <v/>
      </c>
      <c r="T258" s="249">
        <f>IF(OR(P258="",W258=""),"",P258-W258)</f>
        <v/>
      </c>
      <c r="U258" s="258">
        <f>IF($A258="","",IF(U257="","",U257))</f>
        <v/>
      </c>
      <c r="V258" s="249">
        <f>IF(P258="","",P258+IF(Q258="",0,Q258)+IF(R258="",0,R258))</f>
        <v/>
      </c>
      <c r="W258" s="255" t="n"/>
      <c r="X258" s="249">
        <f>SUMIFS('09_CF_원금'!$E$6:$E$92,'09_CF_원금'!$D$6:$D$92,"국장",'09_CF_원금'!$A$6:$A$92,"&lt;="&amp;$A258)-SUMIFS('09_CF_원금'!$E$6:$E$92,'09_CF_원금'!$C$6:$C$92,"국장",'09_CF_원금'!$A$6:$A$92,"&lt;="&amp;$A258)</f>
        <v/>
      </c>
      <c r="Y258" s="249">
        <f>SUMIFS('09_CF_원금'!$E$6:$E$92,'09_CF_원금'!$D$6:$D$92,"미장",'09_CF_원금'!$A$6:$A$92,"&lt;="&amp;$A258)-SUMIFS('09_CF_원금'!$E$6:$E$92,'09_CF_원금'!$C$6:$C$92,"미장",'09_CF_원금'!$A$6:$A$92,"&lt;="&amp;$A258)</f>
        <v/>
      </c>
      <c r="Z258" s="249">
        <f>SUMIFS('09_CF_원금'!$E$6:$E$92,'09_CF_원금'!$D$6:$D$92,"ISA",'09_CF_원금'!$A$6:$A$92,"&lt;="&amp;$A258)-SUMIFS('09_CF_원금'!$E$6:$E$92,'09_CF_원금'!$C$6:$C$92,"ISA",'09_CF_원금'!$A$6:$A$92,"&lt;="&amp;$A258)</f>
        <v/>
      </c>
      <c r="AA258" s="249">
        <f>IF($A258="","",X258+Y258+Z258+SUMIFS('09_CF_원금'!$E$6:$E$92,'09_CF_원금'!$D$6:$D$92,"중국",'09_CF_원금'!$A$6:$A$92,"&lt;="&amp;$A258)-SUMIFS('09_CF_원금'!$E$6:$E$92,'09_CF_원금'!$C$6:$C$92,"중국",'09_CF_원금'!$A$6:$A$92,"&lt;="&amp;$A258)+SUMIFS('09_CF_원금'!$E$6:$E$92,'09_CF_원금'!$D$6:$D$92,"업비트",'09_CF_원금'!$A$6:$A$92,"&lt;="&amp;$A258)-SUMIFS('09_CF_원금'!$E$6:$E$92,'09_CF_원금'!$C$6:$C$92,"업비트",'09_CF_원금'!$A$6:$A$92,"&lt;="&amp;$A258))</f>
        <v/>
      </c>
      <c r="AB258" s="249">
        <f>IF(OR(U258="",V258=""),"",U258-(V258-IF(S258="",0,S258)))</f>
        <v/>
      </c>
      <c r="AC258" s="249">
        <f>IF(AB258="","",T258+AB258)</f>
        <v/>
      </c>
      <c r="AD258" s="249">
        <f>IF(B258="","",MAX($B$5:B258))</f>
        <v/>
      </c>
      <c r="AE258" s="256" t="n"/>
      <c r="AF258" s="255" t="n"/>
      <c r="AG258" s="255" t="n"/>
      <c r="AH258" s="255" t="n"/>
      <c r="AI258" s="255" t="n"/>
      <c r="AJ258" s="257">
        <f>IF($A258="","",YEAR($A258)*100+MONTH($A258))</f>
        <v/>
      </c>
      <c r="AK258" s="257">
        <f>IF($A258="","",IF($N258="",0,1))</f>
        <v/>
      </c>
    </row>
    <row r="259">
      <c r="A259" s="247" t="n">
        <v>46364</v>
      </c>
      <c r="B259" s="248">
        <f>IF(V259&lt;&gt;"",V259-T259,IF(AF259&lt;&gt;"",AA259+AF259,""))</f>
        <v/>
      </c>
      <c r="C259" s="249">
        <f>IF(OR(B259="",B258=""),"",B259-B258)</f>
        <v/>
      </c>
      <c r="D259" s="248">
        <f>IF(OR(B259="",AA259=""),"",B259-AA259)</f>
        <v/>
      </c>
      <c r="E259" s="250">
        <f>IF(OR(B259="",AD259=0),"",MIN(0,B259/AD259-1))</f>
        <v/>
      </c>
      <c r="F259" s="250">
        <f>IF(OR(U259="",T259=0,T259=""),"",(P259-T259*1.4)/U259)</f>
        <v/>
      </c>
      <c r="G259" s="251">
        <f>IF(OR(AC259="",'09_CF_원금'!$B$108=0),"",AC259/'09_CF_원금'!$B$108)</f>
        <v/>
      </c>
      <c r="H259" s="250">
        <f>IF(OR(U259="",U259=0,AC259=""),"",AC259/U259)</f>
        <v/>
      </c>
      <c r="I259" s="250">
        <f>IF(OR(S259="",U259=""),"",S259/(U259+S259))</f>
        <v/>
      </c>
      <c r="J259" s="248">
        <f>IF(W259&lt;&gt;"",W259-X259,IF(AG259&lt;&gt;"",AG259,""))</f>
        <v/>
      </c>
      <c r="K259" s="248">
        <f>IF(Q259&lt;&gt;"",Q259-Y259,IF(AH259&lt;&gt;"",AH259,""))</f>
        <v/>
      </c>
      <c r="L259" s="248">
        <f>IF(R259&lt;&gt;"",R259-Z259,IF(AI259&lt;&gt;"",AI259,""))</f>
        <v/>
      </c>
      <c r="M259" s="252" t="n"/>
      <c r="N259" s="253" t="n"/>
      <c r="O259" s="254" t="n"/>
      <c r="P259" s="255" t="n"/>
      <c r="Q259" s="258">
        <f>IF($A259="","",IF(Q258="","",Q258))</f>
        <v/>
      </c>
      <c r="R259" s="258">
        <f>IF($A259="","",IF(R258="","",R258))</f>
        <v/>
      </c>
      <c r="S259" s="258">
        <f>IF($A259="","",IF(S258="","",S258))</f>
        <v/>
      </c>
      <c r="T259" s="249">
        <f>IF(OR(P259="",W259=""),"",P259-W259)</f>
        <v/>
      </c>
      <c r="U259" s="258">
        <f>IF($A259="","",IF(U258="","",U258))</f>
        <v/>
      </c>
      <c r="V259" s="249">
        <f>IF(P259="","",P259+IF(Q259="",0,Q259)+IF(R259="",0,R259))</f>
        <v/>
      </c>
      <c r="W259" s="255" t="n"/>
      <c r="X259" s="249">
        <f>SUMIFS('09_CF_원금'!$E$6:$E$92,'09_CF_원금'!$D$6:$D$92,"국장",'09_CF_원금'!$A$6:$A$92,"&lt;="&amp;$A259)-SUMIFS('09_CF_원금'!$E$6:$E$92,'09_CF_원금'!$C$6:$C$92,"국장",'09_CF_원금'!$A$6:$A$92,"&lt;="&amp;$A259)</f>
        <v/>
      </c>
      <c r="Y259" s="249">
        <f>SUMIFS('09_CF_원금'!$E$6:$E$92,'09_CF_원금'!$D$6:$D$92,"미장",'09_CF_원금'!$A$6:$A$92,"&lt;="&amp;$A259)-SUMIFS('09_CF_원금'!$E$6:$E$92,'09_CF_원금'!$C$6:$C$92,"미장",'09_CF_원금'!$A$6:$A$92,"&lt;="&amp;$A259)</f>
        <v/>
      </c>
      <c r="Z259" s="249">
        <f>SUMIFS('09_CF_원금'!$E$6:$E$92,'09_CF_원금'!$D$6:$D$92,"ISA",'09_CF_원금'!$A$6:$A$92,"&lt;="&amp;$A259)-SUMIFS('09_CF_원금'!$E$6:$E$92,'09_CF_원금'!$C$6:$C$92,"ISA",'09_CF_원금'!$A$6:$A$92,"&lt;="&amp;$A259)</f>
        <v/>
      </c>
      <c r="AA259" s="249">
        <f>IF($A259="","",X259+Y259+Z259+SUMIFS('09_CF_원금'!$E$6:$E$92,'09_CF_원금'!$D$6:$D$92,"중국",'09_CF_원금'!$A$6:$A$92,"&lt;="&amp;$A259)-SUMIFS('09_CF_원금'!$E$6:$E$92,'09_CF_원금'!$C$6:$C$92,"중국",'09_CF_원금'!$A$6:$A$92,"&lt;="&amp;$A259)+SUMIFS('09_CF_원금'!$E$6:$E$92,'09_CF_원금'!$D$6:$D$92,"업비트",'09_CF_원금'!$A$6:$A$92,"&lt;="&amp;$A259)-SUMIFS('09_CF_원금'!$E$6:$E$92,'09_CF_원금'!$C$6:$C$92,"업비트",'09_CF_원금'!$A$6:$A$92,"&lt;="&amp;$A259))</f>
        <v/>
      </c>
      <c r="AB259" s="249">
        <f>IF(OR(U259="",V259=""),"",U259-(V259-IF(S259="",0,S259)))</f>
        <v/>
      </c>
      <c r="AC259" s="249">
        <f>IF(AB259="","",T259+AB259)</f>
        <v/>
      </c>
      <c r="AD259" s="249">
        <f>IF(B259="","",MAX($B$5:B259))</f>
        <v/>
      </c>
      <c r="AE259" s="256" t="n"/>
      <c r="AF259" s="255" t="n"/>
      <c r="AG259" s="255" t="n"/>
      <c r="AH259" s="255" t="n"/>
      <c r="AI259" s="255" t="n"/>
      <c r="AJ259" s="257">
        <f>IF($A259="","",YEAR($A259)*100+MONTH($A259))</f>
        <v/>
      </c>
      <c r="AK259" s="257">
        <f>IF($A259="","",IF($N259="",0,1))</f>
        <v/>
      </c>
    </row>
    <row r="260">
      <c r="A260" s="247" t="n">
        <v>46365</v>
      </c>
      <c r="B260" s="248">
        <f>IF(V260&lt;&gt;"",V260-T260,IF(AF260&lt;&gt;"",AA260+AF260,""))</f>
        <v/>
      </c>
      <c r="C260" s="249">
        <f>IF(OR(B260="",B259=""),"",B260-B259)</f>
        <v/>
      </c>
      <c r="D260" s="248">
        <f>IF(OR(B260="",AA260=""),"",B260-AA260)</f>
        <v/>
      </c>
      <c r="E260" s="250">
        <f>IF(OR(B260="",AD260=0),"",MIN(0,B260/AD260-1))</f>
        <v/>
      </c>
      <c r="F260" s="250">
        <f>IF(OR(U260="",T260=0,T260=""),"",(P260-T260*1.4)/U260)</f>
        <v/>
      </c>
      <c r="G260" s="251">
        <f>IF(OR(AC260="",'09_CF_원금'!$B$108=0),"",AC260/'09_CF_원금'!$B$108)</f>
        <v/>
      </c>
      <c r="H260" s="250">
        <f>IF(OR(U260="",U260=0,AC260=""),"",AC260/U260)</f>
        <v/>
      </c>
      <c r="I260" s="250">
        <f>IF(OR(S260="",U260=""),"",S260/(U260+S260))</f>
        <v/>
      </c>
      <c r="J260" s="248">
        <f>IF(W260&lt;&gt;"",W260-X260,IF(AG260&lt;&gt;"",AG260,""))</f>
        <v/>
      </c>
      <c r="K260" s="248">
        <f>IF(Q260&lt;&gt;"",Q260-Y260,IF(AH260&lt;&gt;"",AH260,""))</f>
        <v/>
      </c>
      <c r="L260" s="248">
        <f>IF(R260&lt;&gt;"",R260-Z260,IF(AI260&lt;&gt;"",AI260,""))</f>
        <v/>
      </c>
      <c r="M260" s="252" t="n"/>
      <c r="N260" s="253" t="n"/>
      <c r="O260" s="254" t="n"/>
      <c r="P260" s="255" t="n"/>
      <c r="Q260" s="258">
        <f>IF($A260="","",IF(Q259="","",Q259))</f>
        <v/>
      </c>
      <c r="R260" s="258">
        <f>IF($A260="","",IF(R259="","",R259))</f>
        <v/>
      </c>
      <c r="S260" s="258">
        <f>IF($A260="","",IF(S259="","",S259))</f>
        <v/>
      </c>
      <c r="T260" s="249">
        <f>IF(OR(P260="",W260=""),"",P260-W260)</f>
        <v/>
      </c>
      <c r="U260" s="258">
        <f>IF($A260="","",IF(U259="","",U259))</f>
        <v/>
      </c>
      <c r="V260" s="249">
        <f>IF(P260="","",P260+IF(Q260="",0,Q260)+IF(R260="",0,R260))</f>
        <v/>
      </c>
      <c r="W260" s="255" t="n"/>
      <c r="X260" s="249">
        <f>SUMIFS('09_CF_원금'!$E$6:$E$92,'09_CF_원금'!$D$6:$D$92,"국장",'09_CF_원금'!$A$6:$A$92,"&lt;="&amp;$A260)-SUMIFS('09_CF_원금'!$E$6:$E$92,'09_CF_원금'!$C$6:$C$92,"국장",'09_CF_원금'!$A$6:$A$92,"&lt;="&amp;$A260)</f>
        <v/>
      </c>
      <c r="Y260" s="249">
        <f>SUMIFS('09_CF_원금'!$E$6:$E$92,'09_CF_원금'!$D$6:$D$92,"미장",'09_CF_원금'!$A$6:$A$92,"&lt;="&amp;$A260)-SUMIFS('09_CF_원금'!$E$6:$E$92,'09_CF_원금'!$C$6:$C$92,"미장",'09_CF_원금'!$A$6:$A$92,"&lt;="&amp;$A260)</f>
        <v/>
      </c>
      <c r="Z260" s="249">
        <f>SUMIFS('09_CF_원금'!$E$6:$E$92,'09_CF_원금'!$D$6:$D$92,"ISA",'09_CF_원금'!$A$6:$A$92,"&lt;="&amp;$A260)-SUMIFS('09_CF_원금'!$E$6:$E$92,'09_CF_원금'!$C$6:$C$92,"ISA",'09_CF_원금'!$A$6:$A$92,"&lt;="&amp;$A260)</f>
        <v/>
      </c>
      <c r="AA260" s="249">
        <f>IF($A260="","",X260+Y260+Z260+SUMIFS('09_CF_원금'!$E$6:$E$92,'09_CF_원금'!$D$6:$D$92,"중국",'09_CF_원금'!$A$6:$A$92,"&lt;="&amp;$A260)-SUMIFS('09_CF_원금'!$E$6:$E$92,'09_CF_원금'!$C$6:$C$92,"중국",'09_CF_원금'!$A$6:$A$92,"&lt;="&amp;$A260)+SUMIFS('09_CF_원금'!$E$6:$E$92,'09_CF_원금'!$D$6:$D$92,"업비트",'09_CF_원금'!$A$6:$A$92,"&lt;="&amp;$A260)-SUMIFS('09_CF_원금'!$E$6:$E$92,'09_CF_원금'!$C$6:$C$92,"업비트",'09_CF_원금'!$A$6:$A$92,"&lt;="&amp;$A260))</f>
        <v/>
      </c>
      <c r="AB260" s="249">
        <f>IF(OR(U260="",V260=""),"",U260-(V260-IF(S260="",0,S260)))</f>
        <v/>
      </c>
      <c r="AC260" s="249">
        <f>IF(AB260="","",T260+AB260)</f>
        <v/>
      </c>
      <c r="AD260" s="249">
        <f>IF(B260="","",MAX($B$5:B260))</f>
        <v/>
      </c>
      <c r="AE260" s="256" t="n"/>
      <c r="AF260" s="255" t="n"/>
      <c r="AG260" s="255" t="n"/>
      <c r="AH260" s="255" t="n"/>
      <c r="AI260" s="255" t="n"/>
      <c r="AJ260" s="257">
        <f>IF($A260="","",YEAR($A260)*100+MONTH($A260))</f>
        <v/>
      </c>
      <c r="AK260" s="257">
        <f>IF($A260="","",IF($N260="",0,1))</f>
        <v/>
      </c>
    </row>
    <row r="261">
      <c r="A261" s="247" t="n">
        <v>46366</v>
      </c>
      <c r="B261" s="248">
        <f>IF(V261&lt;&gt;"",V261-T261,IF(AF261&lt;&gt;"",AA261+AF261,""))</f>
        <v/>
      </c>
      <c r="C261" s="249">
        <f>IF(OR(B261="",B260=""),"",B261-B260)</f>
        <v/>
      </c>
      <c r="D261" s="248">
        <f>IF(OR(B261="",AA261=""),"",B261-AA261)</f>
        <v/>
      </c>
      <c r="E261" s="250">
        <f>IF(OR(B261="",AD261=0),"",MIN(0,B261/AD261-1))</f>
        <v/>
      </c>
      <c r="F261" s="250">
        <f>IF(OR(U261="",T261=0,T261=""),"",(P261-T261*1.4)/U261)</f>
        <v/>
      </c>
      <c r="G261" s="251">
        <f>IF(OR(AC261="",'09_CF_원금'!$B$108=0),"",AC261/'09_CF_원금'!$B$108)</f>
        <v/>
      </c>
      <c r="H261" s="250">
        <f>IF(OR(U261="",U261=0,AC261=""),"",AC261/U261)</f>
        <v/>
      </c>
      <c r="I261" s="250">
        <f>IF(OR(S261="",U261=""),"",S261/(U261+S261))</f>
        <v/>
      </c>
      <c r="J261" s="248">
        <f>IF(W261&lt;&gt;"",W261-X261,IF(AG261&lt;&gt;"",AG261,""))</f>
        <v/>
      </c>
      <c r="K261" s="248">
        <f>IF(Q261&lt;&gt;"",Q261-Y261,IF(AH261&lt;&gt;"",AH261,""))</f>
        <v/>
      </c>
      <c r="L261" s="248">
        <f>IF(R261&lt;&gt;"",R261-Z261,IF(AI261&lt;&gt;"",AI261,""))</f>
        <v/>
      </c>
      <c r="M261" s="252" t="n"/>
      <c r="N261" s="253" t="n"/>
      <c r="O261" s="254" t="n"/>
      <c r="P261" s="255" t="n"/>
      <c r="Q261" s="258">
        <f>IF($A261="","",IF(Q260="","",Q260))</f>
        <v/>
      </c>
      <c r="R261" s="258">
        <f>IF($A261="","",IF(R260="","",R260))</f>
        <v/>
      </c>
      <c r="S261" s="258">
        <f>IF($A261="","",IF(S260="","",S260))</f>
        <v/>
      </c>
      <c r="T261" s="249">
        <f>IF(OR(P261="",W261=""),"",P261-W261)</f>
        <v/>
      </c>
      <c r="U261" s="258">
        <f>IF($A261="","",IF(U260="","",U260))</f>
        <v/>
      </c>
      <c r="V261" s="249">
        <f>IF(P261="","",P261+IF(Q261="",0,Q261)+IF(R261="",0,R261))</f>
        <v/>
      </c>
      <c r="W261" s="255" t="n"/>
      <c r="X261" s="249">
        <f>SUMIFS('09_CF_원금'!$E$6:$E$92,'09_CF_원금'!$D$6:$D$92,"국장",'09_CF_원금'!$A$6:$A$92,"&lt;="&amp;$A261)-SUMIFS('09_CF_원금'!$E$6:$E$92,'09_CF_원금'!$C$6:$C$92,"국장",'09_CF_원금'!$A$6:$A$92,"&lt;="&amp;$A261)</f>
        <v/>
      </c>
      <c r="Y261" s="249">
        <f>SUMIFS('09_CF_원금'!$E$6:$E$92,'09_CF_원금'!$D$6:$D$92,"미장",'09_CF_원금'!$A$6:$A$92,"&lt;="&amp;$A261)-SUMIFS('09_CF_원금'!$E$6:$E$92,'09_CF_원금'!$C$6:$C$92,"미장",'09_CF_원금'!$A$6:$A$92,"&lt;="&amp;$A261)</f>
        <v/>
      </c>
      <c r="Z261" s="249">
        <f>SUMIFS('09_CF_원금'!$E$6:$E$92,'09_CF_원금'!$D$6:$D$92,"ISA",'09_CF_원금'!$A$6:$A$92,"&lt;="&amp;$A261)-SUMIFS('09_CF_원금'!$E$6:$E$92,'09_CF_원금'!$C$6:$C$92,"ISA",'09_CF_원금'!$A$6:$A$92,"&lt;="&amp;$A261)</f>
        <v/>
      </c>
      <c r="AA261" s="249">
        <f>IF($A261="","",X261+Y261+Z261+SUMIFS('09_CF_원금'!$E$6:$E$92,'09_CF_원금'!$D$6:$D$92,"중국",'09_CF_원금'!$A$6:$A$92,"&lt;="&amp;$A261)-SUMIFS('09_CF_원금'!$E$6:$E$92,'09_CF_원금'!$C$6:$C$92,"중국",'09_CF_원금'!$A$6:$A$92,"&lt;="&amp;$A261)+SUMIFS('09_CF_원금'!$E$6:$E$92,'09_CF_원금'!$D$6:$D$92,"업비트",'09_CF_원금'!$A$6:$A$92,"&lt;="&amp;$A261)-SUMIFS('09_CF_원금'!$E$6:$E$92,'09_CF_원금'!$C$6:$C$92,"업비트",'09_CF_원금'!$A$6:$A$92,"&lt;="&amp;$A261))</f>
        <v/>
      </c>
      <c r="AB261" s="249">
        <f>IF(OR(U261="",V261=""),"",U261-(V261-IF(S261="",0,S261)))</f>
        <v/>
      </c>
      <c r="AC261" s="249">
        <f>IF(AB261="","",T261+AB261)</f>
        <v/>
      </c>
      <c r="AD261" s="249">
        <f>IF(B261="","",MAX($B$5:B261))</f>
        <v/>
      </c>
      <c r="AE261" s="256" t="n"/>
      <c r="AF261" s="255" t="n"/>
      <c r="AG261" s="255" t="n"/>
      <c r="AH261" s="255" t="n"/>
      <c r="AI261" s="255" t="n"/>
      <c r="AJ261" s="257">
        <f>IF($A261="","",YEAR($A261)*100+MONTH($A261))</f>
        <v/>
      </c>
      <c r="AK261" s="257">
        <f>IF($A261="","",IF($N261="",0,1))</f>
        <v/>
      </c>
    </row>
    <row r="262">
      <c r="A262" s="247" t="n">
        <v>46367</v>
      </c>
      <c r="B262" s="248">
        <f>IF(V262&lt;&gt;"",V262-T262,IF(AF262&lt;&gt;"",AA262+AF262,""))</f>
        <v/>
      </c>
      <c r="C262" s="249">
        <f>IF(OR(B262="",B261=""),"",B262-B261)</f>
        <v/>
      </c>
      <c r="D262" s="248">
        <f>IF(OR(B262="",AA262=""),"",B262-AA262)</f>
        <v/>
      </c>
      <c r="E262" s="250">
        <f>IF(OR(B262="",AD262=0),"",MIN(0,B262/AD262-1))</f>
        <v/>
      </c>
      <c r="F262" s="250">
        <f>IF(OR(U262="",T262=0,T262=""),"",(P262-T262*1.4)/U262)</f>
        <v/>
      </c>
      <c r="G262" s="251">
        <f>IF(OR(AC262="",'09_CF_원금'!$B$108=0),"",AC262/'09_CF_원금'!$B$108)</f>
        <v/>
      </c>
      <c r="H262" s="250">
        <f>IF(OR(U262="",U262=0,AC262=""),"",AC262/U262)</f>
        <v/>
      </c>
      <c r="I262" s="250">
        <f>IF(OR(S262="",U262=""),"",S262/(U262+S262))</f>
        <v/>
      </c>
      <c r="J262" s="248">
        <f>IF(W262&lt;&gt;"",W262-X262,IF(AG262&lt;&gt;"",AG262,""))</f>
        <v/>
      </c>
      <c r="K262" s="248">
        <f>IF(Q262&lt;&gt;"",Q262-Y262,IF(AH262&lt;&gt;"",AH262,""))</f>
        <v/>
      </c>
      <c r="L262" s="248">
        <f>IF(R262&lt;&gt;"",R262-Z262,IF(AI262&lt;&gt;"",AI262,""))</f>
        <v/>
      </c>
      <c r="M262" s="252" t="n"/>
      <c r="N262" s="253" t="n"/>
      <c r="O262" s="254" t="n"/>
      <c r="P262" s="255" t="n"/>
      <c r="Q262" s="258">
        <f>IF($A262="","",IF(Q261="","",Q261))</f>
        <v/>
      </c>
      <c r="R262" s="258">
        <f>IF($A262="","",IF(R261="","",R261))</f>
        <v/>
      </c>
      <c r="S262" s="258">
        <f>IF($A262="","",IF(S261="","",S261))</f>
        <v/>
      </c>
      <c r="T262" s="249">
        <f>IF(OR(P262="",W262=""),"",P262-W262)</f>
        <v/>
      </c>
      <c r="U262" s="258">
        <f>IF($A262="","",IF(U261="","",U261))</f>
        <v/>
      </c>
      <c r="V262" s="249">
        <f>IF(P262="","",P262+IF(Q262="",0,Q262)+IF(R262="",0,R262))</f>
        <v/>
      </c>
      <c r="W262" s="255" t="n"/>
      <c r="X262" s="249">
        <f>SUMIFS('09_CF_원금'!$E$6:$E$92,'09_CF_원금'!$D$6:$D$92,"국장",'09_CF_원금'!$A$6:$A$92,"&lt;="&amp;$A262)-SUMIFS('09_CF_원금'!$E$6:$E$92,'09_CF_원금'!$C$6:$C$92,"국장",'09_CF_원금'!$A$6:$A$92,"&lt;="&amp;$A262)</f>
        <v/>
      </c>
      <c r="Y262" s="249">
        <f>SUMIFS('09_CF_원금'!$E$6:$E$92,'09_CF_원금'!$D$6:$D$92,"미장",'09_CF_원금'!$A$6:$A$92,"&lt;="&amp;$A262)-SUMIFS('09_CF_원금'!$E$6:$E$92,'09_CF_원금'!$C$6:$C$92,"미장",'09_CF_원금'!$A$6:$A$92,"&lt;="&amp;$A262)</f>
        <v/>
      </c>
      <c r="Z262" s="249">
        <f>SUMIFS('09_CF_원금'!$E$6:$E$92,'09_CF_원금'!$D$6:$D$92,"ISA",'09_CF_원금'!$A$6:$A$92,"&lt;="&amp;$A262)-SUMIFS('09_CF_원금'!$E$6:$E$92,'09_CF_원금'!$C$6:$C$92,"ISA",'09_CF_원금'!$A$6:$A$92,"&lt;="&amp;$A262)</f>
        <v/>
      </c>
      <c r="AA262" s="249">
        <f>IF($A262="","",X262+Y262+Z262+SUMIFS('09_CF_원금'!$E$6:$E$92,'09_CF_원금'!$D$6:$D$92,"중국",'09_CF_원금'!$A$6:$A$92,"&lt;="&amp;$A262)-SUMIFS('09_CF_원금'!$E$6:$E$92,'09_CF_원금'!$C$6:$C$92,"중국",'09_CF_원금'!$A$6:$A$92,"&lt;="&amp;$A262)+SUMIFS('09_CF_원금'!$E$6:$E$92,'09_CF_원금'!$D$6:$D$92,"업비트",'09_CF_원금'!$A$6:$A$92,"&lt;="&amp;$A262)-SUMIFS('09_CF_원금'!$E$6:$E$92,'09_CF_원금'!$C$6:$C$92,"업비트",'09_CF_원금'!$A$6:$A$92,"&lt;="&amp;$A262))</f>
        <v/>
      </c>
      <c r="AB262" s="249">
        <f>IF(OR(U262="",V262=""),"",U262-(V262-IF(S262="",0,S262)))</f>
        <v/>
      </c>
      <c r="AC262" s="249">
        <f>IF(AB262="","",T262+AB262)</f>
        <v/>
      </c>
      <c r="AD262" s="249">
        <f>IF(B262="","",MAX($B$5:B262))</f>
        <v/>
      </c>
      <c r="AE262" s="256" t="n"/>
      <c r="AF262" s="255" t="n"/>
      <c r="AG262" s="255" t="n"/>
      <c r="AH262" s="255" t="n"/>
      <c r="AI262" s="255" t="n"/>
      <c r="AJ262" s="257">
        <f>IF($A262="","",YEAR($A262)*100+MONTH($A262))</f>
        <v/>
      </c>
      <c r="AK262" s="257">
        <f>IF($A262="","",IF($N262="",0,1))</f>
        <v/>
      </c>
    </row>
    <row r="263">
      <c r="A263" s="247" t="n">
        <v>46370</v>
      </c>
      <c r="B263" s="248">
        <f>IF(V263&lt;&gt;"",V263-T263,IF(AF263&lt;&gt;"",AA263+AF263,""))</f>
        <v/>
      </c>
      <c r="C263" s="249">
        <f>IF(OR(B263="",B262=""),"",B263-B262)</f>
        <v/>
      </c>
      <c r="D263" s="248">
        <f>IF(OR(B263="",AA263=""),"",B263-AA263)</f>
        <v/>
      </c>
      <c r="E263" s="250">
        <f>IF(OR(B263="",AD263=0),"",MIN(0,B263/AD263-1))</f>
        <v/>
      </c>
      <c r="F263" s="250">
        <f>IF(OR(U263="",T263=0,T263=""),"",(P263-T263*1.4)/U263)</f>
        <v/>
      </c>
      <c r="G263" s="251">
        <f>IF(OR(AC263="",'09_CF_원금'!$B$108=0),"",AC263/'09_CF_원금'!$B$108)</f>
        <v/>
      </c>
      <c r="H263" s="250">
        <f>IF(OR(U263="",U263=0,AC263=""),"",AC263/U263)</f>
        <v/>
      </c>
      <c r="I263" s="250">
        <f>IF(OR(S263="",U263=""),"",S263/(U263+S263))</f>
        <v/>
      </c>
      <c r="J263" s="248">
        <f>IF(W263&lt;&gt;"",W263-X263,IF(AG263&lt;&gt;"",AG263,""))</f>
        <v/>
      </c>
      <c r="K263" s="248">
        <f>IF(Q263&lt;&gt;"",Q263-Y263,IF(AH263&lt;&gt;"",AH263,""))</f>
        <v/>
      </c>
      <c r="L263" s="248">
        <f>IF(R263&lt;&gt;"",R263-Z263,IF(AI263&lt;&gt;"",AI263,""))</f>
        <v/>
      </c>
      <c r="M263" s="252" t="n"/>
      <c r="N263" s="253" t="n"/>
      <c r="O263" s="254" t="n"/>
      <c r="P263" s="255" t="n"/>
      <c r="Q263" s="258">
        <f>IF($A263="","",IF(Q262="","",Q262))</f>
        <v/>
      </c>
      <c r="R263" s="258">
        <f>IF($A263="","",IF(R262="","",R262))</f>
        <v/>
      </c>
      <c r="S263" s="258">
        <f>IF($A263="","",IF(S262="","",S262))</f>
        <v/>
      </c>
      <c r="T263" s="249">
        <f>IF(OR(P263="",W263=""),"",P263-W263)</f>
        <v/>
      </c>
      <c r="U263" s="258">
        <f>IF($A263="","",IF(U262="","",U262))</f>
        <v/>
      </c>
      <c r="V263" s="249">
        <f>IF(P263="","",P263+IF(Q263="",0,Q263)+IF(R263="",0,R263))</f>
        <v/>
      </c>
      <c r="W263" s="255" t="n"/>
      <c r="X263" s="249">
        <f>SUMIFS('09_CF_원금'!$E$6:$E$92,'09_CF_원금'!$D$6:$D$92,"국장",'09_CF_원금'!$A$6:$A$92,"&lt;="&amp;$A263)-SUMIFS('09_CF_원금'!$E$6:$E$92,'09_CF_원금'!$C$6:$C$92,"국장",'09_CF_원금'!$A$6:$A$92,"&lt;="&amp;$A263)</f>
        <v/>
      </c>
      <c r="Y263" s="249">
        <f>SUMIFS('09_CF_원금'!$E$6:$E$92,'09_CF_원금'!$D$6:$D$92,"미장",'09_CF_원금'!$A$6:$A$92,"&lt;="&amp;$A263)-SUMIFS('09_CF_원금'!$E$6:$E$92,'09_CF_원금'!$C$6:$C$92,"미장",'09_CF_원금'!$A$6:$A$92,"&lt;="&amp;$A263)</f>
        <v/>
      </c>
      <c r="Z263" s="249">
        <f>SUMIFS('09_CF_원금'!$E$6:$E$92,'09_CF_원금'!$D$6:$D$92,"ISA",'09_CF_원금'!$A$6:$A$92,"&lt;="&amp;$A263)-SUMIFS('09_CF_원금'!$E$6:$E$92,'09_CF_원금'!$C$6:$C$92,"ISA",'09_CF_원금'!$A$6:$A$92,"&lt;="&amp;$A263)</f>
        <v/>
      </c>
      <c r="AA263" s="249">
        <f>IF($A263="","",X263+Y263+Z263+SUMIFS('09_CF_원금'!$E$6:$E$92,'09_CF_원금'!$D$6:$D$92,"중국",'09_CF_원금'!$A$6:$A$92,"&lt;="&amp;$A263)-SUMIFS('09_CF_원금'!$E$6:$E$92,'09_CF_원금'!$C$6:$C$92,"중국",'09_CF_원금'!$A$6:$A$92,"&lt;="&amp;$A263)+SUMIFS('09_CF_원금'!$E$6:$E$92,'09_CF_원금'!$D$6:$D$92,"업비트",'09_CF_원금'!$A$6:$A$92,"&lt;="&amp;$A263)-SUMIFS('09_CF_원금'!$E$6:$E$92,'09_CF_원금'!$C$6:$C$92,"업비트",'09_CF_원금'!$A$6:$A$92,"&lt;="&amp;$A263))</f>
        <v/>
      </c>
      <c r="AB263" s="249">
        <f>IF(OR(U263="",V263=""),"",U263-(V263-IF(S263="",0,S263)))</f>
        <v/>
      </c>
      <c r="AC263" s="249">
        <f>IF(AB263="","",T263+AB263)</f>
        <v/>
      </c>
      <c r="AD263" s="249">
        <f>IF(B263="","",MAX($B$5:B263))</f>
        <v/>
      </c>
      <c r="AE263" s="256" t="n"/>
      <c r="AF263" s="255" t="n"/>
      <c r="AG263" s="255" t="n"/>
      <c r="AH263" s="255" t="n"/>
      <c r="AI263" s="255" t="n"/>
      <c r="AJ263" s="257">
        <f>IF($A263="","",YEAR($A263)*100+MONTH($A263))</f>
        <v/>
      </c>
      <c r="AK263" s="257">
        <f>IF($A263="","",IF($N263="",0,1))</f>
        <v/>
      </c>
    </row>
    <row r="264">
      <c r="A264" s="247" t="n">
        <v>46371</v>
      </c>
      <c r="B264" s="248">
        <f>IF(V264&lt;&gt;"",V264-T264,IF(AF264&lt;&gt;"",AA264+AF264,""))</f>
        <v/>
      </c>
      <c r="C264" s="249">
        <f>IF(OR(B264="",B263=""),"",B264-B263)</f>
        <v/>
      </c>
      <c r="D264" s="248">
        <f>IF(OR(B264="",AA264=""),"",B264-AA264)</f>
        <v/>
      </c>
      <c r="E264" s="250">
        <f>IF(OR(B264="",AD264=0),"",MIN(0,B264/AD264-1))</f>
        <v/>
      </c>
      <c r="F264" s="250">
        <f>IF(OR(U264="",T264=0,T264=""),"",(P264-T264*1.4)/U264)</f>
        <v/>
      </c>
      <c r="G264" s="251">
        <f>IF(OR(AC264="",'09_CF_원금'!$B$108=0),"",AC264/'09_CF_원금'!$B$108)</f>
        <v/>
      </c>
      <c r="H264" s="250">
        <f>IF(OR(U264="",U264=0,AC264=""),"",AC264/U264)</f>
        <v/>
      </c>
      <c r="I264" s="250">
        <f>IF(OR(S264="",U264=""),"",S264/(U264+S264))</f>
        <v/>
      </c>
      <c r="J264" s="248">
        <f>IF(W264&lt;&gt;"",W264-X264,IF(AG264&lt;&gt;"",AG264,""))</f>
        <v/>
      </c>
      <c r="K264" s="248">
        <f>IF(Q264&lt;&gt;"",Q264-Y264,IF(AH264&lt;&gt;"",AH264,""))</f>
        <v/>
      </c>
      <c r="L264" s="248">
        <f>IF(R264&lt;&gt;"",R264-Z264,IF(AI264&lt;&gt;"",AI264,""))</f>
        <v/>
      </c>
      <c r="M264" s="252" t="n"/>
      <c r="N264" s="253" t="n"/>
      <c r="O264" s="254" t="n"/>
      <c r="P264" s="255" t="n"/>
      <c r="Q264" s="258">
        <f>IF($A264="","",IF(Q263="","",Q263))</f>
        <v/>
      </c>
      <c r="R264" s="258">
        <f>IF($A264="","",IF(R263="","",R263))</f>
        <v/>
      </c>
      <c r="S264" s="258">
        <f>IF($A264="","",IF(S263="","",S263))</f>
        <v/>
      </c>
      <c r="T264" s="249">
        <f>IF(OR(P264="",W264=""),"",P264-W264)</f>
        <v/>
      </c>
      <c r="U264" s="258">
        <f>IF($A264="","",IF(U263="","",U263))</f>
        <v/>
      </c>
      <c r="V264" s="249">
        <f>IF(P264="","",P264+IF(Q264="",0,Q264)+IF(R264="",0,R264))</f>
        <v/>
      </c>
      <c r="W264" s="255" t="n"/>
      <c r="X264" s="249">
        <f>SUMIFS('09_CF_원금'!$E$6:$E$92,'09_CF_원금'!$D$6:$D$92,"국장",'09_CF_원금'!$A$6:$A$92,"&lt;="&amp;$A264)-SUMIFS('09_CF_원금'!$E$6:$E$92,'09_CF_원금'!$C$6:$C$92,"국장",'09_CF_원금'!$A$6:$A$92,"&lt;="&amp;$A264)</f>
        <v/>
      </c>
      <c r="Y264" s="249">
        <f>SUMIFS('09_CF_원금'!$E$6:$E$92,'09_CF_원금'!$D$6:$D$92,"미장",'09_CF_원금'!$A$6:$A$92,"&lt;="&amp;$A264)-SUMIFS('09_CF_원금'!$E$6:$E$92,'09_CF_원금'!$C$6:$C$92,"미장",'09_CF_원금'!$A$6:$A$92,"&lt;="&amp;$A264)</f>
        <v/>
      </c>
      <c r="Z264" s="249">
        <f>SUMIFS('09_CF_원금'!$E$6:$E$92,'09_CF_원금'!$D$6:$D$92,"ISA",'09_CF_원금'!$A$6:$A$92,"&lt;="&amp;$A264)-SUMIFS('09_CF_원금'!$E$6:$E$92,'09_CF_원금'!$C$6:$C$92,"ISA",'09_CF_원금'!$A$6:$A$92,"&lt;="&amp;$A264)</f>
        <v/>
      </c>
      <c r="AA264" s="249">
        <f>IF($A264="","",X264+Y264+Z264+SUMIFS('09_CF_원금'!$E$6:$E$92,'09_CF_원금'!$D$6:$D$92,"중국",'09_CF_원금'!$A$6:$A$92,"&lt;="&amp;$A264)-SUMIFS('09_CF_원금'!$E$6:$E$92,'09_CF_원금'!$C$6:$C$92,"중국",'09_CF_원금'!$A$6:$A$92,"&lt;="&amp;$A264)+SUMIFS('09_CF_원금'!$E$6:$E$92,'09_CF_원금'!$D$6:$D$92,"업비트",'09_CF_원금'!$A$6:$A$92,"&lt;="&amp;$A264)-SUMIFS('09_CF_원금'!$E$6:$E$92,'09_CF_원금'!$C$6:$C$92,"업비트",'09_CF_원금'!$A$6:$A$92,"&lt;="&amp;$A264))</f>
        <v/>
      </c>
      <c r="AB264" s="249">
        <f>IF(OR(U264="",V264=""),"",U264-(V264-IF(S264="",0,S264)))</f>
        <v/>
      </c>
      <c r="AC264" s="249">
        <f>IF(AB264="","",T264+AB264)</f>
        <v/>
      </c>
      <c r="AD264" s="249">
        <f>IF(B264="","",MAX($B$5:B264))</f>
        <v/>
      </c>
      <c r="AE264" s="256" t="n"/>
      <c r="AF264" s="255" t="n"/>
      <c r="AG264" s="255" t="n"/>
      <c r="AH264" s="255" t="n"/>
      <c r="AI264" s="255" t="n"/>
      <c r="AJ264" s="257">
        <f>IF($A264="","",YEAR($A264)*100+MONTH($A264))</f>
        <v/>
      </c>
      <c r="AK264" s="257">
        <f>IF($A264="","",IF($N264="",0,1))</f>
        <v/>
      </c>
    </row>
    <row r="265">
      <c r="A265" s="247" t="n">
        <v>46372</v>
      </c>
      <c r="B265" s="248">
        <f>IF(V265&lt;&gt;"",V265-T265,IF(AF265&lt;&gt;"",AA265+AF265,""))</f>
        <v/>
      </c>
      <c r="C265" s="249">
        <f>IF(OR(B265="",B264=""),"",B265-B264)</f>
        <v/>
      </c>
      <c r="D265" s="248">
        <f>IF(OR(B265="",AA265=""),"",B265-AA265)</f>
        <v/>
      </c>
      <c r="E265" s="250">
        <f>IF(OR(B265="",AD265=0),"",MIN(0,B265/AD265-1))</f>
        <v/>
      </c>
      <c r="F265" s="250">
        <f>IF(OR(U265="",T265=0,T265=""),"",(P265-T265*1.4)/U265)</f>
        <v/>
      </c>
      <c r="G265" s="251">
        <f>IF(OR(AC265="",'09_CF_원금'!$B$108=0),"",AC265/'09_CF_원금'!$B$108)</f>
        <v/>
      </c>
      <c r="H265" s="250">
        <f>IF(OR(U265="",U265=0,AC265=""),"",AC265/U265)</f>
        <v/>
      </c>
      <c r="I265" s="250">
        <f>IF(OR(S265="",U265=""),"",S265/(U265+S265))</f>
        <v/>
      </c>
      <c r="J265" s="248">
        <f>IF(W265&lt;&gt;"",W265-X265,IF(AG265&lt;&gt;"",AG265,""))</f>
        <v/>
      </c>
      <c r="K265" s="248">
        <f>IF(Q265&lt;&gt;"",Q265-Y265,IF(AH265&lt;&gt;"",AH265,""))</f>
        <v/>
      </c>
      <c r="L265" s="248">
        <f>IF(R265&lt;&gt;"",R265-Z265,IF(AI265&lt;&gt;"",AI265,""))</f>
        <v/>
      </c>
      <c r="M265" s="252" t="n"/>
      <c r="N265" s="253" t="n"/>
      <c r="O265" s="254" t="n"/>
      <c r="P265" s="255" t="n"/>
      <c r="Q265" s="258">
        <f>IF($A265="","",IF(Q264="","",Q264))</f>
        <v/>
      </c>
      <c r="R265" s="258">
        <f>IF($A265="","",IF(R264="","",R264))</f>
        <v/>
      </c>
      <c r="S265" s="258">
        <f>IF($A265="","",IF(S264="","",S264))</f>
        <v/>
      </c>
      <c r="T265" s="249">
        <f>IF(OR(P265="",W265=""),"",P265-W265)</f>
        <v/>
      </c>
      <c r="U265" s="258">
        <f>IF($A265="","",IF(U264="","",U264))</f>
        <v/>
      </c>
      <c r="V265" s="249">
        <f>IF(P265="","",P265+IF(Q265="",0,Q265)+IF(R265="",0,R265))</f>
        <v/>
      </c>
      <c r="W265" s="255" t="n"/>
      <c r="X265" s="249">
        <f>SUMIFS('09_CF_원금'!$E$6:$E$92,'09_CF_원금'!$D$6:$D$92,"국장",'09_CF_원금'!$A$6:$A$92,"&lt;="&amp;$A265)-SUMIFS('09_CF_원금'!$E$6:$E$92,'09_CF_원금'!$C$6:$C$92,"국장",'09_CF_원금'!$A$6:$A$92,"&lt;="&amp;$A265)</f>
        <v/>
      </c>
      <c r="Y265" s="249">
        <f>SUMIFS('09_CF_원금'!$E$6:$E$92,'09_CF_원금'!$D$6:$D$92,"미장",'09_CF_원금'!$A$6:$A$92,"&lt;="&amp;$A265)-SUMIFS('09_CF_원금'!$E$6:$E$92,'09_CF_원금'!$C$6:$C$92,"미장",'09_CF_원금'!$A$6:$A$92,"&lt;="&amp;$A265)</f>
        <v/>
      </c>
      <c r="Z265" s="249">
        <f>SUMIFS('09_CF_원금'!$E$6:$E$92,'09_CF_원금'!$D$6:$D$92,"ISA",'09_CF_원금'!$A$6:$A$92,"&lt;="&amp;$A265)-SUMIFS('09_CF_원금'!$E$6:$E$92,'09_CF_원금'!$C$6:$C$92,"ISA",'09_CF_원금'!$A$6:$A$92,"&lt;="&amp;$A265)</f>
        <v/>
      </c>
      <c r="AA265" s="249">
        <f>IF($A265="","",X265+Y265+Z265+SUMIFS('09_CF_원금'!$E$6:$E$92,'09_CF_원금'!$D$6:$D$92,"중국",'09_CF_원금'!$A$6:$A$92,"&lt;="&amp;$A265)-SUMIFS('09_CF_원금'!$E$6:$E$92,'09_CF_원금'!$C$6:$C$92,"중국",'09_CF_원금'!$A$6:$A$92,"&lt;="&amp;$A265)+SUMIFS('09_CF_원금'!$E$6:$E$92,'09_CF_원금'!$D$6:$D$92,"업비트",'09_CF_원금'!$A$6:$A$92,"&lt;="&amp;$A265)-SUMIFS('09_CF_원금'!$E$6:$E$92,'09_CF_원금'!$C$6:$C$92,"업비트",'09_CF_원금'!$A$6:$A$92,"&lt;="&amp;$A265))</f>
        <v/>
      </c>
      <c r="AB265" s="249">
        <f>IF(OR(U265="",V265=""),"",U265-(V265-IF(S265="",0,S265)))</f>
        <v/>
      </c>
      <c r="AC265" s="249">
        <f>IF(AB265="","",T265+AB265)</f>
        <v/>
      </c>
      <c r="AD265" s="249">
        <f>IF(B265="","",MAX($B$5:B265))</f>
        <v/>
      </c>
      <c r="AE265" s="256" t="n"/>
      <c r="AF265" s="255" t="n"/>
      <c r="AG265" s="255" t="n"/>
      <c r="AH265" s="255" t="n"/>
      <c r="AI265" s="255" t="n"/>
      <c r="AJ265" s="257">
        <f>IF($A265="","",YEAR($A265)*100+MONTH($A265))</f>
        <v/>
      </c>
      <c r="AK265" s="257">
        <f>IF($A265="","",IF($N265="",0,1))</f>
        <v/>
      </c>
    </row>
    <row r="266">
      <c r="A266" s="247" t="n">
        <v>46373</v>
      </c>
      <c r="B266" s="248">
        <f>IF(V266&lt;&gt;"",V266-T266,IF(AF266&lt;&gt;"",AA266+AF266,""))</f>
        <v/>
      </c>
      <c r="C266" s="249">
        <f>IF(OR(B266="",B265=""),"",B266-B265)</f>
        <v/>
      </c>
      <c r="D266" s="248">
        <f>IF(OR(B266="",AA266=""),"",B266-AA266)</f>
        <v/>
      </c>
      <c r="E266" s="250">
        <f>IF(OR(B266="",AD266=0),"",MIN(0,B266/AD266-1))</f>
        <v/>
      </c>
      <c r="F266" s="250">
        <f>IF(OR(U266="",T266=0,T266=""),"",(P266-T266*1.4)/U266)</f>
        <v/>
      </c>
      <c r="G266" s="251">
        <f>IF(OR(AC266="",'09_CF_원금'!$B$108=0),"",AC266/'09_CF_원금'!$B$108)</f>
        <v/>
      </c>
      <c r="H266" s="250">
        <f>IF(OR(U266="",U266=0,AC266=""),"",AC266/U266)</f>
        <v/>
      </c>
      <c r="I266" s="250">
        <f>IF(OR(S266="",U266=""),"",S266/(U266+S266))</f>
        <v/>
      </c>
      <c r="J266" s="248">
        <f>IF(W266&lt;&gt;"",W266-X266,IF(AG266&lt;&gt;"",AG266,""))</f>
        <v/>
      </c>
      <c r="K266" s="248">
        <f>IF(Q266&lt;&gt;"",Q266-Y266,IF(AH266&lt;&gt;"",AH266,""))</f>
        <v/>
      </c>
      <c r="L266" s="248">
        <f>IF(R266&lt;&gt;"",R266-Z266,IF(AI266&lt;&gt;"",AI266,""))</f>
        <v/>
      </c>
      <c r="M266" s="252" t="n"/>
      <c r="N266" s="253" t="n"/>
      <c r="O266" s="254" t="n"/>
      <c r="P266" s="255" t="n"/>
      <c r="Q266" s="258">
        <f>IF($A266="","",IF(Q265="","",Q265))</f>
        <v/>
      </c>
      <c r="R266" s="258">
        <f>IF($A266="","",IF(R265="","",R265))</f>
        <v/>
      </c>
      <c r="S266" s="258">
        <f>IF($A266="","",IF(S265="","",S265))</f>
        <v/>
      </c>
      <c r="T266" s="249">
        <f>IF(OR(P266="",W266=""),"",P266-W266)</f>
        <v/>
      </c>
      <c r="U266" s="258">
        <f>IF($A266="","",IF(U265="","",U265))</f>
        <v/>
      </c>
      <c r="V266" s="249">
        <f>IF(P266="","",P266+IF(Q266="",0,Q266)+IF(R266="",0,R266))</f>
        <v/>
      </c>
      <c r="W266" s="255" t="n"/>
      <c r="X266" s="249">
        <f>SUMIFS('09_CF_원금'!$E$6:$E$92,'09_CF_원금'!$D$6:$D$92,"국장",'09_CF_원금'!$A$6:$A$92,"&lt;="&amp;$A266)-SUMIFS('09_CF_원금'!$E$6:$E$92,'09_CF_원금'!$C$6:$C$92,"국장",'09_CF_원금'!$A$6:$A$92,"&lt;="&amp;$A266)</f>
        <v/>
      </c>
      <c r="Y266" s="249">
        <f>SUMIFS('09_CF_원금'!$E$6:$E$92,'09_CF_원금'!$D$6:$D$92,"미장",'09_CF_원금'!$A$6:$A$92,"&lt;="&amp;$A266)-SUMIFS('09_CF_원금'!$E$6:$E$92,'09_CF_원금'!$C$6:$C$92,"미장",'09_CF_원금'!$A$6:$A$92,"&lt;="&amp;$A266)</f>
        <v/>
      </c>
      <c r="Z266" s="249">
        <f>SUMIFS('09_CF_원금'!$E$6:$E$92,'09_CF_원금'!$D$6:$D$92,"ISA",'09_CF_원금'!$A$6:$A$92,"&lt;="&amp;$A266)-SUMIFS('09_CF_원금'!$E$6:$E$92,'09_CF_원금'!$C$6:$C$92,"ISA",'09_CF_원금'!$A$6:$A$92,"&lt;="&amp;$A266)</f>
        <v/>
      </c>
      <c r="AA266" s="249">
        <f>IF($A266="","",X266+Y266+Z266+SUMIFS('09_CF_원금'!$E$6:$E$92,'09_CF_원금'!$D$6:$D$92,"중국",'09_CF_원금'!$A$6:$A$92,"&lt;="&amp;$A266)-SUMIFS('09_CF_원금'!$E$6:$E$92,'09_CF_원금'!$C$6:$C$92,"중국",'09_CF_원금'!$A$6:$A$92,"&lt;="&amp;$A266)+SUMIFS('09_CF_원금'!$E$6:$E$92,'09_CF_원금'!$D$6:$D$92,"업비트",'09_CF_원금'!$A$6:$A$92,"&lt;="&amp;$A266)-SUMIFS('09_CF_원금'!$E$6:$E$92,'09_CF_원금'!$C$6:$C$92,"업비트",'09_CF_원금'!$A$6:$A$92,"&lt;="&amp;$A266))</f>
        <v/>
      </c>
      <c r="AB266" s="249">
        <f>IF(OR(U266="",V266=""),"",U266-(V266-IF(S266="",0,S266)))</f>
        <v/>
      </c>
      <c r="AC266" s="249">
        <f>IF(AB266="","",T266+AB266)</f>
        <v/>
      </c>
      <c r="AD266" s="249">
        <f>IF(B266="","",MAX($B$5:B266))</f>
        <v/>
      </c>
      <c r="AE266" s="256" t="n"/>
      <c r="AF266" s="255" t="n"/>
      <c r="AG266" s="255" t="n"/>
      <c r="AH266" s="255" t="n"/>
      <c r="AI266" s="255" t="n"/>
      <c r="AJ266" s="257">
        <f>IF($A266="","",YEAR($A266)*100+MONTH($A266))</f>
        <v/>
      </c>
      <c r="AK266" s="257">
        <f>IF($A266="","",IF($N266="",0,1))</f>
        <v/>
      </c>
    </row>
    <row r="267">
      <c r="A267" s="247" t="n">
        <v>46374</v>
      </c>
      <c r="B267" s="248">
        <f>IF(V267&lt;&gt;"",V267-T267,IF(AF267&lt;&gt;"",AA267+AF267,""))</f>
        <v/>
      </c>
      <c r="C267" s="249">
        <f>IF(OR(B267="",B266=""),"",B267-B266)</f>
        <v/>
      </c>
      <c r="D267" s="248">
        <f>IF(OR(B267="",AA267=""),"",B267-AA267)</f>
        <v/>
      </c>
      <c r="E267" s="250">
        <f>IF(OR(B267="",AD267=0),"",MIN(0,B267/AD267-1))</f>
        <v/>
      </c>
      <c r="F267" s="250">
        <f>IF(OR(U267="",T267=0,T267=""),"",(P267-T267*1.4)/U267)</f>
        <v/>
      </c>
      <c r="G267" s="251">
        <f>IF(OR(AC267="",'09_CF_원금'!$B$108=0),"",AC267/'09_CF_원금'!$B$108)</f>
        <v/>
      </c>
      <c r="H267" s="250">
        <f>IF(OR(U267="",U267=0,AC267=""),"",AC267/U267)</f>
        <v/>
      </c>
      <c r="I267" s="250">
        <f>IF(OR(S267="",U267=""),"",S267/(U267+S267))</f>
        <v/>
      </c>
      <c r="J267" s="248">
        <f>IF(W267&lt;&gt;"",W267-X267,IF(AG267&lt;&gt;"",AG267,""))</f>
        <v/>
      </c>
      <c r="K267" s="248">
        <f>IF(Q267&lt;&gt;"",Q267-Y267,IF(AH267&lt;&gt;"",AH267,""))</f>
        <v/>
      </c>
      <c r="L267" s="248">
        <f>IF(R267&lt;&gt;"",R267-Z267,IF(AI267&lt;&gt;"",AI267,""))</f>
        <v/>
      </c>
      <c r="M267" s="252" t="n"/>
      <c r="N267" s="253" t="n"/>
      <c r="O267" s="254" t="n"/>
      <c r="P267" s="255" t="n"/>
      <c r="Q267" s="258">
        <f>IF($A267="","",IF(Q266="","",Q266))</f>
        <v/>
      </c>
      <c r="R267" s="258">
        <f>IF($A267="","",IF(R266="","",R266))</f>
        <v/>
      </c>
      <c r="S267" s="258">
        <f>IF($A267="","",IF(S266="","",S266))</f>
        <v/>
      </c>
      <c r="T267" s="249">
        <f>IF(OR(P267="",W267=""),"",P267-W267)</f>
        <v/>
      </c>
      <c r="U267" s="258">
        <f>IF($A267="","",IF(U266="","",U266))</f>
        <v/>
      </c>
      <c r="V267" s="249">
        <f>IF(P267="","",P267+IF(Q267="",0,Q267)+IF(R267="",0,R267))</f>
        <v/>
      </c>
      <c r="W267" s="255" t="n"/>
      <c r="X267" s="249">
        <f>SUMIFS('09_CF_원금'!$E$6:$E$92,'09_CF_원금'!$D$6:$D$92,"국장",'09_CF_원금'!$A$6:$A$92,"&lt;="&amp;$A267)-SUMIFS('09_CF_원금'!$E$6:$E$92,'09_CF_원금'!$C$6:$C$92,"국장",'09_CF_원금'!$A$6:$A$92,"&lt;="&amp;$A267)</f>
        <v/>
      </c>
      <c r="Y267" s="249">
        <f>SUMIFS('09_CF_원금'!$E$6:$E$92,'09_CF_원금'!$D$6:$D$92,"미장",'09_CF_원금'!$A$6:$A$92,"&lt;="&amp;$A267)-SUMIFS('09_CF_원금'!$E$6:$E$92,'09_CF_원금'!$C$6:$C$92,"미장",'09_CF_원금'!$A$6:$A$92,"&lt;="&amp;$A267)</f>
        <v/>
      </c>
      <c r="Z267" s="249">
        <f>SUMIFS('09_CF_원금'!$E$6:$E$92,'09_CF_원금'!$D$6:$D$92,"ISA",'09_CF_원금'!$A$6:$A$92,"&lt;="&amp;$A267)-SUMIFS('09_CF_원금'!$E$6:$E$92,'09_CF_원금'!$C$6:$C$92,"ISA",'09_CF_원금'!$A$6:$A$92,"&lt;="&amp;$A267)</f>
        <v/>
      </c>
      <c r="AA267" s="249">
        <f>IF($A267="","",X267+Y267+Z267+SUMIFS('09_CF_원금'!$E$6:$E$92,'09_CF_원금'!$D$6:$D$92,"중국",'09_CF_원금'!$A$6:$A$92,"&lt;="&amp;$A267)-SUMIFS('09_CF_원금'!$E$6:$E$92,'09_CF_원금'!$C$6:$C$92,"중국",'09_CF_원금'!$A$6:$A$92,"&lt;="&amp;$A267)+SUMIFS('09_CF_원금'!$E$6:$E$92,'09_CF_원금'!$D$6:$D$92,"업비트",'09_CF_원금'!$A$6:$A$92,"&lt;="&amp;$A267)-SUMIFS('09_CF_원금'!$E$6:$E$92,'09_CF_원금'!$C$6:$C$92,"업비트",'09_CF_원금'!$A$6:$A$92,"&lt;="&amp;$A267))</f>
        <v/>
      </c>
      <c r="AB267" s="249">
        <f>IF(OR(U267="",V267=""),"",U267-(V267-IF(S267="",0,S267)))</f>
        <v/>
      </c>
      <c r="AC267" s="249">
        <f>IF(AB267="","",T267+AB267)</f>
        <v/>
      </c>
      <c r="AD267" s="249">
        <f>IF(B267="","",MAX($B$5:B267))</f>
        <v/>
      </c>
      <c r="AE267" s="256" t="n"/>
      <c r="AF267" s="255" t="n"/>
      <c r="AG267" s="255" t="n"/>
      <c r="AH267" s="255" t="n"/>
      <c r="AI267" s="255" t="n"/>
      <c r="AJ267" s="257">
        <f>IF($A267="","",YEAR($A267)*100+MONTH($A267))</f>
        <v/>
      </c>
      <c r="AK267" s="257">
        <f>IF($A267="","",IF($N267="",0,1))</f>
        <v/>
      </c>
    </row>
    <row r="268">
      <c r="A268" s="247" t="n">
        <v>46377</v>
      </c>
      <c r="B268" s="248">
        <f>IF(V268&lt;&gt;"",V268-T268,IF(AF268&lt;&gt;"",AA268+AF268,""))</f>
        <v/>
      </c>
      <c r="C268" s="249">
        <f>IF(OR(B268="",B267=""),"",B268-B267)</f>
        <v/>
      </c>
      <c r="D268" s="248">
        <f>IF(OR(B268="",AA268=""),"",B268-AA268)</f>
        <v/>
      </c>
      <c r="E268" s="250">
        <f>IF(OR(B268="",AD268=0),"",MIN(0,B268/AD268-1))</f>
        <v/>
      </c>
      <c r="F268" s="250">
        <f>IF(OR(U268="",T268=0,T268=""),"",(P268-T268*1.4)/U268)</f>
        <v/>
      </c>
      <c r="G268" s="251">
        <f>IF(OR(AC268="",'09_CF_원금'!$B$108=0),"",AC268/'09_CF_원금'!$B$108)</f>
        <v/>
      </c>
      <c r="H268" s="250">
        <f>IF(OR(U268="",U268=0,AC268=""),"",AC268/U268)</f>
        <v/>
      </c>
      <c r="I268" s="250">
        <f>IF(OR(S268="",U268=""),"",S268/(U268+S268))</f>
        <v/>
      </c>
      <c r="J268" s="248">
        <f>IF(W268&lt;&gt;"",W268-X268,IF(AG268&lt;&gt;"",AG268,""))</f>
        <v/>
      </c>
      <c r="K268" s="248">
        <f>IF(Q268&lt;&gt;"",Q268-Y268,IF(AH268&lt;&gt;"",AH268,""))</f>
        <v/>
      </c>
      <c r="L268" s="248">
        <f>IF(R268&lt;&gt;"",R268-Z268,IF(AI268&lt;&gt;"",AI268,""))</f>
        <v/>
      </c>
      <c r="M268" s="252" t="n"/>
      <c r="N268" s="253" t="n"/>
      <c r="O268" s="254" t="n"/>
      <c r="P268" s="255" t="n"/>
      <c r="Q268" s="258">
        <f>IF($A268="","",IF(Q267="","",Q267))</f>
        <v/>
      </c>
      <c r="R268" s="258">
        <f>IF($A268="","",IF(R267="","",R267))</f>
        <v/>
      </c>
      <c r="S268" s="258">
        <f>IF($A268="","",IF(S267="","",S267))</f>
        <v/>
      </c>
      <c r="T268" s="249">
        <f>IF(OR(P268="",W268=""),"",P268-W268)</f>
        <v/>
      </c>
      <c r="U268" s="258">
        <f>IF($A268="","",IF(U267="","",U267))</f>
        <v/>
      </c>
      <c r="V268" s="249">
        <f>IF(P268="","",P268+IF(Q268="",0,Q268)+IF(R268="",0,R268))</f>
        <v/>
      </c>
      <c r="W268" s="255" t="n"/>
      <c r="X268" s="249">
        <f>SUMIFS('09_CF_원금'!$E$6:$E$92,'09_CF_원금'!$D$6:$D$92,"국장",'09_CF_원금'!$A$6:$A$92,"&lt;="&amp;$A268)-SUMIFS('09_CF_원금'!$E$6:$E$92,'09_CF_원금'!$C$6:$C$92,"국장",'09_CF_원금'!$A$6:$A$92,"&lt;="&amp;$A268)</f>
        <v/>
      </c>
      <c r="Y268" s="249">
        <f>SUMIFS('09_CF_원금'!$E$6:$E$92,'09_CF_원금'!$D$6:$D$92,"미장",'09_CF_원금'!$A$6:$A$92,"&lt;="&amp;$A268)-SUMIFS('09_CF_원금'!$E$6:$E$92,'09_CF_원금'!$C$6:$C$92,"미장",'09_CF_원금'!$A$6:$A$92,"&lt;="&amp;$A268)</f>
        <v/>
      </c>
      <c r="Z268" s="249">
        <f>SUMIFS('09_CF_원금'!$E$6:$E$92,'09_CF_원금'!$D$6:$D$92,"ISA",'09_CF_원금'!$A$6:$A$92,"&lt;="&amp;$A268)-SUMIFS('09_CF_원금'!$E$6:$E$92,'09_CF_원금'!$C$6:$C$92,"ISA",'09_CF_원금'!$A$6:$A$92,"&lt;="&amp;$A268)</f>
        <v/>
      </c>
      <c r="AA268" s="249">
        <f>IF($A268="","",X268+Y268+Z268+SUMIFS('09_CF_원금'!$E$6:$E$92,'09_CF_원금'!$D$6:$D$92,"중국",'09_CF_원금'!$A$6:$A$92,"&lt;="&amp;$A268)-SUMIFS('09_CF_원금'!$E$6:$E$92,'09_CF_원금'!$C$6:$C$92,"중국",'09_CF_원금'!$A$6:$A$92,"&lt;="&amp;$A268)+SUMIFS('09_CF_원금'!$E$6:$E$92,'09_CF_원금'!$D$6:$D$92,"업비트",'09_CF_원금'!$A$6:$A$92,"&lt;="&amp;$A268)-SUMIFS('09_CF_원금'!$E$6:$E$92,'09_CF_원금'!$C$6:$C$92,"업비트",'09_CF_원금'!$A$6:$A$92,"&lt;="&amp;$A268))</f>
        <v/>
      </c>
      <c r="AB268" s="249">
        <f>IF(OR(U268="",V268=""),"",U268-(V268-IF(S268="",0,S268)))</f>
        <v/>
      </c>
      <c r="AC268" s="249">
        <f>IF(AB268="","",T268+AB268)</f>
        <v/>
      </c>
      <c r="AD268" s="249">
        <f>IF(B268="","",MAX($B$5:B268))</f>
        <v/>
      </c>
      <c r="AE268" s="256" t="n"/>
      <c r="AF268" s="255" t="n"/>
      <c r="AG268" s="255" t="n"/>
      <c r="AH268" s="255" t="n"/>
      <c r="AI268" s="255" t="n"/>
      <c r="AJ268" s="257">
        <f>IF($A268="","",YEAR($A268)*100+MONTH($A268))</f>
        <v/>
      </c>
      <c r="AK268" s="257">
        <f>IF($A268="","",IF($N268="",0,1))</f>
        <v/>
      </c>
    </row>
    <row r="269">
      <c r="A269" s="247" t="n">
        <v>46378</v>
      </c>
      <c r="B269" s="248">
        <f>IF(V269&lt;&gt;"",V269-T269,IF(AF269&lt;&gt;"",AA269+AF269,""))</f>
        <v/>
      </c>
      <c r="C269" s="249">
        <f>IF(OR(B269="",B268=""),"",B269-B268)</f>
        <v/>
      </c>
      <c r="D269" s="248">
        <f>IF(OR(B269="",AA269=""),"",B269-AA269)</f>
        <v/>
      </c>
      <c r="E269" s="250">
        <f>IF(OR(B269="",AD269=0),"",MIN(0,B269/AD269-1))</f>
        <v/>
      </c>
      <c r="F269" s="250">
        <f>IF(OR(U269="",T269=0,T269=""),"",(P269-T269*1.4)/U269)</f>
        <v/>
      </c>
      <c r="G269" s="251">
        <f>IF(OR(AC269="",'09_CF_원금'!$B$108=0),"",AC269/'09_CF_원금'!$B$108)</f>
        <v/>
      </c>
      <c r="H269" s="250">
        <f>IF(OR(U269="",U269=0,AC269=""),"",AC269/U269)</f>
        <v/>
      </c>
      <c r="I269" s="250">
        <f>IF(OR(S269="",U269=""),"",S269/(U269+S269))</f>
        <v/>
      </c>
      <c r="J269" s="248">
        <f>IF(W269&lt;&gt;"",W269-X269,IF(AG269&lt;&gt;"",AG269,""))</f>
        <v/>
      </c>
      <c r="K269" s="248">
        <f>IF(Q269&lt;&gt;"",Q269-Y269,IF(AH269&lt;&gt;"",AH269,""))</f>
        <v/>
      </c>
      <c r="L269" s="248">
        <f>IF(R269&lt;&gt;"",R269-Z269,IF(AI269&lt;&gt;"",AI269,""))</f>
        <v/>
      </c>
      <c r="M269" s="252" t="n"/>
      <c r="N269" s="253" t="n"/>
      <c r="O269" s="254" t="n"/>
      <c r="P269" s="255" t="n"/>
      <c r="Q269" s="258">
        <f>IF($A269="","",IF(Q268="","",Q268))</f>
        <v/>
      </c>
      <c r="R269" s="258">
        <f>IF($A269="","",IF(R268="","",R268))</f>
        <v/>
      </c>
      <c r="S269" s="258">
        <f>IF($A269="","",IF(S268="","",S268))</f>
        <v/>
      </c>
      <c r="T269" s="249">
        <f>IF(OR(P269="",W269=""),"",P269-W269)</f>
        <v/>
      </c>
      <c r="U269" s="258">
        <f>IF($A269="","",IF(U268="","",U268))</f>
        <v/>
      </c>
      <c r="V269" s="249">
        <f>IF(P269="","",P269+IF(Q269="",0,Q269)+IF(R269="",0,R269))</f>
        <v/>
      </c>
      <c r="W269" s="255" t="n"/>
      <c r="X269" s="249">
        <f>SUMIFS('09_CF_원금'!$E$6:$E$92,'09_CF_원금'!$D$6:$D$92,"국장",'09_CF_원금'!$A$6:$A$92,"&lt;="&amp;$A269)-SUMIFS('09_CF_원금'!$E$6:$E$92,'09_CF_원금'!$C$6:$C$92,"국장",'09_CF_원금'!$A$6:$A$92,"&lt;="&amp;$A269)</f>
        <v/>
      </c>
      <c r="Y269" s="249">
        <f>SUMIFS('09_CF_원금'!$E$6:$E$92,'09_CF_원금'!$D$6:$D$92,"미장",'09_CF_원금'!$A$6:$A$92,"&lt;="&amp;$A269)-SUMIFS('09_CF_원금'!$E$6:$E$92,'09_CF_원금'!$C$6:$C$92,"미장",'09_CF_원금'!$A$6:$A$92,"&lt;="&amp;$A269)</f>
        <v/>
      </c>
      <c r="Z269" s="249">
        <f>SUMIFS('09_CF_원금'!$E$6:$E$92,'09_CF_원금'!$D$6:$D$92,"ISA",'09_CF_원금'!$A$6:$A$92,"&lt;="&amp;$A269)-SUMIFS('09_CF_원금'!$E$6:$E$92,'09_CF_원금'!$C$6:$C$92,"ISA",'09_CF_원금'!$A$6:$A$92,"&lt;="&amp;$A269)</f>
        <v/>
      </c>
      <c r="AA269" s="249">
        <f>IF($A269="","",X269+Y269+Z269+SUMIFS('09_CF_원금'!$E$6:$E$92,'09_CF_원금'!$D$6:$D$92,"중국",'09_CF_원금'!$A$6:$A$92,"&lt;="&amp;$A269)-SUMIFS('09_CF_원금'!$E$6:$E$92,'09_CF_원금'!$C$6:$C$92,"중국",'09_CF_원금'!$A$6:$A$92,"&lt;="&amp;$A269)+SUMIFS('09_CF_원금'!$E$6:$E$92,'09_CF_원금'!$D$6:$D$92,"업비트",'09_CF_원금'!$A$6:$A$92,"&lt;="&amp;$A269)-SUMIFS('09_CF_원금'!$E$6:$E$92,'09_CF_원금'!$C$6:$C$92,"업비트",'09_CF_원금'!$A$6:$A$92,"&lt;="&amp;$A269))</f>
        <v/>
      </c>
      <c r="AB269" s="249">
        <f>IF(OR(U269="",V269=""),"",U269-(V269-IF(S269="",0,S269)))</f>
        <v/>
      </c>
      <c r="AC269" s="249">
        <f>IF(AB269="","",T269+AB269)</f>
        <v/>
      </c>
      <c r="AD269" s="249">
        <f>IF(B269="","",MAX($B$5:B269))</f>
        <v/>
      </c>
      <c r="AE269" s="256" t="n"/>
      <c r="AF269" s="255" t="n"/>
      <c r="AG269" s="255" t="n"/>
      <c r="AH269" s="255" t="n"/>
      <c r="AI269" s="255" t="n"/>
      <c r="AJ269" s="257">
        <f>IF($A269="","",YEAR($A269)*100+MONTH($A269))</f>
        <v/>
      </c>
      <c r="AK269" s="257">
        <f>IF($A269="","",IF($N269="",0,1))</f>
        <v/>
      </c>
    </row>
    <row r="270">
      <c r="A270" s="247" t="n">
        <v>46379</v>
      </c>
      <c r="B270" s="248">
        <f>IF(V270&lt;&gt;"",V270-T270,IF(AF270&lt;&gt;"",AA270+AF270,""))</f>
        <v/>
      </c>
      <c r="C270" s="249">
        <f>IF(OR(B270="",B269=""),"",B270-B269)</f>
        <v/>
      </c>
      <c r="D270" s="248">
        <f>IF(OR(B270="",AA270=""),"",B270-AA270)</f>
        <v/>
      </c>
      <c r="E270" s="250">
        <f>IF(OR(B270="",AD270=0),"",MIN(0,B270/AD270-1))</f>
        <v/>
      </c>
      <c r="F270" s="250">
        <f>IF(OR(U270="",T270=0,T270=""),"",(P270-T270*1.4)/U270)</f>
        <v/>
      </c>
      <c r="G270" s="251">
        <f>IF(OR(AC270="",'09_CF_원금'!$B$108=0),"",AC270/'09_CF_원금'!$B$108)</f>
        <v/>
      </c>
      <c r="H270" s="250">
        <f>IF(OR(U270="",U270=0,AC270=""),"",AC270/U270)</f>
        <v/>
      </c>
      <c r="I270" s="250">
        <f>IF(OR(S270="",U270=""),"",S270/(U270+S270))</f>
        <v/>
      </c>
      <c r="J270" s="248">
        <f>IF(W270&lt;&gt;"",W270-X270,IF(AG270&lt;&gt;"",AG270,""))</f>
        <v/>
      </c>
      <c r="K270" s="248">
        <f>IF(Q270&lt;&gt;"",Q270-Y270,IF(AH270&lt;&gt;"",AH270,""))</f>
        <v/>
      </c>
      <c r="L270" s="248">
        <f>IF(R270&lt;&gt;"",R270-Z270,IF(AI270&lt;&gt;"",AI270,""))</f>
        <v/>
      </c>
      <c r="M270" s="252" t="n"/>
      <c r="N270" s="253" t="n"/>
      <c r="O270" s="254" t="n"/>
      <c r="P270" s="255" t="n"/>
      <c r="Q270" s="258">
        <f>IF($A270="","",IF(Q269="","",Q269))</f>
        <v/>
      </c>
      <c r="R270" s="258">
        <f>IF($A270="","",IF(R269="","",R269))</f>
        <v/>
      </c>
      <c r="S270" s="258">
        <f>IF($A270="","",IF(S269="","",S269))</f>
        <v/>
      </c>
      <c r="T270" s="249">
        <f>IF(OR(P270="",W270=""),"",P270-W270)</f>
        <v/>
      </c>
      <c r="U270" s="258">
        <f>IF($A270="","",IF(U269="","",U269))</f>
        <v/>
      </c>
      <c r="V270" s="249">
        <f>IF(P270="","",P270+IF(Q270="",0,Q270)+IF(R270="",0,R270))</f>
        <v/>
      </c>
      <c r="W270" s="255" t="n"/>
      <c r="X270" s="249">
        <f>SUMIFS('09_CF_원금'!$E$6:$E$92,'09_CF_원금'!$D$6:$D$92,"국장",'09_CF_원금'!$A$6:$A$92,"&lt;="&amp;$A270)-SUMIFS('09_CF_원금'!$E$6:$E$92,'09_CF_원금'!$C$6:$C$92,"국장",'09_CF_원금'!$A$6:$A$92,"&lt;="&amp;$A270)</f>
        <v/>
      </c>
      <c r="Y270" s="249">
        <f>SUMIFS('09_CF_원금'!$E$6:$E$92,'09_CF_원금'!$D$6:$D$92,"미장",'09_CF_원금'!$A$6:$A$92,"&lt;="&amp;$A270)-SUMIFS('09_CF_원금'!$E$6:$E$92,'09_CF_원금'!$C$6:$C$92,"미장",'09_CF_원금'!$A$6:$A$92,"&lt;="&amp;$A270)</f>
        <v/>
      </c>
      <c r="Z270" s="249">
        <f>SUMIFS('09_CF_원금'!$E$6:$E$92,'09_CF_원금'!$D$6:$D$92,"ISA",'09_CF_원금'!$A$6:$A$92,"&lt;="&amp;$A270)-SUMIFS('09_CF_원금'!$E$6:$E$92,'09_CF_원금'!$C$6:$C$92,"ISA",'09_CF_원금'!$A$6:$A$92,"&lt;="&amp;$A270)</f>
        <v/>
      </c>
      <c r="AA270" s="249">
        <f>IF($A270="","",X270+Y270+Z270+SUMIFS('09_CF_원금'!$E$6:$E$92,'09_CF_원금'!$D$6:$D$92,"중국",'09_CF_원금'!$A$6:$A$92,"&lt;="&amp;$A270)-SUMIFS('09_CF_원금'!$E$6:$E$92,'09_CF_원금'!$C$6:$C$92,"중국",'09_CF_원금'!$A$6:$A$92,"&lt;="&amp;$A270)+SUMIFS('09_CF_원금'!$E$6:$E$92,'09_CF_원금'!$D$6:$D$92,"업비트",'09_CF_원금'!$A$6:$A$92,"&lt;="&amp;$A270)-SUMIFS('09_CF_원금'!$E$6:$E$92,'09_CF_원금'!$C$6:$C$92,"업비트",'09_CF_원금'!$A$6:$A$92,"&lt;="&amp;$A270))</f>
        <v/>
      </c>
      <c r="AB270" s="249">
        <f>IF(OR(U270="",V270=""),"",U270-(V270-IF(S270="",0,S270)))</f>
        <v/>
      </c>
      <c r="AC270" s="249">
        <f>IF(AB270="","",T270+AB270)</f>
        <v/>
      </c>
      <c r="AD270" s="249">
        <f>IF(B270="","",MAX($B$5:B270))</f>
        <v/>
      </c>
      <c r="AE270" s="256" t="n"/>
      <c r="AF270" s="255" t="n"/>
      <c r="AG270" s="255" t="n"/>
      <c r="AH270" s="255" t="n"/>
      <c r="AI270" s="255" t="n"/>
      <c r="AJ270" s="257">
        <f>IF($A270="","",YEAR($A270)*100+MONTH($A270))</f>
        <v/>
      </c>
      <c r="AK270" s="257">
        <f>IF($A270="","",IF($N270="",0,1))</f>
        <v/>
      </c>
    </row>
    <row r="271">
      <c r="A271" s="247" t="n">
        <v>46380</v>
      </c>
      <c r="B271" s="248">
        <f>IF(V271&lt;&gt;"",V271-T271,IF(AF271&lt;&gt;"",AA271+AF271,""))</f>
        <v/>
      </c>
      <c r="C271" s="249">
        <f>IF(OR(B271="",B270=""),"",B271-B270)</f>
        <v/>
      </c>
      <c r="D271" s="248">
        <f>IF(OR(B271="",AA271=""),"",B271-AA271)</f>
        <v/>
      </c>
      <c r="E271" s="250">
        <f>IF(OR(B271="",AD271=0),"",MIN(0,B271/AD271-1))</f>
        <v/>
      </c>
      <c r="F271" s="250">
        <f>IF(OR(U271="",T271=0,T271=""),"",(P271-T271*1.4)/U271)</f>
        <v/>
      </c>
      <c r="G271" s="251">
        <f>IF(OR(AC271="",'09_CF_원금'!$B$108=0),"",AC271/'09_CF_원금'!$B$108)</f>
        <v/>
      </c>
      <c r="H271" s="250">
        <f>IF(OR(U271="",U271=0,AC271=""),"",AC271/U271)</f>
        <v/>
      </c>
      <c r="I271" s="250">
        <f>IF(OR(S271="",U271=""),"",S271/(U271+S271))</f>
        <v/>
      </c>
      <c r="J271" s="248">
        <f>IF(W271&lt;&gt;"",W271-X271,IF(AG271&lt;&gt;"",AG271,""))</f>
        <v/>
      </c>
      <c r="K271" s="248">
        <f>IF(Q271&lt;&gt;"",Q271-Y271,IF(AH271&lt;&gt;"",AH271,""))</f>
        <v/>
      </c>
      <c r="L271" s="248">
        <f>IF(R271&lt;&gt;"",R271-Z271,IF(AI271&lt;&gt;"",AI271,""))</f>
        <v/>
      </c>
      <c r="M271" s="252" t="n"/>
      <c r="N271" s="253" t="n"/>
      <c r="O271" s="254" t="n"/>
      <c r="P271" s="255" t="n"/>
      <c r="Q271" s="258">
        <f>IF($A271="","",IF(Q270="","",Q270))</f>
        <v/>
      </c>
      <c r="R271" s="258">
        <f>IF($A271="","",IF(R270="","",R270))</f>
        <v/>
      </c>
      <c r="S271" s="258">
        <f>IF($A271="","",IF(S270="","",S270))</f>
        <v/>
      </c>
      <c r="T271" s="249">
        <f>IF(OR(P271="",W271=""),"",P271-W271)</f>
        <v/>
      </c>
      <c r="U271" s="258">
        <f>IF($A271="","",IF(U270="","",U270))</f>
        <v/>
      </c>
      <c r="V271" s="249">
        <f>IF(P271="","",P271+IF(Q271="",0,Q271)+IF(R271="",0,R271))</f>
        <v/>
      </c>
      <c r="W271" s="255" t="n"/>
      <c r="X271" s="249">
        <f>SUMIFS('09_CF_원금'!$E$6:$E$92,'09_CF_원금'!$D$6:$D$92,"국장",'09_CF_원금'!$A$6:$A$92,"&lt;="&amp;$A271)-SUMIFS('09_CF_원금'!$E$6:$E$92,'09_CF_원금'!$C$6:$C$92,"국장",'09_CF_원금'!$A$6:$A$92,"&lt;="&amp;$A271)</f>
        <v/>
      </c>
      <c r="Y271" s="249">
        <f>SUMIFS('09_CF_원금'!$E$6:$E$92,'09_CF_원금'!$D$6:$D$92,"미장",'09_CF_원금'!$A$6:$A$92,"&lt;="&amp;$A271)-SUMIFS('09_CF_원금'!$E$6:$E$92,'09_CF_원금'!$C$6:$C$92,"미장",'09_CF_원금'!$A$6:$A$92,"&lt;="&amp;$A271)</f>
        <v/>
      </c>
      <c r="Z271" s="249">
        <f>SUMIFS('09_CF_원금'!$E$6:$E$92,'09_CF_원금'!$D$6:$D$92,"ISA",'09_CF_원금'!$A$6:$A$92,"&lt;="&amp;$A271)-SUMIFS('09_CF_원금'!$E$6:$E$92,'09_CF_원금'!$C$6:$C$92,"ISA",'09_CF_원금'!$A$6:$A$92,"&lt;="&amp;$A271)</f>
        <v/>
      </c>
      <c r="AA271" s="249">
        <f>IF($A271="","",X271+Y271+Z271+SUMIFS('09_CF_원금'!$E$6:$E$92,'09_CF_원금'!$D$6:$D$92,"중국",'09_CF_원금'!$A$6:$A$92,"&lt;="&amp;$A271)-SUMIFS('09_CF_원금'!$E$6:$E$92,'09_CF_원금'!$C$6:$C$92,"중국",'09_CF_원금'!$A$6:$A$92,"&lt;="&amp;$A271)+SUMIFS('09_CF_원금'!$E$6:$E$92,'09_CF_원금'!$D$6:$D$92,"업비트",'09_CF_원금'!$A$6:$A$92,"&lt;="&amp;$A271)-SUMIFS('09_CF_원금'!$E$6:$E$92,'09_CF_원금'!$C$6:$C$92,"업비트",'09_CF_원금'!$A$6:$A$92,"&lt;="&amp;$A271))</f>
        <v/>
      </c>
      <c r="AB271" s="249">
        <f>IF(OR(U271="",V271=""),"",U271-(V271-IF(S271="",0,S271)))</f>
        <v/>
      </c>
      <c r="AC271" s="249">
        <f>IF(AB271="","",T271+AB271)</f>
        <v/>
      </c>
      <c r="AD271" s="249">
        <f>IF(B271="","",MAX($B$5:B271))</f>
        <v/>
      </c>
      <c r="AE271" s="256" t="n"/>
      <c r="AF271" s="255" t="n"/>
      <c r="AG271" s="255" t="n"/>
      <c r="AH271" s="255" t="n"/>
      <c r="AI271" s="255" t="n"/>
      <c r="AJ271" s="257">
        <f>IF($A271="","",YEAR($A271)*100+MONTH($A271))</f>
        <v/>
      </c>
      <c r="AK271" s="257">
        <f>IF($A271="","",IF($N271="",0,1))</f>
        <v/>
      </c>
    </row>
    <row r="272">
      <c r="A272" s="247" t="n">
        <v>46381</v>
      </c>
      <c r="B272" s="248">
        <f>IF(V272&lt;&gt;"",V272-T272,IF(AF272&lt;&gt;"",AA272+AF272,""))</f>
        <v/>
      </c>
      <c r="C272" s="249">
        <f>IF(OR(B272="",B271=""),"",B272-B271)</f>
        <v/>
      </c>
      <c r="D272" s="248">
        <f>IF(OR(B272="",AA272=""),"",B272-AA272)</f>
        <v/>
      </c>
      <c r="E272" s="250">
        <f>IF(OR(B272="",AD272=0),"",MIN(0,B272/AD272-1))</f>
        <v/>
      </c>
      <c r="F272" s="250">
        <f>IF(OR(U272="",T272=0,T272=""),"",(P272-T272*1.4)/U272)</f>
        <v/>
      </c>
      <c r="G272" s="251">
        <f>IF(OR(AC272="",'09_CF_원금'!$B$108=0),"",AC272/'09_CF_원금'!$B$108)</f>
        <v/>
      </c>
      <c r="H272" s="250">
        <f>IF(OR(U272="",U272=0,AC272=""),"",AC272/U272)</f>
        <v/>
      </c>
      <c r="I272" s="250">
        <f>IF(OR(S272="",U272=""),"",S272/(U272+S272))</f>
        <v/>
      </c>
      <c r="J272" s="248">
        <f>IF(W272&lt;&gt;"",W272-X272,IF(AG272&lt;&gt;"",AG272,""))</f>
        <v/>
      </c>
      <c r="K272" s="248">
        <f>IF(Q272&lt;&gt;"",Q272-Y272,IF(AH272&lt;&gt;"",AH272,""))</f>
        <v/>
      </c>
      <c r="L272" s="248">
        <f>IF(R272&lt;&gt;"",R272-Z272,IF(AI272&lt;&gt;"",AI272,""))</f>
        <v/>
      </c>
      <c r="M272" s="252" t="n"/>
      <c r="N272" s="253" t="n"/>
      <c r="O272" s="254" t="n"/>
      <c r="P272" s="255" t="n"/>
      <c r="Q272" s="258">
        <f>IF($A272="","",IF(Q271="","",Q271))</f>
        <v/>
      </c>
      <c r="R272" s="258">
        <f>IF($A272="","",IF(R271="","",R271))</f>
        <v/>
      </c>
      <c r="S272" s="258">
        <f>IF($A272="","",IF(S271="","",S271))</f>
        <v/>
      </c>
      <c r="T272" s="249">
        <f>IF(OR(P272="",W272=""),"",P272-W272)</f>
        <v/>
      </c>
      <c r="U272" s="258">
        <f>IF($A272="","",IF(U271="","",U271))</f>
        <v/>
      </c>
      <c r="V272" s="249">
        <f>IF(P272="","",P272+IF(Q272="",0,Q272)+IF(R272="",0,R272))</f>
        <v/>
      </c>
      <c r="W272" s="255" t="n"/>
      <c r="X272" s="249">
        <f>SUMIFS('09_CF_원금'!$E$6:$E$92,'09_CF_원금'!$D$6:$D$92,"국장",'09_CF_원금'!$A$6:$A$92,"&lt;="&amp;$A272)-SUMIFS('09_CF_원금'!$E$6:$E$92,'09_CF_원금'!$C$6:$C$92,"국장",'09_CF_원금'!$A$6:$A$92,"&lt;="&amp;$A272)</f>
        <v/>
      </c>
      <c r="Y272" s="249">
        <f>SUMIFS('09_CF_원금'!$E$6:$E$92,'09_CF_원금'!$D$6:$D$92,"미장",'09_CF_원금'!$A$6:$A$92,"&lt;="&amp;$A272)-SUMIFS('09_CF_원금'!$E$6:$E$92,'09_CF_원금'!$C$6:$C$92,"미장",'09_CF_원금'!$A$6:$A$92,"&lt;="&amp;$A272)</f>
        <v/>
      </c>
      <c r="Z272" s="249">
        <f>SUMIFS('09_CF_원금'!$E$6:$E$92,'09_CF_원금'!$D$6:$D$92,"ISA",'09_CF_원금'!$A$6:$A$92,"&lt;="&amp;$A272)-SUMIFS('09_CF_원금'!$E$6:$E$92,'09_CF_원금'!$C$6:$C$92,"ISA",'09_CF_원금'!$A$6:$A$92,"&lt;="&amp;$A272)</f>
        <v/>
      </c>
      <c r="AA272" s="249">
        <f>IF($A272="","",X272+Y272+Z272+SUMIFS('09_CF_원금'!$E$6:$E$92,'09_CF_원금'!$D$6:$D$92,"중국",'09_CF_원금'!$A$6:$A$92,"&lt;="&amp;$A272)-SUMIFS('09_CF_원금'!$E$6:$E$92,'09_CF_원금'!$C$6:$C$92,"중국",'09_CF_원금'!$A$6:$A$92,"&lt;="&amp;$A272)+SUMIFS('09_CF_원금'!$E$6:$E$92,'09_CF_원금'!$D$6:$D$92,"업비트",'09_CF_원금'!$A$6:$A$92,"&lt;="&amp;$A272)-SUMIFS('09_CF_원금'!$E$6:$E$92,'09_CF_원금'!$C$6:$C$92,"업비트",'09_CF_원금'!$A$6:$A$92,"&lt;="&amp;$A272))</f>
        <v/>
      </c>
      <c r="AB272" s="249">
        <f>IF(OR(U272="",V272=""),"",U272-(V272-IF(S272="",0,S272)))</f>
        <v/>
      </c>
      <c r="AC272" s="249">
        <f>IF(AB272="","",T272+AB272)</f>
        <v/>
      </c>
      <c r="AD272" s="249">
        <f>IF(B272="","",MAX($B$5:B272))</f>
        <v/>
      </c>
      <c r="AE272" s="256" t="n"/>
      <c r="AF272" s="255" t="n"/>
      <c r="AG272" s="255" t="n"/>
      <c r="AH272" s="255" t="n"/>
      <c r="AI272" s="255" t="n"/>
      <c r="AJ272" s="257">
        <f>IF($A272="","",YEAR($A272)*100+MONTH($A272))</f>
        <v/>
      </c>
      <c r="AK272" s="257">
        <f>IF($A272="","",IF($N272="",0,1))</f>
        <v/>
      </c>
    </row>
    <row r="273">
      <c r="A273" s="247" t="n">
        <v>46384</v>
      </c>
      <c r="B273" s="248">
        <f>IF(V273&lt;&gt;"",V273-T273,IF(AF273&lt;&gt;"",AA273+AF273,""))</f>
        <v/>
      </c>
      <c r="C273" s="249">
        <f>IF(OR(B273="",B272=""),"",B273-B272)</f>
        <v/>
      </c>
      <c r="D273" s="248">
        <f>IF(OR(B273="",AA273=""),"",B273-AA273)</f>
        <v/>
      </c>
      <c r="E273" s="250">
        <f>IF(OR(B273="",AD273=0),"",MIN(0,B273/AD273-1))</f>
        <v/>
      </c>
      <c r="F273" s="250">
        <f>IF(OR(U273="",T273=0,T273=""),"",(P273-T273*1.4)/U273)</f>
        <v/>
      </c>
      <c r="G273" s="251">
        <f>IF(OR(AC273="",'09_CF_원금'!$B$108=0),"",AC273/'09_CF_원금'!$B$108)</f>
        <v/>
      </c>
      <c r="H273" s="250">
        <f>IF(OR(U273="",U273=0,AC273=""),"",AC273/U273)</f>
        <v/>
      </c>
      <c r="I273" s="250">
        <f>IF(OR(S273="",U273=""),"",S273/(U273+S273))</f>
        <v/>
      </c>
      <c r="J273" s="248">
        <f>IF(W273&lt;&gt;"",W273-X273,IF(AG273&lt;&gt;"",AG273,""))</f>
        <v/>
      </c>
      <c r="K273" s="248">
        <f>IF(Q273&lt;&gt;"",Q273-Y273,IF(AH273&lt;&gt;"",AH273,""))</f>
        <v/>
      </c>
      <c r="L273" s="248">
        <f>IF(R273&lt;&gt;"",R273-Z273,IF(AI273&lt;&gt;"",AI273,""))</f>
        <v/>
      </c>
      <c r="M273" s="252" t="n"/>
      <c r="N273" s="253" t="n"/>
      <c r="O273" s="254" t="n"/>
      <c r="P273" s="255" t="n"/>
      <c r="Q273" s="258">
        <f>IF($A273="","",IF(Q272="","",Q272))</f>
        <v/>
      </c>
      <c r="R273" s="258">
        <f>IF($A273="","",IF(R272="","",R272))</f>
        <v/>
      </c>
      <c r="S273" s="258">
        <f>IF($A273="","",IF(S272="","",S272))</f>
        <v/>
      </c>
      <c r="T273" s="249">
        <f>IF(OR(P273="",W273=""),"",P273-W273)</f>
        <v/>
      </c>
      <c r="U273" s="258">
        <f>IF($A273="","",IF(U272="","",U272))</f>
        <v/>
      </c>
      <c r="V273" s="249">
        <f>IF(P273="","",P273+IF(Q273="",0,Q273)+IF(R273="",0,R273))</f>
        <v/>
      </c>
      <c r="W273" s="255" t="n"/>
      <c r="X273" s="249">
        <f>SUMIFS('09_CF_원금'!$E$6:$E$92,'09_CF_원금'!$D$6:$D$92,"국장",'09_CF_원금'!$A$6:$A$92,"&lt;="&amp;$A273)-SUMIFS('09_CF_원금'!$E$6:$E$92,'09_CF_원금'!$C$6:$C$92,"국장",'09_CF_원금'!$A$6:$A$92,"&lt;="&amp;$A273)</f>
        <v/>
      </c>
      <c r="Y273" s="249">
        <f>SUMIFS('09_CF_원금'!$E$6:$E$92,'09_CF_원금'!$D$6:$D$92,"미장",'09_CF_원금'!$A$6:$A$92,"&lt;="&amp;$A273)-SUMIFS('09_CF_원금'!$E$6:$E$92,'09_CF_원금'!$C$6:$C$92,"미장",'09_CF_원금'!$A$6:$A$92,"&lt;="&amp;$A273)</f>
        <v/>
      </c>
      <c r="Z273" s="249">
        <f>SUMIFS('09_CF_원금'!$E$6:$E$92,'09_CF_원금'!$D$6:$D$92,"ISA",'09_CF_원금'!$A$6:$A$92,"&lt;="&amp;$A273)-SUMIFS('09_CF_원금'!$E$6:$E$92,'09_CF_원금'!$C$6:$C$92,"ISA",'09_CF_원금'!$A$6:$A$92,"&lt;="&amp;$A273)</f>
        <v/>
      </c>
      <c r="AA273" s="249">
        <f>IF($A273="","",X273+Y273+Z273+SUMIFS('09_CF_원금'!$E$6:$E$92,'09_CF_원금'!$D$6:$D$92,"중국",'09_CF_원금'!$A$6:$A$92,"&lt;="&amp;$A273)-SUMIFS('09_CF_원금'!$E$6:$E$92,'09_CF_원금'!$C$6:$C$92,"중국",'09_CF_원금'!$A$6:$A$92,"&lt;="&amp;$A273)+SUMIFS('09_CF_원금'!$E$6:$E$92,'09_CF_원금'!$D$6:$D$92,"업비트",'09_CF_원금'!$A$6:$A$92,"&lt;="&amp;$A273)-SUMIFS('09_CF_원금'!$E$6:$E$92,'09_CF_원금'!$C$6:$C$92,"업비트",'09_CF_원금'!$A$6:$A$92,"&lt;="&amp;$A273))</f>
        <v/>
      </c>
      <c r="AB273" s="249">
        <f>IF(OR(U273="",V273=""),"",U273-(V273-IF(S273="",0,S273)))</f>
        <v/>
      </c>
      <c r="AC273" s="249">
        <f>IF(AB273="","",T273+AB273)</f>
        <v/>
      </c>
      <c r="AD273" s="249">
        <f>IF(B273="","",MAX($B$5:B273))</f>
        <v/>
      </c>
      <c r="AE273" s="256" t="n"/>
      <c r="AF273" s="255" t="n"/>
      <c r="AG273" s="255" t="n"/>
      <c r="AH273" s="255" t="n"/>
      <c r="AI273" s="255" t="n"/>
      <c r="AJ273" s="257">
        <f>IF($A273="","",YEAR($A273)*100+MONTH($A273))</f>
        <v/>
      </c>
      <c r="AK273" s="257">
        <f>IF($A273="","",IF($N273="",0,1))</f>
        <v/>
      </c>
    </row>
    <row r="274">
      <c r="A274" s="247" t="n">
        <v>46385</v>
      </c>
      <c r="B274" s="248">
        <f>IF(V274&lt;&gt;"",V274-T274,IF(AF274&lt;&gt;"",AA274+AF274,""))</f>
        <v/>
      </c>
      <c r="C274" s="249">
        <f>IF(OR(B274="",B273=""),"",B274-B273)</f>
        <v/>
      </c>
      <c r="D274" s="248">
        <f>IF(OR(B274="",AA274=""),"",B274-AA274)</f>
        <v/>
      </c>
      <c r="E274" s="250">
        <f>IF(OR(B274="",AD274=0),"",MIN(0,B274/AD274-1))</f>
        <v/>
      </c>
      <c r="F274" s="250">
        <f>IF(OR(U274="",T274=0,T274=""),"",(P274-T274*1.4)/U274)</f>
        <v/>
      </c>
      <c r="G274" s="251">
        <f>IF(OR(AC274="",'09_CF_원금'!$B$108=0),"",AC274/'09_CF_원금'!$B$108)</f>
        <v/>
      </c>
      <c r="H274" s="250">
        <f>IF(OR(U274="",U274=0,AC274=""),"",AC274/U274)</f>
        <v/>
      </c>
      <c r="I274" s="250">
        <f>IF(OR(S274="",U274=""),"",S274/(U274+S274))</f>
        <v/>
      </c>
      <c r="J274" s="248">
        <f>IF(W274&lt;&gt;"",W274-X274,IF(AG274&lt;&gt;"",AG274,""))</f>
        <v/>
      </c>
      <c r="K274" s="248">
        <f>IF(Q274&lt;&gt;"",Q274-Y274,IF(AH274&lt;&gt;"",AH274,""))</f>
        <v/>
      </c>
      <c r="L274" s="248">
        <f>IF(R274&lt;&gt;"",R274-Z274,IF(AI274&lt;&gt;"",AI274,""))</f>
        <v/>
      </c>
      <c r="M274" s="252" t="n"/>
      <c r="N274" s="253" t="n"/>
      <c r="O274" s="254" t="n"/>
      <c r="P274" s="255" t="n"/>
      <c r="Q274" s="258">
        <f>IF($A274="","",IF(Q273="","",Q273))</f>
        <v/>
      </c>
      <c r="R274" s="258">
        <f>IF($A274="","",IF(R273="","",R273))</f>
        <v/>
      </c>
      <c r="S274" s="258">
        <f>IF($A274="","",IF(S273="","",S273))</f>
        <v/>
      </c>
      <c r="T274" s="249">
        <f>IF(OR(P274="",W274=""),"",P274-W274)</f>
        <v/>
      </c>
      <c r="U274" s="258">
        <f>IF($A274="","",IF(U273="","",U273))</f>
        <v/>
      </c>
      <c r="V274" s="249">
        <f>IF(P274="","",P274+IF(Q274="",0,Q274)+IF(R274="",0,R274))</f>
        <v/>
      </c>
      <c r="W274" s="255" t="n"/>
      <c r="X274" s="249">
        <f>SUMIFS('09_CF_원금'!$E$6:$E$92,'09_CF_원금'!$D$6:$D$92,"국장",'09_CF_원금'!$A$6:$A$92,"&lt;="&amp;$A274)-SUMIFS('09_CF_원금'!$E$6:$E$92,'09_CF_원금'!$C$6:$C$92,"국장",'09_CF_원금'!$A$6:$A$92,"&lt;="&amp;$A274)</f>
        <v/>
      </c>
      <c r="Y274" s="249">
        <f>SUMIFS('09_CF_원금'!$E$6:$E$92,'09_CF_원금'!$D$6:$D$92,"미장",'09_CF_원금'!$A$6:$A$92,"&lt;="&amp;$A274)-SUMIFS('09_CF_원금'!$E$6:$E$92,'09_CF_원금'!$C$6:$C$92,"미장",'09_CF_원금'!$A$6:$A$92,"&lt;="&amp;$A274)</f>
        <v/>
      </c>
      <c r="Z274" s="249">
        <f>SUMIFS('09_CF_원금'!$E$6:$E$92,'09_CF_원금'!$D$6:$D$92,"ISA",'09_CF_원금'!$A$6:$A$92,"&lt;="&amp;$A274)-SUMIFS('09_CF_원금'!$E$6:$E$92,'09_CF_원금'!$C$6:$C$92,"ISA",'09_CF_원금'!$A$6:$A$92,"&lt;="&amp;$A274)</f>
        <v/>
      </c>
      <c r="AA274" s="249">
        <f>IF($A274="","",X274+Y274+Z274+SUMIFS('09_CF_원금'!$E$6:$E$92,'09_CF_원금'!$D$6:$D$92,"중국",'09_CF_원금'!$A$6:$A$92,"&lt;="&amp;$A274)-SUMIFS('09_CF_원금'!$E$6:$E$92,'09_CF_원금'!$C$6:$C$92,"중국",'09_CF_원금'!$A$6:$A$92,"&lt;="&amp;$A274)+SUMIFS('09_CF_원금'!$E$6:$E$92,'09_CF_원금'!$D$6:$D$92,"업비트",'09_CF_원금'!$A$6:$A$92,"&lt;="&amp;$A274)-SUMIFS('09_CF_원금'!$E$6:$E$92,'09_CF_원금'!$C$6:$C$92,"업비트",'09_CF_원금'!$A$6:$A$92,"&lt;="&amp;$A274))</f>
        <v/>
      </c>
      <c r="AB274" s="249">
        <f>IF(OR(U274="",V274=""),"",U274-(V274-IF(S274="",0,S274)))</f>
        <v/>
      </c>
      <c r="AC274" s="249">
        <f>IF(AB274="","",T274+AB274)</f>
        <v/>
      </c>
      <c r="AD274" s="249">
        <f>IF(B274="","",MAX($B$5:B274))</f>
        <v/>
      </c>
      <c r="AE274" s="256" t="n"/>
      <c r="AF274" s="255" t="n"/>
      <c r="AG274" s="255" t="n"/>
      <c r="AH274" s="255" t="n"/>
      <c r="AI274" s="255" t="n"/>
      <c r="AJ274" s="257">
        <f>IF($A274="","",YEAR($A274)*100+MONTH($A274))</f>
        <v/>
      </c>
      <c r="AK274" s="257">
        <f>IF($A274="","",IF($N274="",0,1))</f>
        <v/>
      </c>
    </row>
    <row r="275">
      <c r="A275" s="247" t="n">
        <v>46386</v>
      </c>
      <c r="B275" s="248">
        <f>IF(V275&lt;&gt;"",V275-T275,IF(AF275&lt;&gt;"",AA275+AF275,""))</f>
        <v/>
      </c>
      <c r="C275" s="249">
        <f>IF(OR(B275="",B274=""),"",B275-B274)</f>
        <v/>
      </c>
      <c r="D275" s="248">
        <f>IF(OR(B275="",AA275=""),"",B275-AA275)</f>
        <v/>
      </c>
      <c r="E275" s="250">
        <f>IF(OR(B275="",AD275=0),"",MIN(0,B275/AD275-1))</f>
        <v/>
      </c>
      <c r="F275" s="250">
        <f>IF(OR(U275="",T275=0,T275=""),"",(P275-T275*1.4)/U275)</f>
        <v/>
      </c>
      <c r="G275" s="251">
        <f>IF(OR(AC275="",'09_CF_원금'!$B$108=0),"",AC275/'09_CF_원금'!$B$108)</f>
        <v/>
      </c>
      <c r="H275" s="250">
        <f>IF(OR(U275="",U275=0,AC275=""),"",AC275/U275)</f>
        <v/>
      </c>
      <c r="I275" s="250">
        <f>IF(OR(S275="",U275=""),"",S275/(U275+S275))</f>
        <v/>
      </c>
      <c r="J275" s="248">
        <f>IF(W275&lt;&gt;"",W275-X275,IF(AG275&lt;&gt;"",AG275,""))</f>
        <v/>
      </c>
      <c r="K275" s="248">
        <f>IF(Q275&lt;&gt;"",Q275-Y275,IF(AH275&lt;&gt;"",AH275,""))</f>
        <v/>
      </c>
      <c r="L275" s="248">
        <f>IF(R275&lt;&gt;"",R275-Z275,IF(AI275&lt;&gt;"",AI275,""))</f>
        <v/>
      </c>
      <c r="M275" s="252" t="n"/>
      <c r="N275" s="253" t="n"/>
      <c r="O275" s="254" t="n"/>
      <c r="P275" s="255" t="n"/>
      <c r="Q275" s="258">
        <f>IF($A275="","",IF(Q274="","",Q274))</f>
        <v/>
      </c>
      <c r="R275" s="258">
        <f>IF($A275="","",IF(R274="","",R274))</f>
        <v/>
      </c>
      <c r="S275" s="258">
        <f>IF($A275="","",IF(S274="","",S274))</f>
        <v/>
      </c>
      <c r="T275" s="249">
        <f>IF(OR(P275="",W275=""),"",P275-W275)</f>
        <v/>
      </c>
      <c r="U275" s="258">
        <f>IF($A275="","",IF(U274="","",U274))</f>
        <v/>
      </c>
      <c r="V275" s="249">
        <f>IF(P275="","",P275+IF(Q275="",0,Q275)+IF(R275="",0,R275))</f>
        <v/>
      </c>
      <c r="W275" s="255" t="n"/>
      <c r="X275" s="249">
        <f>SUMIFS('09_CF_원금'!$E$6:$E$92,'09_CF_원금'!$D$6:$D$92,"국장",'09_CF_원금'!$A$6:$A$92,"&lt;="&amp;$A275)-SUMIFS('09_CF_원금'!$E$6:$E$92,'09_CF_원금'!$C$6:$C$92,"국장",'09_CF_원금'!$A$6:$A$92,"&lt;="&amp;$A275)</f>
        <v/>
      </c>
      <c r="Y275" s="249">
        <f>SUMIFS('09_CF_원금'!$E$6:$E$92,'09_CF_원금'!$D$6:$D$92,"미장",'09_CF_원금'!$A$6:$A$92,"&lt;="&amp;$A275)-SUMIFS('09_CF_원금'!$E$6:$E$92,'09_CF_원금'!$C$6:$C$92,"미장",'09_CF_원금'!$A$6:$A$92,"&lt;="&amp;$A275)</f>
        <v/>
      </c>
      <c r="Z275" s="249">
        <f>SUMIFS('09_CF_원금'!$E$6:$E$92,'09_CF_원금'!$D$6:$D$92,"ISA",'09_CF_원금'!$A$6:$A$92,"&lt;="&amp;$A275)-SUMIFS('09_CF_원금'!$E$6:$E$92,'09_CF_원금'!$C$6:$C$92,"ISA",'09_CF_원금'!$A$6:$A$92,"&lt;="&amp;$A275)</f>
        <v/>
      </c>
      <c r="AA275" s="249">
        <f>IF($A275="","",X275+Y275+Z275+SUMIFS('09_CF_원금'!$E$6:$E$92,'09_CF_원금'!$D$6:$D$92,"중국",'09_CF_원금'!$A$6:$A$92,"&lt;="&amp;$A275)-SUMIFS('09_CF_원금'!$E$6:$E$92,'09_CF_원금'!$C$6:$C$92,"중국",'09_CF_원금'!$A$6:$A$92,"&lt;="&amp;$A275)+SUMIFS('09_CF_원금'!$E$6:$E$92,'09_CF_원금'!$D$6:$D$92,"업비트",'09_CF_원금'!$A$6:$A$92,"&lt;="&amp;$A275)-SUMIFS('09_CF_원금'!$E$6:$E$92,'09_CF_원금'!$C$6:$C$92,"업비트",'09_CF_원금'!$A$6:$A$92,"&lt;="&amp;$A275))</f>
        <v/>
      </c>
      <c r="AB275" s="249">
        <f>IF(OR(U275="",V275=""),"",U275-(V275-IF(S275="",0,S275)))</f>
        <v/>
      </c>
      <c r="AC275" s="249">
        <f>IF(AB275="","",T275+AB275)</f>
        <v/>
      </c>
      <c r="AD275" s="249">
        <f>IF(B275="","",MAX($B$5:B275))</f>
        <v/>
      </c>
      <c r="AE275" s="256" t="n"/>
      <c r="AF275" s="255" t="n"/>
      <c r="AG275" s="255" t="n"/>
      <c r="AH275" s="255" t="n"/>
      <c r="AI275" s="255" t="n"/>
      <c r="AJ275" s="257">
        <f>IF($A275="","",YEAR($A275)*100+MONTH($A275))</f>
        <v/>
      </c>
      <c r="AK275" s="257">
        <f>IF($A275="","",IF($N275="",0,1))</f>
        <v/>
      </c>
    </row>
    <row r="276">
      <c r="A276" s="247" t="n">
        <v>46387</v>
      </c>
      <c r="B276" s="248">
        <f>IF(V276&lt;&gt;"",V276-T276,IF(AF276&lt;&gt;"",AA276+AF276,""))</f>
        <v/>
      </c>
      <c r="C276" s="249">
        <f>IF(OR(B276="",B275=""),"",B276-B275)</f>
        <v/>
      </c>
      <c r="D276" s="248">
        <f>IF(OR(B276="",AA276=""),"",B276-AA276)</f>
        <v/>
      </c>
      <c r="E276" s="250">
        <f>IF(OR(B276="",AD276=0),"",MIN(0,B276/AD276-1))</f>
        <v/>
      </c>
      <c r="F276" s="250">
        <f>IF(OR(U276="",T276=0,T276=""),"",(P276-T276*1.4)/U276)</f>
        <v/>
      </c>
      <c r="G276" s="251">
        <f>IF(OR(AC276="",'09_CF_원금'!$B$108=0),"",AC276/'09_CF_원금'!$B$108)</f>
        <v/>
      </c>
      <c r="H276" s="250">
        <f>IF(OR(U276="",U276=0,AC276=""),"",AC276/U276)</f>
        <v/>
      </c>
      <c r="I276" s="250">
        <f>IF(OR(S276="",U276=""),"",S276/(U276+S276))</f>
        <v/>
      </c>
      <c r="J276" s="248">
        <f>IF(W276&lt;&gt;"",W276-X276,IF(AG276&lt;&gt;"",AG276,""))</f>
        <v/>
      </c>
      <c r="K276" s="248">
        <f>IF(Q276&lt;&gt;"",Q276-Y276,IF(AH276&lt;&gt;"",AH276,""))</f>
        <v/>
      </c>
      <c r="L276" s="248">
        <f>IF(R276&lt;&gt;"",R276-Z276,IF(AI276&lt;&gt;"",AI276,""))</f>
        <v/>
      </c>
      <c r="M276" s="252" t="n"/>
      <c r="N276" s="253" t="n"/>
      <c r="O276" s="254" t="n"/>
      <c r="P276" s="255" t="n"/>
      <c r="Q276" s="258">
        <f>IF($A276="","",IF(Q275="","",Q275))</f>
        <v/>
      </c>
      <c r="R276" s="258">
        <f>IF($A276="","",IF(R275="","",R275))</f>
        <v/>
      </c>
      <c r="S276" s="258">
        <f>IF($A276="","",IF(S275="","",S275))</f>
        <v/>
      </c>
      <c r="T276" s="249">
        <f>IF(OR(P276="",W276=""),"",P276-W276)</f>
        <v/>
      </c>
      <c r="U276" s="258">
        <f>IF($A276="","",IF(U275="","",U275))</f>
        <v/>
      </c>
      <c r="V276" s="249">
        <f>IF(P276="","",P276+IF(Q276="",0,Q276)+IF(R276="",0,R276))</f>
        <v/>
      </c>
      <c r="W276" s="255" t="n"/>
      <c r="X276" s="249">
        <f>SUMIFS('09_CF_원금'!$E$6:$E$92,'09_CF_원금'!$D$6:$D$92,"국장",'09_CF_원금'!$A$6:$A$92,"&lt;="&amp;$A276)-SUMIFS('09_CF_원금'!$E$6:$E$92,'09_CF_원금'!$C$6:$C$92,"국장",'09_CF_원금'!$A$6:$A$92,"&lt;="&amp;$A276)</f>
        <v/>
      </c>
      <c r="Y276" s="249">
        <f>SUMIFS('09_CF_원금'!$E$6:$E$92,'09_CF_원금'!$D$6:$D$92,"미장",'09_CF_원금'!$A$6:$A$92,"&lt;="&amp;$A276)-SUMIFS('09_CF_원금'!$E$6:$E$92,'09_CF_원금'!$C$6:$C$92,"미장",'09_CF_원금'!$A$6:$A$92,"&lt;="&amp;$A276)</f>
        <v/>
      </c>
      <c r="Z276" s="249">
        <f>SUMIFS('09_CF_원금'!$E$6:$E$92,'09_CF_원금'!$D$6:$D$92,"ISA",'09_CF_원금'!$A$6:$A$92,"&lt;="&amp;$A276)-SUMIFS('09_CF_원금'!$E$6:$E$92,'09_CF_원금'!$C$6:$C$92,"ISA",'09_CF_원금'!$A$6:$A$92,"&lt;="&amp;$A276)</f>
        <v/>
      </c>
      <c r="AA276" s="249">
        <f>IF($A276="","",X276+Y276+Z276+SUMIFS('09_CF_원금'!$E$6:$E$92,'09_CF_원금'!$D$6:$D$92,"중국",'09_CF_원금'!$A$6:$A$92,"&lt;="&amp;$A276)-SUMIFS('09_CF_원금'!$E$6:$E$92,'09_CF_원금'!$C$6:$C$92,"중국",'09_CF_원금'!$A$6:$A$92,"&lt;="&amp;$A276)+SUMIFS('09_CF_원금'!$E$6:$E$92,'09_CF_원금'!$D$6:$D$92,"업비트",'09_CF_원금'!$A$6:$A$92,"&lt;="&amp;$A276)-SUMIFS('09_CF_원금'!$E$6:$E$92,'09_CF_원금'!$C$6:$C$92,"업비트",'09_CF_원금'!$A$6:$A$92,"&lt;="&amp;$A276))</f>
        <v/>
      </c>
      <c r="AB276" s="249">
        <f>IF(OR(U276="",V276=""),"",U276-(V276-IF(S276="",0,S276)))</f>
        <v/>
      </c>
      <c r="AC276" s="249">
        <f>IF(AB276="","",T276+AB276)</f>
        <v/>
      </c>
      <c r="AD276" s="249">
        <f>IF(B276="","",MAX($B$5:B276))</f>
        <v/>
      </c>
      <c r="AE276" s="256" t="n"/>
      <c r="AF276" s="255" t="n"/>
      <c r="AG276" s="255" t="n"/>
      <c r="AH276" s="255" t="n"/>
      <c r="AI276" s="255" t="n"/>
      <c r="AJ276" s="257">
        <f>IF($A276="","",YEAR($A276)*100+MONTH($A276))</f>
        <v/>
      </c>
      <c r="AK276" s="257">
        <f>IF($A276="","",IF($N276="",0,1))</f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8" customWidth="1" style="179" min="1" max="1"/>
    <col width="44" customWidth="1" style="179" min="2" max="2"/>
    <col width="26" customWidth="1" style="179" min="3" max="3"/>
    <col width="11" customWidth="1" style="179" min="4" max="4"/>
    <col width="15" customWidth="1" style="179" min="5" max="6"/>
    <col width="11" customWidth="1" style="179" min="7" max="7"/>
    <col width="38" customWidth="1" style="179" min="8" max="8"/>
    <col width="18" customWidth="1" style="179" min="9" max="9"/>
  </cols>
  <sheetData>
    <row r="1">
      <c r="A1" s="180" t="inlineStr">
        <is>
          <t>② 룰북  —  내 원칙을 '숫자'로 바꾼 것. 기준값은 내가 정한다.</t>
        </is>
      </c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99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181" t="inlineStr">
        <is>
          <t>Ⅰ. 매일 자동 판정되는 규칙</t>
        </is>
      </c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>
      <c r="A5" s="9" t="inlineStr">
        <is>
          <t>ID</t>
        </is>
      </c>
      <c r="B5" s="9" t="inlineStr">
        <is>
          <t>규칙 (내 원칙)</t>
        </is>
      </c>
      <c r="C5" s="9" t="inlineStr">
        <is>
          <t>측정지표</t>
        </is>
      </c>
      <c r="D5" s="9" t="inlineStr">
        <is>
          <t>기준값
(입력)</t>
        </is>
      </c>
      <c r="E5" s="9" t="inlineStr">
        <is>
          <t>경고값
(입력)</t>
        </is>
      </c>
      <c r="F5" s="9" t="inlineStr">
        <is>
          <t>현재값</t>
        </is>
      </c>
      <c r="G5" s="9" t="inlineStr">
        <is>
          <t>신호</t>
        </is>
      </c>
      <c r="H5" s="9" t="inlineStr">
        <is>
          <t>위반 시 행동</t>
        </is>
      </c>
      <c r="I5" s="9" t="inlineStr">
        <is>
          <t>원칙 출처</t>
        </is>
      </c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>
      <c r="A6" s="188" t="inlineStr">
        <is>
          <t>R01</t>
        </is>
      </c>
      <c r="B6" s="189" t="inlineStr">
        <is>
          <t>내 돈의 몇 배로 베팅하고 있는가 — 레버리지 총량</t>
        </is>
      </c>
      <c r="C6" s="189" t="inlineStr">
        <is>
          <t>실질 레버리지 배수</t>
        </is>
      </c>
      <c r="D6" s="210" t="n">
        <v>2</v>
      </c>
      <c r="E6" s="210" t="n">
        <v>5</v>
      </c>
      <c r="F6" s="211">
        <f>'03_포지션'!$B$54</f>
        <v/>
      </c>
      <c r="G6" s="188">
        <f>IF(F6="","⚪ 측정불가",IF(F6&lt;=D6,"🟢 준수",IF(F6&lt;=E6,"🟡 주의","🔴 위반")))</f>
        <v/>
      </c>
      <c r="H6" s="189" t="inlineStr">
        <is>
          <t>초과분만큼 레버·신용 축소. 이 숫자 하나가 레버리지의 전부다</t>
        </is>
      </c>
      <c r="I6" s="212" t="inlineStr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188" t="inlineStr">
        <is>
          <t>R02</t>
        </is>
      </c>
      <c r="B7" s="189" t="inlineStr">
        <is>
          <t>몇 % 더 빠지면 반대매매인가</t>
        </is>
      </c>
      <c r="C7" s="189" t="inlineStr">
        <is>
          <t>청산까지 하락여력</t>
        </is>
      </c>
      <c r="D7" s="213" t="n">
        <v>0.4</v>
      </c>
      <c r="E7" s="213" t="n">
        <v>0.2</v>
      </c>
      <c r="F7" s="214">
        <f>'03_포지션'!$B$52</f>
        <v/>
      </c>
      <c r="G7" s="188">
        <f>IF(F7="","⚪ 측정불가",IF(F7&gt;=D7,"🟢 준수",IF(F7&gt;=E7,"🟡 주의","🔴 위반")))</f>
        <v/>
      </c>
      <c r="H7" s="189" t="inlineStr">
        <is>
          <t>한 자리면 비상사태. 반등을 기다리는 건 전략이 아니다 (대원칙 11)</t>
        </is>
      </c>
      <c r="I7" s="212" t="inlineStr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188" t="inlineStr">
        <is>
          <t>R03</t>
        </is>
      </c>
      <c r="B8" s="189" t="inlineStr">
        <is>
          <t>현금도 포지션이다. 현금은 생명줄</t>
        </is>
      </c>
      <c r="C8" s="189" t="inlineStr">
        <is>
          <t>현금 비중</t>
        </is>
      </c>
      <c r="D8" s="213" t="n">
        <v>0.2</v>
      </c>
      <c r="E8" s="213" t="n">
        <v>0.1</v>
      </c>
      <c r="F8" s="214">
        <f>'03_포지션'!$B$56</f>
        <v/>
      </c>
      <c r="G8" s="188">
        <f>IF(F8="","⚪ 측정불가",IF(F8&gt;=D8,"🟢 준수",IF(F8&gt;=E8,"🟡 주의","🔴 위반")))</f>
        <v/>
      </c>
      <c r="H8" s="189" t="inlineStr">
        <is>
          <t>기준 미달 시 신규 매수 금지</t>
        </is>
      </c>
      <c r="I8" s="212" t="inlineStr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188" t="inlineStr">
        <is>
          <t>R04</t>
        </is>
      </c>
      <c r="B9" s="189" t="inlineStr">
        <is>
          <t>손절가를 정했고, 지키고 있는가</t>
        </is>
      </c>
      <c r="C9" s="189" t="inlineStr">
        <is>
          <t>손절 관리 위반 종목 수 (미입력+하회)</t>
        </is>
      </c>
      <c r="D9" s="215" t="n">
        <v>0</v>
      </c>
      <c r="E9" s="215" t="n">
        <v>1</v>
      </c>
      <c r="F9" s="216">
        <f>IFERROR('03_포지션'!$B$60+'03_포지션'!$B$61,"")</f>
        <v/>
      </c>
      <c r="G9" s="188">
        <f>IF(F9="","⚪ 측정불가",IF(F9&lt;=D9,"🟢 준수",IF(F9&lt;=E9,"🟡 주의","🔴 위반")))</f>
        <v/>
      </c>
      <c r="H9" s="189" t="inlineStr">
        <is>
          <t>미입력이면 즉시 기입, 하회면 즉시 집행. 둘 다 '손절이 없는' 상태다</t>
        </is>
      </c>
      <c r="I9" s="212" t="inlineStr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188" t="inlineStr">
        <is>
          <t>R05</t>
        </is>
      </c>
      <c r="B10" s="189" t="inlineStr">
        <is>
          <t>한 번의 패배가 계좌를 죽이지 않게 하라 (도익이형)</t>
        </is>
      </c>
      <c r="C10" s="189" t="inlineStr">
        <is>
          <t>전종목 손절 시 총손실 ÷ 순수 자기자본</t>
        </is>
      </c>
      <c r="D10" s="213" t="n">
        <v>0.1</v>
      </c>
      <c r="E10" s="213" t="n">
        <v>0.15</v>
      </c>
      <c r="F10" s="214">
        <f>'03_포지션'!$B$64</f>
        <v/>
      </c>
      <c r="G10" s="188">
        <f>IF(F10="","⚪ 측정불가",IF(F10&lt;=D10,"🟢 준수",IF(F10&lt;=E10,"🟡 주의","🔴 위반")))</f>
        <v/>
      </c>
      <c r="H10" s="189" t="inlineStr">
        <is>
          <t>익스포저를 줄이거나 손절가를 올린다. 이 숫자가 '한 번의 패배' 크기다</t>
        </is>
      </c>
      <c r="I10" s="212" t="inlineStr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188" t="inlineStr">
        <is>
          <t>R06</t>
        </is>
      </c>
      <c r="B11" s="189" t="inlineStr">
        <is>
          <t>한 섹터에 계좌 전체가 걸려 있지 않은가</t>
        </is>
      </c>
      <c r="C11" s="189" t="inlineStr">
        <is>
          <t>단일 섹터 최대비중</t>
        </is>
      </c>
      <c r="D11" s="213" t="n">
        <v>0.5</v>
      </c>
      <c r="E11" s="213" t="n">
        <v>0.8</v>
      </c>
      <c r="F11" s="214">
        <f>'03_포지션'!$B$59</f>
        <v/>
      </c>
      <c r="G11" s="188">
        <f>IF(F11="","⚪ 측정불가",IF(F11&lt;=D11,"🟢 준수",IF(F11&lt;=E11,"🟡 주의","🔴 위반")))</f>
        <v/>
      </c>
      <c r="H11" s="189" t="inlineStr">
        <is>
          <t>종목을 나눠도 전부 반도체면 분산이 아니다</t>
        </is>
      </c>
      <c r="I11" s="212" t="inlineStr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188" t="inlineStr">
        <is>
          <t>R07</t>
        </is>
      </c>
      <c r="B12" s="189" t="inlineStr">
        <is>
          <t>단일종목 레버리지 ETF 총량 제한</t>
        </is>
      </c>
      <c r="C12" s="189" t="inlineStr">
        <is>
          <t>레버ETF 평가액 ÷ 계좌 순자산</t>
        </is>
      </c>
      <c r="D12" s="213" t="n">
        <v>0.2</v>
      </c>
      <c r="E12" s="213" t="n">
        <v>0.3</v>
      </c>
      <c r="F12" s="214">
        <f>IFERROR(SUMIFS('03_포지션'!$I$17:$I$31,'03_포지션'!$H$17:$H$31,"&gt;1")/'03_포지션'!$B$41,"")</f>
        <v/>
      </c>
      <c r="G12" s="188">
        <f>IF(F12="","⚪ 측정불가",IF(F12&lt;=D12,"🟢 준수",IF(F12&lt;=E12,"🟡 주의","🔴 위반")))</f>
        <v/>
      </c>
      <c r="H12" s="189" t="inlineStr">
        <is>
          <t>'26.4~7월 -5.6억의 주범. 같은 배수라도 2배 ETF는 변동성 잠식이 추가된다</t>
        </is>
      </c>
      <c r="I12" s="212" t="inlineStr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188" t="inlineStr">
        <is>
          <t>R08</t>
        </is>
      </c>
      <c r="B13" s="189" t="inlineStr">
        <is>
          <t>빚은 연봉 대비 감당 가능한 범위 안에</t>
        </is>
      </c>
      <c r="C13" s="189" t="inlineStr">
        <is>
          <t>총차입 ÷ 연봉</t>
        </is>
      </c>
      <c r="D13" s="210" t="n">
        <v>2</v>
      </c>
      <c r="E13" s="210" t="n">
        <v>3</v>
      </c>
      <c r="F13" s="211">
        <f>'03_포지션'!$B$65</f>
        <v/>
      </c>
      <c r="G13" s="188">
        <f>IF(F13="","⚪ 측정불가",IF(F13&lt;=D13,"🟢 준수",IF(F13&lt;=E13,"🟡 주의","🔴 위반")))</f>
        <v/>
      </c>
      <c r="H13" s="189" t="inlineStr">
        <is>
          <t>상환 능력의 문제. 레버리지 배수와는 다른 축이다</t>
        </is>
      </c>
      <c r="I13" s="212" t="inlineStr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188" t="inlineStr">
        <is>
          <t>R09</t>
        </is>
      </c>
      <c r="B14" s="189" t="inlineStr">
        <is>
          <t>한 사람의 뷰에 계좌를 걸지 않는다</t>
        </is>
      </c>
      <c r="C14" s="189" t="inlineStr">
        <is>
          <t>이번 주 뷰 기록 출처 수</t>
        </is>
      </c>
      <c r="D14" s="217" t="n">
        <v>3</v>
      </c>
      <c r="E14" s="217" t="n">
        <v>2</v>
      </c>
      <c r="F14" s="218">
        <f>COUNTIFS('05_뷰트래커'!$A$17:$A$216,"&gt;="&amp;(TODAY()-WEEKDAY(TODAY(),3)))</f>
        <v/>
      </c>
      <c r="G14" s="188">
        <f>IF(F14="","⚪ 측정불가",IF(F14&gt;=D14,"🟢 준수",IF(F14&gt;=E14,"🟡 주의","🔴 위반")))</f>
        <v/>
      </c>
      <c r="H14" s="189" t="inlineStr">
        <is>
          <t>3명 미만이면 레버리지 관련 결정 보류 (대원칙 14)</t>
        </is>
      </c>
      <c r="I14" s="212" t="inlineStr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188" t="inlineStr">
        <is>
          <t>R10</t>
        </is>
      </c>
      <c r="B15" s="189" t="inlineStr">
        <is>
          <t>기조 무효화 조건이 발동하면 기조를 바꾼다</t>
        </is>
      </c>
      <c r="C15" s="189" t="inlineStr">
        <is>
          <t>무효화 조건 발동 건수</t>
        </is>
      </c>
      <c r="D15" s="219" t="n">
        <v>0</v>
      </c>
      <c r="E15" s="219" t="n">
        <v>1</v>
      </c>
      <c r="F15" s="220">
        <f>'05_뷰트래커'!$G$12</f>
        <v/>
      </c>
      <c r="G15" s="188">
        <f>IF(F15="","⚪ 측정불가",IF(F15&lt;=D15,"🟢 준수",IF(F15&lt;=E15,"🟡 주의","🔴 위반")))</f>
        <v/>
      </c>
      <c r="H15" s="189" t="inlineStr">
        <is>
          <t>발동했는데 그대로 두는 것이 가장 위험하다</t>
        </is>
      </c>
      <c r="I15" s="212" t="inlineStr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200" t="n"/>
      <c r="B16" s="201" t="n"/>
      <c r="C16" s="201" t="n"/>
      <c r="D16" s="221" t="n"/>
      <c r="E16" s="221" t="n"/>
      <c r="F16" s="222" t="n"/>
      <c r="G16" s="200" t="n"/>
      <c r="H16" s="201" t="n"/>
      <c r="I16" s="223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>
      <c r="A17" s="200" t="n"/>
      <c r="B17" s="201" t="n"/>
      <c r="C17" s="201" t="n"/>
      <c r="D17" s="224" t="n"/>
      <c r="E17" s="224" t="n"/>
      <c r="F17" s="225" t="n"/>
      <c r="G17" s="200" t="n"/>
      <c r="H17" s="201" t="n"/>
      <c r="I17" s="223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200" t="n"/>
      <c r="B18" s="201" t="n"/>
      <c r="C18" s="201" t="n"/>
      <c r="D18" s="226" t="n"/>
      <c r="E18" s="226" t="n"/>
      <c r="F18" s="227" t="n"/>
      <c r="G18" s="200" t="n"/>
      <c r="H18" s="201" t="n"/>
      <c r="I18" s="223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200" t="n"/>
      <c r="B19" s="201" t="n"/>
      <c r="C19" s="201" t="n"/>
      <c r="D19" s="228" t="n"/>
      <c r="E19" s="228" t="n"/>
      <c r="F19" s="229" t="n"/>
      <c r="G19" s="200" t="n"/>
      <c r="H19" s="201" t="n"/>
      <c r="I19" s="223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200" t="n"/>
      <c r="B20" s="201" t="n"/>
      <c r="C20" s="201" t="n"/>
      <c r="D20" s="221" t="n"/>
      <c r="E20" s="221" t="n"/>
      <c r="F20" s="222" t="n"/>
      <c r="G20" s="200" t="n"/>
      <c r="H20" s="201" t="n"/>
      <c r="I20" s="230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200" t="n"/>
      <c r="B21" s="201" t="n"/>
      <c r="C21" s="201" t="n"/>
      <c r="D21" s="228" t="n"/>
      <c r="E21" s="228" t="n"/>
      <c r="F21" s="229" t="n"/>
      <c r="G21" s="200" t="n"/>
      <c r="H21" s="201" t="n"/>
      <c r="I21" s="230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99" t="n"/>
      <c r="B22" s="25" t="inlineStr">
        <is>
          <t>위반(🔴) 개수</t>
        </is>
      </c>
      <c r="C22" s="99" t="n"/>
      <c r="D22" s="99" t="n"/>
      <c r="E22" s="99" t="n"/>
      <c r="F22" s="99" t="n"/>
      <c r="G22" s="59">
        <f>COUNTIF(G6:G15,"🔴*")</f>
        <v/>
      </c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99" t="n"/>
      <c r="B23" s="25" t="inlineStr">
        <is>
          <t>주의(🟡) 개수</t>
        </is>
      </c>
      <c r="C23" s="99" t="n"/>
      <c r="D23" s="99" t="n"/>
      <c r="E23" s="99" t="n"/>
      <c r="F23" s="99" t="n"/>
      <c r="G23" s="61">
        <f>COUNTIF(G6:G15,"🟡*")</f>
        <v/>
      </c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99" t="n"/>
      <c r="B24" s="99" t="n"/>
      <c r="C24" s="99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99" t="n"/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181" t="inlineStr">
        <is>
          <t>Ⅱ. 주기별 체크리스트</t>
        </is>
      </c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9" t="inlineStr">
        <is>
          <t>ID</t>
        </is>
      </c>
      <c r="B27" s="9" t="inlineStr">
        <is>
          <t>주기</t>
        </is>
      </c>
      <c r="C27" s="9" t="inlineStr">
        <is>
          <t>체크 항목</t>
        </is>
      </c>
      <c r="D27" s="9" t="inlineStr">
        <is>
          <t>주기
(일)</t>
        </is>
      </c>
      <c r="E27" s="9" t="inlineStr">
        <is>
          <t>최근 확인일
(입력)</t>
        </is>
      </c>
      <c r="F27" s="9" t="inlineStr">
        <is>
          <t>다음 예정일</t>
        </is>
      </c>
      <c r="G27" s="9" t="inlineStr">
        <is>
          <t>D-Day</t>
        </is>
      </c>
      <c r="H27" s="9" t="inlineStr">
        <is>
          <t>상태</t>
        </is>
      </c>
      <c r="I27" s="9" t="inlineStr">
        <is>
          <t>메모</t>
        </is>
      </c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10" t="inlineStr">
        <is>
          <t>W1</t>
        </is>
      </c>
      <c r="B28" s="66" t="inlineStr">
        <is>
          <t>주간</t>
        </is>
      </c>
      <c r="C28" s="11" t="inlineStr">
        <is>
          <t>뷰 3소스 기록 + 투자 기조 갱신 (05_뷰트래커 Ⅰ·Ⅲ)</t>
        </is>
      </c>
      <c r="D28" s="68" t="n">
        <v>7</v>
      </c>
      <c r="E28" s="162" t="n">
        <v>46237</v>
      </c>
      <c r="F28" s="71">
        <f>IF(E28="","",E28+D28)</f>
        <v/>
      </c>
      <c r="G28" s="72">
        <f>IF(E28="","",F28-TODAY())</f>
        <v/>
      </c>
      <c r="H28" s="10">
        <f>IF(E28="","⚪ 미확인",IF(G28&lt;0,"🔴 기한초과",IF(G28&lt;=2,"🟡 임박","🟢 여유")))</f>
        <v/>
      </c>
      <c r="I28" s="74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10" t="inlineStr">
        <is>
          <t>W2</t>
        </is>
      </c>
      <c r="B29" s="66" t="inlineStr">
        <is>
          <t>주간</t>
        </is>
      </c>
      <c r="C29" s="11" t="inlineStr">
        <is>
          <t>03_포지션 전체 갱신 + 종목별 논리 점검 (펀더멘탈 훼손이면 매도)</t>
        </is>
      </c>
      <c r="D29" s="68" t="n">
        <v>7</v>
      </c>
      <c r="E29" s="162" t="n">
        <v>46237</v>
      </c>
      <c r="F29" s="71">
        <f>IF(E29="","",E29+D29)</f>
        <v/>
      </c>
      <c r="G29" s="72">
        <f>IF(E29="","",F29-TODAY())</f>
        <v/>
      </c>
      <c r="H29" s="10">
        <f>IF(E29="","⚪ 미확인",IF(G29&lt;0,"🔴 기한초과",IF(G29&lt;=2,"🟡 임박","🟢 여유")))</f>
        <v/>
      </c>
      <c r="I29" s="74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10" t="inlineStr">
        <is>
          <t>W3</t>
        </is>
      </c>
      <c r="B30" s="66" t="inlineStr">
        <is>
          <t>주간</t>
        </is>
      </c>
      <c r="C30" s="11" t="inlineStr">
        <is>
          <t>이번 주 위반·매매일지 리뷰 (01_일별로그 P열 / 04_매매일지)</t>
        </is>
      </c>
      <c r="D30" s="68" t="n">
        <v>7</v>
      </c>
      <c r="E30" s="162" t="n">
        <v>46237</v>
      </c>
      <c r="F30" s="71">
        <f>IF(E30="","",E30+D30)</f>
        <v/>
      </c>
      <c r="G30" s="72">
        <f>IF(E30="","",F30-TODAY())</f>
        <v/>
      </c>
      <c r="H30" s="10">
        <f>IF(E30="","⚪ 미확인",IF(G30&lt;0,"🔴 기한초과",IF(G30&lt;=2,"🟡 임박","🟢 여유")))</f>
        <v/>
      </c>
      <c r="I30" s="74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10" t="inlineStr">
        <is>
          <t>W4</t>
        </is>
      </c>
      <c r="B31" s="66" t="inlineStr">
        <is>
          <t>주간</t>
        </is>
      </c>
      <c r="C31" s="11" t="inlineStr">
        <is>
          <t>벤치마크 대비 성과 + 다음 주 이벤트 확인</t>
        </is>
      </c>
      <c r="D31" s="68" t="n">
        <v>7</v>
      </c>
      <c r="E31" s="162" t="n">
        <v>46237</v>
      </c>
      <c r="F31" s="71">
        <f>IF(E31="","",E31+D31)</f>
        <v/>
      </c>
      <c r="G31" s="72">
        <f>IF(E31="","",F31-TODAY())</f>
        <v/>
      </c>
      <c r="H31" s="10">
        <f>IF(E31="","⚪ 미확인",IF(G31&lt;0,"🔴 기한초과",IF(G31&lt;=2,"🟡 임박","🟢 여유")))</f>
        <v/>
      </c>
      <c r="I31" s="74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10" t="inlineStr">
        <is>
          <t>M1</t>
        </is>
      </c>
      <c r="B32" s="66" t="inlineStr">
        <is>
          <t>월간</t>
        </is>
      </c>
      <c r="C32" s="11" t="inlineStr">
        <is>
          <t>신용·대출 이자 + 해외주식 실현이익 입력 (09_CF Ⅳ·Ⅴ)</t>
        </is>
      </c>
      <c r="D32" s="68" t="n">
        <v>30</v>
      </c>
      <c r="E32" s="162" t="n">
        <v>46237</v>
      </c>
      <c r="F32" s="71">
        <f>IF(E32="","",E32+D32)</f>
        <v/>
      </c>
      <c r="G32" s="72">
        <f>IF(E32="","",F32-TODAY())</f>
        <v/>
      </c>
      <c r="H32" s="10">
        <f>IF(E32="","⚪ 미확인",IF(G32&lt;0,"🔴 기한초과",IF(G32&lt;=2,"🟡 임박","🟢 여유")))</f>
        <v/>
      </c>
      <c r="I32" s="74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10" t="inlineStr">
        <is>
          <t>M2</t>
        </is>
      </c>
      <c r="B33" s="66" t="inlineStr">
        <is>
          <t>월간</t>
        </is>
      </c>
      <c r="C33" s="11" t="inlineStr">
        <is>
          <t>월간결산 — 규칙 준수율과 '이자 차감 후 손익' 확인</t>
        </is>
      </c>
      <c r="D33" s="68" t="n">
        <v>30</v>
      </c>
      <c r="E33" s="162" t="n">
        <v>46237</v>
      </c>
      <c r="F33" s="71">
        <f>IF(E33="","",E33+D33)</f>
        <v/>
      </c>
      <c r="G33" s="72">
        <f>IF(E33="","",F33-TODAY())</f>
        <v/>
      </c>
      <c r="H33" s="10">
        <f>IF(E33="","⚪ 미확인",IF(G33&lt;0,"🔴 기한초과",IF(G33&lt;=2,"🟡 임박","🟢 여유")))</f>
        <v/>
      </c>
      <c r="I33" s="74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10" t="inlineStr">
        <is>
          <t>M3</t>
        </is>
      </c>
      <c r="B34" s="66" t="inlineStr">
        <is>
          <t>월간</t>
        </is>
      </c>
      <c r="C34" s="11" t="inlineStr">
        <is>
          <t>감정태그별 집계 확인 + 10_생각노트 Ⅲ 일기 훑어보기 + 배운 것 1줄 룰북 반영</t>
        </is>
      </c>
      <c r="D34" s="68" t="n">
        <v>30</v>
      </c>
      <c r="E34" s="162" t="n">
        <v>46237</v>
      </c>
      <c r="F34" s="71">
        <f>IF(E34="","",E34+D34)</f>
        <v/>
      </c>
      <c r="G34" s="72">
        <f>IF(E34="","",F34-TODAY())</f>
        <v/>
      </c>
      <c r="H34" s="10">
        <f>IF(E34="","⚪ 미확인",IF(G34&lt;0,"🔴 기한초과",IF(G34&lt;=2,"🟡 임박","🟢 여유")))</f>
        <v/>
      </c>
      <c r="I34" s="74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10" t="inlineStr">
        <is>
          <t>M4</t>
        </is>
      </c>
      <c r="B35" s="66" t="inlineStr">
        <is>
          <t>월간</t>
        </is>
      </c>
      <c r="C35" s="11" t="inlineStr">
        <is>
          <t>10_생각노트 Ⅰ 개선 아이디어 백로그 점검 — 이번 달에 반영할 것 고르기</t>
        </is>
      </c>
      <c r="D35" s="68" t="n">
        <v>30</v>
      </c>
      <c r="E35" s="162" t="n">
        <v>46237</v>
      </c>
      <c r="F35" s="71">
        <f>IF(E35="","",E35+D35)</f>
        <v/>
      </c>
      <c r="G35" s="72">
        <f>IF(E35="","",F35-TODAY())</f>
        <v/>
      </c>
      <c r="H35" s="10">
        <f>IF(E35="","⚪ 미확인",IF(G35&lt;0,"🔴 기한초과",IF(G35&lt;=2,"🟡 임박","🟢 여유")))</f>
        <v/>
      </c>
      <c r="I35" s="74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10" t="inlineStr">
        <is>
          <t>Q1</t>
        </is>
      </c>
      <c r="B36" s="66" t="inlineStr">
        <is>
          <t>분기</t>
        </is>
      </c>
      <c r="C36" s="11" t="inlineStr">
        <is>
          <t>출처별 적중률 — 누구 말이 실제로 맞았는가 (05_뷰트래커 Ⅴ)</t>
        </is>
      </c>
      <c r="D36" s="68" t="n">
        <v>90</v>
      </c>
      <c r="E36" s="162" t="n">
        <v>46237</v>
      </c>
      <c r="F36" s="71">
        <f>IF(E36="","",E36+D36)</f>
        <v/>
      </c>
      <c r="G36" s="72">
        <f>IF(E36="","",F36-TODAY())</f>
        <v/>
      </c>
      <c r="H36" s="10">
        <f>IF(E36="","⚪ 미확인",IF(G36&lt;0,"🔴 기한초과",IF(G36&lt;=2,"🟡 임박","🟢 여유")))</f>
        <v/>
      </c>
      <c r="I36" s="74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10" t="inlineStr">
        <is>
          <t>Q2</t>
        </is>
      </c>
      <c r="B37" s="66" t="inlineStr">
        <is>
          <t>분기</t>
        </is>
      </c>
      <c r="C37" s="11" t="inlineStr">
        <is>
          <t>대원칙 재작성 + 10_생각노트 Ⅱ '잊지 말아야 할 것' 전부 다시 읽기</t>
        </is>
      </c>
      <c r="D37" s="68" t="n">
        <v>90</v>
      </c>
      <c r="E37" s="162" t="n">
        <v>46237</v>
      </c>
      <c r="F37" s="71">
        <f>IF(E37="","",E37+D37)</f>
        <v/>
      </c>
      <c r="G37" s="72">
        <f>IF(E37="","",F37-TODAY())</f>
        <v/>
      </c>
      <c r="H37" s="10">
        <f>IF(E37="","⚪ 미확인",IF(G37&lt;0,"🔴 기한초과",IF(G37&lt;=2,"🟡 임박","🟢 여유")))</f>
        <v/>
      </c>
      <c r="I37" s="74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10" t="inlineStr">
        <is>
          <t>Q3</t>
        </is>
      </c>
      <c r="B38" s="66" t="inlineStr">
        <is>
          <t>분기</t>
        </is>
      </c>
      <c r="C38" s="11" t="inlineStr">
        <is>
          <t>계좌별 원금 대사 + 목표 재설정 (벤치마크는 나스닥이다)</t>
        </is>
      </c>
      <c r="D38" s="68" t="n">
        <v>90</v>
      </c>
      <c r="E38" s="162" t="n">
        <v>46237</v>
      </c>
      <c r="F38" s="71">
        <f>IF(E38="","",E38+D38)</f>
        <v/>
      </c>
      <c r="G38" s="72">
        <f>IF(E38="","",F38-TODAY())</f>
        <v/>
      </c>
      <c r="H38" s="10">
        <f>IF(E38="","⚪ 미확인",IF(G38&lt;0,"🔴 기한초과",IF(G38&lt;=2,"🟡 임박","🟢 여유")))</f>
        <v/>
      </c>
      <c r="I38" s="74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25" t="n"/>
      <c r="B39" s="31" t="n"/>
      <c r="C39" s="86" t="n"/>
      <c r="D39" s="87" t="n"/>
      <c r="E39" s="88" t="n"/>
      <c r="F39" s="89" t="n"/>
      <c r="G39" s="90" t="n"/>
      <c r="H39" s="25" t="n"/>
      <c r="I39" s="91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25" t="n"/>
      <c r="B40" s="31" t="n"/>
      <c r="C40" s="86" t="n"/>
      <c r="D40" s="87" t="n"/>
      <c r="E40" s="88" t="n"/>
      <c r="F40" s="89" t="n"/>
      <c r="G40" s="90" t="n"/>
      <c r="H40" s="25" t="n"/>
      <c r="I40" s="91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25" t="n"/>
      <c r="B41" s="31" t="n"/>
      <c r="C41" s="86" t="n"/>
      <c r="D41" s="87" t="n"/>
      <c r="E41" s="88" t="n"/>
      <c r="F41" s="89" t="n"/>
      <c r="G41" s="90" t="n"/>
      <c r="H41" s="25" t="n"/>
      <c r="I41" s="91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25" t="n"/>
      <c r="B42" s="31" t="n"/>
      <c r="C42" s="86" t="n"/>
      <c r="D42" s="87" t="n"/>
      <c r="E42" s="88" t="n"/>
      <c r="F42" s="89" t="n"/>
      <c r="G42" s="90" t="n"/>
      <c r="H42" s="25" t="n"/>
      <c r="I42" s="91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25" t="n"/>
      <c r="B43" s="31" t="n"/>
      <c r="C43" s="86" t="n"/>
      <c r="D43" s="87" t="n"/>
      <c r="E43" s="88" t="n"/>
      <c r="F43" s="89" t="n"/>
      <c r="G43" s="90" t="n"/>
      <c r="H43" s="25" t="n"/>
      <c r="I43" s="91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25" t="n"/>
      <c r="B44" s="31" t="n"/>
      <c r="C44" s="86" t="n"/>
      <c r="D44" s="87" t="n"/>
      <c r="E44" s="88" t="n"/>
      <c r="F44" s="89" t="n"/>
      <c r="G44" s="90" t="n"/>
      <c r="H44" s="25" t="n"/>
      <c r="I44" s="91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25" t="n"/>
      <c r="B45" s="31" t="n"/>
      <c r="C45" s="86" t="n"/>
      <c r="D45" s="87" t="n"/>
      <c r="E45" s="88" t="n"/>
      <c r="F45" s="89" t="n"/>
      <c r="G45" s="90" t="n"/>
      <c r="H45" s="25" t="n"/>
      <c r="I45" s="91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25" t="n"/>
      <c r="B46" s="31" t="n"/>
      <c r="C46" s="86" t="n"/>
      <c r="D46" s="87" t="n"/>
      <c r="E46" s="88" t="n"/>
      <c r="F46" s="89" t="n"/>
      <c r="G46" s="90" t="n"/>
      <c r="H46" s="25" t="n"/>
      <c r="I46" s="91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99" t="n"/>
      <c r="B47" s="99" t="n"/>
      <c r="C47" s="10" t="inlineStr">
        <is>
          <t>기한초과 / 미확인 항목 수</t>
        </is>
      </c>
      <c r="D47" s="99" t="n"/>
      <c r="E47" s="99" t="n"/>
      <c r="F47" s="99" t="n"/>
      <c r="G47" s="99" t="n"/>
      <c r="H47" s="59">
        <f>COUNTIF(H28:H38,"🔴*")+COUNTIF(H28:H38,"⚪*")</f>
        <v/>
      </c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9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181" t="inlineStr">
        <is>
          <t>Ⅲ. 대원칙 (매일 아침 한 번 읽는다)</t>
        </is>
      </c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8" customHeight="1" s="179">
      <c r="A51" s="282" t="inlineStr">
        <is>
          <t>1. 현생을 살자. 돈보다 중요한 건 시간이고 청춘이다.</t>
        </is>
      </c>
      <c r="B51" s="279" t="n"/>
      <c r="C51" s="279" t="n"/>
      <c r="D51" s="279" t="n"/>
      <c r="E51" s="279" t="n"/>
      <c r="F51" s="279" t="n"/>
      <c r="G51" s="279" t="n"/>
      <c r="H51" s="279" t="n"/>
      <c r="I51" s="27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8" customHeight="1" s="179">
      <c r="A52" s="282" t="inlineStr">
        <is>
          <t>2. 방향성 베팅을 지양한다. 인버스 &amp; 개별 종목 전량 레버리지는 금지.</t>
        </is>
      </c>
      <c r="B52" s="279" t="n"/>
      <c r="C52" s="279" t="n"/>
      <c r="D52" s="279" t="n"/>
      <c r="E52" s="279" t="n"/>
      <c r="F52" s="279" t="n"/>
      <c r="G52" s="279" t="n"/>
      <c r="H52" s="279" t="n"/>
      <c r="I52" s="27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8" customHeight="1" s="179">
      <c r="A53" s="282" t="inlineStr">
        <is>
          <t>3. 조급함을 주의하라. 벤치마크는 나스닥이다.</t>
        </is>
      </c>
      <c r="B53" s="279" t="n"/>
      <c r="C53" s="279" t="n"/>
      <c r="D53" s="279" t="n"/>
      <c r="E53" s="279" t="n"/>
      <c r="F53" s="279" t="n"/>
      <c r="G53" s="279" t="n"/>
      <c r="H53" s="279" t="n"/>
      <c r="I53" s="27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8" customHeight="1" s="179">
      <c r="A54" s="282" t="inlineStr">
        <is>
          <t>4. 탐욕을 멀리하라. 만족할 수익이 났을 때 일부라도 즉시 실현하는 습관을 들여라.</t>
        </is>
      </c>
      <c r="B54" s="279" t="n"/>
      <c r="C54" s="279" t="n"/>
      <c r="D54" s="279" t="n"/>
      <c r="E54" s="279" t="n"/>
      <c r="F54" s="279" t="n"/>
      <c r="G54" s="279" t="n"/>
      <c r="H54" s="279" t="n"/>
      <c r="I54" s="27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8" customHeight="1" s="179">
      <c r="A55" s="282" t="inlineStr">
        <is>
          <t>5. 현금도 포지션이다. 현금은 나의 생명줄이다.</t>
        </is>
      </c>
      <c r="B55" s="279" t="n"/>
      <c r="C55" s="279" t="n"/>
      <c r="D55" s="279" t="n"/>
      <c r="E55" s="279" t="n"/>
      <c r="F55" s="279" t="n"/>
      <c r="G55" s="279" t="n"/>
      <c r="H55" s="279" t="n"/>
      <c r="I55" s="27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8" customHeight="1" s="179">
      <c r="A56" s="282" t="inlineStr">
        <is>
          <t>6. 신용도 결국 남의 돈이다. 이자는 매달 나가는 확정 손실이다.</t>
        </is>
      </c>
      <c r="B56" s="279" t="n"/>
      <c r="C56" s="279" t="n"/>
      <c r="D56" s="279" t="n"/>
      <c r="E56" s="279" t="n"/>
      <c r="F56" s="279" t="n"/>
      <c r="G56" s="279" t="n"/>
      <c r="H56" s="279" t="n"/>
      <c r="I56" s="27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8" customHeight="1" s="179">
      <c r="A57" s="282" t="inlineStr">
        <is>
          <t>7. 계좌 고점은 내 돈이 아니다.</t>
        </is>
      </c>
      <c r="B57" s="279" t="n"/>
      <c r="C57" s="279" t="n"/>
      <c r="D57" s="279" t="n"/>
      <c r="E57" s="279" t="n"/>
      <c r="F57" s="279" t="n"/>
      <c r="G57" s="279" t="n"/>
      <c r="H57" s="279" t="n"/>
      <c r="I57" s="27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8" customHeight="1" s="179">
      <c r="A58" s="282" t="inlineStr">
        <is>
          <t>8. 일이 터진 후 대응하면 늦다. 사후 대응은 '리스크 관리' 차원에서만.</t>
        </is>
      </c>
      <c r="B58" s="279" t="n"/>
      <c r="C58" s="279" t="n"/>
      <c r="D58" s="279" t="n"/>
      <c r="E58" s="279" t="n"/>
      <c r="F58" s="279" t="n"/>
      <c r="G58" s="279" t="n"/>
      <c r="H58" s="279" t="n"/>
      <c r="I58" s="27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8" customHeight="1" s="179">
      <c r="A59" s="282" t="inlineStr">
        <is>
          <t>9. 한 사람의 뷰에 계좌를 걸지 마라. 최소 3개 소스, 그리고 누가 맞았는지 기록한다.</t>
        </is>
      </c>
      <c r="B59" s="279" t="n"/>
      <c r="C59" s="279" t="n"/>
      <c r="D59" s="279" t="n"/>
      <c r="E59" s="279" t="n"/>
      <c r="F59" s="279" t="n"/>
      <c r="G59" s="279" t="n"/>
      <c r="H59" s="279" t="n"/>
      <c r="I59" s="27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8" customHeight="1" s="179">
      <c r="A60" s="282" t="inlineStr">
        <is>
          <t>10. 기조를 먼저 정하고, 그 기조를 깨는 조건도 함께 정해둔다.</t>
        </is>
      </c>
      <c r="B60" s="279" t="n"/>
      <c r="C60" s="279" t="n"/>
      <c r="D60" s="279" t="n"/>
      <c r="E60" s="279" t="n"/>
      <c r="F60" s="279" t="n"/>
      <c r="G60" s="279" t="n"/>
      <c r="H60" s="279" t="n"/>
      <c r="I60" s="27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8" customHeight="1" s="179">
      <c r="A61" s="281" t="inlineStr">
        <is>
          <t>11. 운에 계좌를 시험하지 마라. 살아남았을 때 그것이 실력이었는지 운이었는지 반드시 구분하라.</t>
        </is>
      </c>
      <c r="B61" s="279" t="n"/>
      <c r="C61" s="279" t="n"/>
      <c r="D61" s="279" t="n"/>
      <c r="E61" s="279" t="n"/>
      <c r="F61" s="279" t="n"/>
      <c r="G61" s="279" t="n"/>
      <c r="H61" s="279" t="n"/>
      <c r="I61" s="27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8" customHeight="1" s="179">
      <c r="A62" s="281" t="inlineStr">
        <is>
          <t>12. 한 번의 패배가 계좌를 죽이지 않게 하라. 익스포저는 계좌의 일부만, 손절컷은 반드시. (도익이형)</t>
        </is>
      </c>
      <c r="B62" s="279" t="n"/>
      <c r="C62" s="279" t="n"/>
      <c r="D62" s="279" t="n"/>
      <c r="E62" s="279" t="n"/>
      <c r="F62" s="279" t="n"/>
      <c r="G62" s="279" t="n"/>
      <c r="H62" s="279" t="n"/>
      <c r="I62" s="27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8" customHeight="1" s="179">
      <c r="A63" s="281" t="inlineStr">
        <is>
          <t>13. 수익 국면이 가장 위험하다. 수익에 무뎌지는 순간이 바로 디레버리징 타이밍이다.</t>
        </is>
      </c>
      <c r="B63" s="279" t="n"/>
      <c r="C63" s="279" t="n"/>
      <c r="D63" s="279" t="n"/>
      <c r="E63" s="279" t="n"/>
      <c r="F63" s="279" t="n"/>
      <c r="G63" s="279" t="n"/>
      <c r="H63" s="279" t="n"/>
      <c r="I63" s="27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8" customHeight="1" s="179">
      <c r="A64" s="281" t="inlineStr">
        <is>
          <t>14. 시장을 존중하라. 남의 계좌와 비교하지 말고, 두 사람 말만 듣지 마라.</t>
        </is>
      </c>
      <c r="B64" s="279" t="n"/>
      <c r="C64" s="279" t="n"/>
      <c r="D64" s="279" t="n"/>
      <c r="E64" s="279" t="n"/>
      <c r="F64" s="279" t="n"/>
      <c r="G64" s="279" t="n"/>
      <c r="H64" s="279" t="n"/>
      <c r="I64" s="27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8" customHeight="1" s="179">
      <c r="A65" s="286" t="inlineStr">
        <is>
          <t>15. 회복에는 순서가 있다. 청산 리스크 제거 → 손절 집행 → 차입 정리 → 현금 확보 → 분산 회복. 앞 단계가 끝나기 전에 다음으로 넘어가지 않는다.</t>
        </is>
      </c>
      <c r="B65" s="279" t="n"/>
      <c r="C65" s="279" t="n"/>
      <c r="D65" s="279" t="n"/>
      <c r="E65" s="279" t="n"/>
      <c r="F65" s="279" t="n"/>
      <c r="G65" s="279" t="n"/>
      <c r="H65" s="279" t="n"/>
      <c r="I65" s="27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19">
    <mergeCell ref="A65:I65"/>
    <mergeCell ref="A56:I56"/>
    <mergeCell ref="A55:I55"/>
    <mergeCell ref="A50:I50"/>
    <mergeCell ref="A26:I26"/>
    <mergeCell ref="A57:I57"/>
    <mergeCell ref="A53:I53"/>
    <mergeCell ref="A4:I4"/>
    <mergeCell ref="A62:I62"/>
    <mergeCell ref="A52:I52"/>
    <mergeCell ref="A63:I63"/>
    <mergeCell ref="A58:I58"/>
    <mergeCell ref="A64:I64"/>
    <mergeCell ref="A59:I59"/>
    <mergeCell ref="A51:I51"/>
    <mergeCell ref="A60:I60"/>
    <mergeCell ref="A1:I1"/>
    <mergeCell ref="A61:I61"/>
    <mergeCell ref="A54:I5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workbookViewId="0">
      <pane ySplit="16" topLeftCell="A17" activePane="bottomLeft" state="frozen"/>
      <selection pane="bottomLeft" activeCell="B18" sqref="B18"/>
    </sheetView>
  </sheetViews>
  <sheetFormatPr baseColWidth="8" defaultColWidth="14.43" defaultRowHeight="15" customHeight="1"/>
  <cols>
    <col width="28" customWidth="1" style="179" min="1" max="1"/>
    <col width="16" customWidth="1" style="179" min="2" max="2"/>
    <col width="15" customWidth="1" style="179" min="3" max="3"/>
    <col width="10" customWidth="1" style="179" min="4" max="4"/>
    <col width="11" customWidth="1" style="179" min="5" max="5"/>
    <col width="13" customWidth="1" style="179" min="6" max="7"/>
    <col width="8" customWidth="1" style="179" min="8" max="8"/>
    <col width="16" customWidth="1" style="179" min="9" max="10"/>
    <col width="10" customWidth="1" style="179" min="11" max="11"/>
    <col width="16" customWidth="1" style="179" min="12" max="12"/>
    <col width="8" customWidth="1" style="179" min="13" max="13"/>
    <col width="13" customWidth="1" style="179" min="14" max="14"/>
    <col width="10" customWidth="1" style="179" min="15" max="15"/>
    <col width="15" customWidth="1" style="179" min="16" max="16"/>
    <col width="10" customWidth="1" style="179" min="17" max="17"/>
    <col width="34" customWidth="1" style="179" min="18" max="18"/>
    <col width="8" customWidth="1" style="179" min="19" max="19"/>
  </cols>
  <sheetData>
    <row r="1">
      <c r="A1" s="180" t="inlineStr">
        <is>
          <t>③ 포지션 &amp; 계좌 현황  —  ★ 매일 여기만 열면 됩니다 (노란칸만 입력)</t>
        </is>
      </c>
      <c r="T1" s="99" t="n"/>
      <c r="U1" s="99" t="n"/>
      <c r="V1" s="99" t="n"/>
      <c r="W1" s="99" t="n"/>
      <c r="X1" s="99" t="n"/>
      <c r="Y1" s="99" t="n"/>
      <c r="Z1" s="99" t="n"/>
    </row>
    <row r="2">
      <c r="A2" s="5" t="inlineStr">
        <is>
          <t>주 1회(주말) + 거래한 날만 전체 갱신하면 됩니다. 평일 리스크 지표는 01_일별로그에 키인하는 숫자로 계산됩니다.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181" t="inlineStr">
        <is>
          <t>① 계좌별 입력 (매일)</t>
        </is>
      </c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>
      <c r="A5" s="9" t="inlineStr">
        <is>
          <t>계좌</t>
        </is>
      </c>
      <c r="B5" s="9" t="inlineStr">
        <is>
          <t>예수금(현금)</t>
        </is>
      </c>
      <c r="C5" s="9" t="inlineStr">
        <is>
          <t>신용잔고</t>
        </is>
      </c>
      <c r="D5" s="9" t="inlineStr">
        <is>
          <t>비고</t>
        </is>
      </c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>
      <c r="A6" s="10" t="inlineStr">
        <is>
          <t>국장</t>
        </is>
      </c>
      <c r="B6" s="19" t="n">
        <v>2173938</v>
      </c>
      <c r="C6" s="19" t="n">
        <v>478436585</v>
      </c>
      <c r="D6" s="17" t="inlineStr">
        <is>
          <t>회사 전세대출 자금 운용</t>
        </is>
      </c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10" t="inlineStr">
        <is>
          <t>미장</t>
        </is>
      </c>
      <c r="B7" s="19" t="n">
        <v>0</v>
      </c>
      <c r="C7" s="19" t="n">
        <v>0</v>
      </c>
      <c r="D7" s="17" t="inlineStr">
        <is>
          <t>월급 기반 시드</t>
        </is>
      </c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10" t="inlineStr">
        <is>
          <t>ISA</t>
        </is>
      </c>
      <c r="B8" s="19" t="n">
        <v>297366</v>
      </c>
      <c r="C8" s="19" t="n">
        <v>0</v>
      </c>
      <c r="D8" s="17" t="inlineStr">
        <is>
          <t>지수/헤지 용도</t>
        </is>
      </c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25" t="inlineStr">
        <is>
          <t>합계</t>
        </is>
      </c>
      <c r="B9" s="23">
        <f>SUM(B6:B8)</f>
        <v/>
      </c>
      <c r="C9" s="23">
        <f>SUM(C6:C8)</f>
        <v/>
      </c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99" t="n"/>
      <c r="B10" s="99" t="n"/>
      <c r="C10" s="99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181" t="inlineStr">
        <is>
          <t>② 공통 입력</t>
        </is>
      </c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31" t="inlineStr">
        <is>
          <t>회사대출 잔액 (전세 2억+생활 4천)</t>
        </is>
      </c>
      <c r="B12" s="32" t="n">
        <v>240000000</v>
      </c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31" t="inlineStr">
        <is>
          <t>증권사 청산 담보비율</t>
        </is>
      </c>
      <c r="B13" s="33" t="n">
        <v>1.4</v>
      </c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31" t="inlineStr">
        <is>
          <t>연봉 (세전) — 05_CF에서 가져옴</t>
        </is>
      </c>
      <c r="B14" s="38">
        <f>'09_CF_원금'!$B$108</f>
        <v/>
      </c>
      <c r="C14" s="99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181" t="inlineStr">
        <is>
          <t>③ 보유 종목  —  매일 [현재가]만 업데이트 / 신규 매수 시 [평단·손절가]는 반드시 그 날 입력</t>
        </is>
      </c>
      <c r="T15" s="99" t="n"/>
      <c r="U15" s="99" t="n"/>
      <c r="V15" s="99" t="n"/>
      <c r="W15" s="99" t="n"/>
      <c r="X15" s="99" t="n"/>
      <c r="Y15" s="99" t="n"/>
      <c r="Z15" s="99" t="n"/>
    </row>
    <row r="16">
      <c r="A16" s="9" t="inlineStr">
        <is>
          <t>종목코드</t>
        </is>
      </c>
      <c r="B16" s="9" t="inlineStr">
        <is>
          <t>종목명</t>
        </is>
      </c>
      <c r="C16" s="9" t="inlineStr">
        <is>
          <t>계좌</t>
        </is>
      </c>
      <c r="D16" s="9" t="inlineStr">
        <is>
          <t>통화</t>
        </is>
      </c>
      <c r="E16" s="9" t="inlineStr">
        <is>
          <t>수량</t>
        </is>
      </c>
      <c r="F16" s="9" t="inlineStr">
        <is>
          <t>평단
(입력)</t>
        </is>
      </c>
      <c r="G16" s="9" t="inlineStr">
        <is>
          <t>현재가
(입력)</t>
        </is>
      </c>
      <c r="H16" s="9" t="inlineStr">
        <is>
          <t>레버
배수</t>
        </is>
      </c>
      <c r="I16" s="9" t="inlineStr">
        <is>
          <t>평가금액
(명목)</t>
        </is>
      </c>
      <c r="J16" s="9" t="inlineStr">
        <is>
          <t>평가금액
(실질)</t>
        </is>
      </c>
      <c r="K16" s="9" t="inlineStr">
        <is>
          <t>비중
(실질)</t>
        </is>
      </c>
      <c r="L16" s="9" t="inlineStr">
        <is>
          <t>섹터</t>
        </is>
      </c>
      <c r="M16" s="9" t="inlineStr">
        <is>
          <t>신용
사용</t>
        </is>
      </c>
      <c r="N16" s="9" t="inlineStr">
        <is>
          <t>★손절가
(입력)</t>
        </is>
      </c>
      <c r="O16" s="9" t="inlineStr">
        <is>
          <t>손절까지
(%)</t>
        </is>
      </c>
      <c r="P16" s="9" t="inlineStr">
        <is>
          <t>손절 시
손실액</t>
        </is>
      </c>
      <c r="Q16" s="9" t="inlineStr">
        <is>
          <t>손익률</t>
        </is>
      </c>
      <c r="R16" s="9" t="inlineStr">
        <is>
          <t>투자논리 (1줄)</t>
        </is>
      </c>
      <c r="S16" s="9" t="inlineStr">
        <is>
          <t>논리
훼손</t>
        </is>
      </c>
      <c r="T16" s="99" t="n"/>
      <c r="U16" s="99" t="n"/>
      <c r="V16" s="99" t="n"/>
      <c r="W16" s="99" t="n"/>
      <c r="X16" s="99" t="n"/>
      <c r="Y16" s="99" t="n"/>
      <c r="Z16" s="99" t="n"/>
    </row>
    <row r="17">
      <c r="A17" s="78" t="inlineStr">
        <is>
          <t>KRX:000660</t>
        </is>
      </c>
      <c r="B17" s="79" t="inlineStr">
        <is>
          <t>SK하이닉스</t>
        </is>
      </c>
      <c r="C17" s="163" t="inlineStr">
        <is>
          <t>국장</t>
        </is>
      </c>
      <c r="D17" s="163" t="inlineStr">
        <is>
          <t>KRW</t>
        </is>
      </c>
      <c r="E17" s="47" t="n">
        <v>140</v>
      </c>
      <c r="F17" s="47">
        <f>(1981550*120+1325324*20)/140</f>
        <v/>
      </c>
      <c r="G17" s="48" t="n">
        <v>1609000</v>
      </c>
      <c r="H17" s="50" t="n">
        <v>1</v>
      </c>
      <c r="I17" s="51">
        <f>IF(B17="","",E17*G17)</f>
        <v/>
      </c>
      <c r="J17" s="51">
        <f>IF(B17="","",I17*H17)</f>
        <v/>
      </c>
      <c r="K17" s="53">
        <f>IF(B17="","",IFERROR(J17/$B$36,""))</f>
        <v/>
      </c>
      <c r="L17" s="78" t="inlineStr">
        <is>
          <t>반도체/HW</t>
        </is>
      </c>
      <c r="M17" s="163" t="inlineStr">
        <is>
          <t>Y</t>
        </is>
      </c>
      <c r="N17" s="47">
        <f>(1981550*120+1325324*20)/140</f>
        <v/>
      </c>
      <c r="O17" s="53">
        <f>IF(OR(B17="",N17=""),"",(N17-G17)/G17)</f>
        <v/>
      </c>
      <c r="P17" s="51">
        <f>IF(OR(B17="",N17=""),"",MAX(0,(G17-N17)/G17)*J17)</f>
        <v/>
      </c>
      <c r="Q17" s="53">
        <f>IF(OR(B17="",F17=""),"",(G17-F17)/F17)</f>
        <v/>
      </c>
      <c r="R17" s="164" t="n"/>
      <c r="S17" s="163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78" t="inlineStr">
        <is>
          <t>KRX:005930</t>
        </is>
      </c>
      <c r="B18" s="79" t="inlineStr">
        <is>
          <t>삼성전자</t>
        </is>
      </c>
      <c r="C18" s="163" t="inlineStr">
        <is>
          <t>국장</t>
        </is>
      </c>
      <c r="D18" s="163" t="inlineStr">
        <is>
          <t>KRW</t>
        </is>
      </c>
      <c r="E18" s="47" t="n">
        <v>900</v>
      </c>
      <c r="F18" s="47">
        <f>(236837*800+207500*100)/900</f>
        <v/>
      </c>
      <c r="G18" s="48" t="n">
        <v>242000</v>
      </c>
      <c r="H18" s="50" t="n">
        <v>1</v>
      </c>
      <c r="I18" s="51">
        <f>IF(B18="","",E18*G18)</f>
        <v/>
      </c>
      <c r="J18" s="51">
        <f>IF(B18="","",I18*H18)</f>
        <v/>
      </c>
      <c r="K18" s="53">
        <f>IF(B18="","",IFERROR(J18/$B$36,""))</f>
        <v/>
      </c>
      <c r="L18" s="78" t="inlineStr">
        <is>
          <t>반도체/HW</t>
        </is>
      </c>
      <c r="M18" s="163" t="inlineStr">
        <is>
          <t>Y</t>
        </is>
      </c>
      <c r="N18" s="47">
        <f>(236837*800+207500*100)/900</f>
        <v/>
      </c>
      <c r="O18" s="53">
        <f>IF(OR(B18="",N18=""),"",(N18-G18)/G18)</f>
        <v/>
      </c>
      <c r="P18" s="51">
        <f>IF(OR(B18="",N18=""),"",MAX(0,(G18-N18)/G18)*J18)</f>
        <v/>
      </c>
      <c r="Q18" s="53">
        <f>IF(OR(B18="",F18=""),"",(G18-F18)/F18)</f>
        <v/>
      </c>
      <c r="R18" s="164" t="n"/>
      <c r="S18" s="163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78" t="inlineStr">
        <is>
          <t>KRX:0193T0</t>
        </is>
      </c>
      <c r="B19" s="79" t="inlineStr">
        <is>
          <t>SK하이닉스X2</t>
        </is>
      </c>
      <c r="C19" s="163" t="inlineStr">
        <is>
          <t>국장</t>
        </is>
      </c>
      <c r="D19" s="163" t="inlineStr">
        <is>
          <t>KRW</t>
        </is>
      </c>
      <c r="E19" s="47" t="n">
        <v>13500</v>
      </c>
      <c r="F19" s="47" t="n">
        <v>20042</v>
      </c>
      <c r="G19" s="48" t="n">
        <v>9350</v>
      </c>
      <c r="H19" s="50" t="n">
        <v>2</v>
      </c>
      <c r="I19" s="51">
        <f>IF(B19="","",E19*G19)</f>
        <v/>
      </c>
      <c r="J19" s="51">
        <f>IF(B19="","",I19*H19)</f>
        <v/>
      </c>
      <c r="K19" s="53">
        <f>IF(B19="","",IFERROR(J19/$B$36,""))</f>
        <v/>
      </c>
      <c r="L19" s="78" t="inlineStr">
        <is>
          <t>반도체/HW</t>
        </is>
      </c>
      <c r="M19" s="163" t="inlineStr">
        <is>
          <t>Y</t>
        </is>
      </c>
      <c r="N19" s="47" t="n">
        <v>20042</v>
      </c>
      <c r="O19" s="53">
        <f>IF(OR(B19="",N19=""),"",(N19-G19)/G19)</f>
        <v/>
      </c>
      <c r="P19" s="51">
        <f>IF(OR(B19="",N19=""),"",MAX(0,(G19-N19)/G19)*J19)</f>
        <v/>
      </c>
      <c r="Q19" s="53">
        <f>IF(OR(B19="",F19=""),"",(G19-F19)/F19)</f>
        <v/>
      </c>
      <c r="R19" s="164" t="n"/>
      <c r="S19" s="163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78" t="inlineStr">
        <is>
          <t>KRX:0193W0</t>
        </is>
      </c>
      <c r="B20" s="79" t="inlineStr">
        <is>
          <t>삼성전자X2</t>
        </is>
      </c>
      <c r="C20" s="163" t="inlineStr">
        <is>
          <t>국장</t>
        </is>
      </c>
      <c r="D20" s="163" t="inlineStr">
        <is>
          <t>KRW</t>
        </is>
      </c>
      <c r="E20" s="47" t="n">
        <v>12000</v>
      </c>
      <c r="F20" s="47" t="n">
        <v>18280</v>
      </c>
      <c r="G20" s="48" t="n">
        <v>10600</v>
      </c>
      <c r="H20" s="50" t="n">
        <v>2</v>
      </c>
      <c r="I20" s="51">
        <f>IF(B20="","",E20*G20)</f>
        <v/>
      </c>
      <c r="J20" s="51">
        <f>IF(B20="","",I20*H20)</f>
        <v/>
      </c>
      <c r="K20" s="53">
        <f>IF(B20="","",IFERROR(J20/$B$36,""))</f>
        <v/>
      </c>
      <c r="L20" s="78" t="inlineStr">
        <is>
          <t>반도체/HW</t>
        </is>
      </c>
      <c r="M20" s="163" t="inlineStr">
        <is>
          <t>Y</t>
        </is>
      </c>
      <c r="N20" s="47" t="n">
        <v>18280</v>
      </c>
      <c r="O20" s="53">
        <f>IF(OR(B20="",N20=""),"",(N20-G20)/G20)</f>
        <v/>
      </c>
      <c r="P20" s="51">
        <f>IF(OR(B20="",N20=""),"",MAX(0,(G20-N20)/G20)*J20)</f>
        <v/>
      </c>
      <c r="Q20" s="53">
        <f>IF(OR(B20="",F20=""),"",(G20-F20)/F20)</f>
        <v/>
      </c>
      <c r="R20" s="164" t="n"/>
      <c r="S20" s="163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78" t="inlineStr">
        <is>
          <t>KRX:009150</t>
        </is>
      </c>
      <c r="B21" s="79" t="inlineStr">
        <is>
          <t>삼성전기</t>
        </is>
      </c>
      <c r="C21" s="163" t="inlineStr">
        <is>
          <t>국장</t>
        </is>
      </c>
      <c r="D21" s="163" t="inlineStr">
        <is>
          <t>KRW</t>
        </is>
      </c>
      <c r="E21" s="47" t="n">
        <v>60</v>
      </c>
      <c r="F21" s="47" t="n">
        <v>1483987</v>
      </c>
      <c r="G21" s="48" t="n">
        <v>1232000</v>
      </c>
      <c r="H21" s="50" t="n">
        <v>1</v>
      </c>
      <c r="I21" s="51">
        <f>IF(B21="","",E21*G21)</f>
        <v/>
      </c>
      <c r="J21" s="51">
        <f>IF(B21="","",I21*H21)</f>
        <v/>
      </c>
      <c r="K21" s="53">
        <f>IF(B21="","",IFERROR(J21/$B$36,""))</f>
        <v/>
      </c>
      <c r="L21" s="78" t="inlineStr">
        <is>
          <t>반도체/HW</t>
        </is>
      </c>
      <c r="M21" s="163" t="inlineStr">
        <is>
          <t>Y</t>
        </is>
      </c>
      <c r="N21" s="47" t="n">
        <v>1483987</v>
      </c>
      <c r="O21" s="53">
        <f>IF(OR(B21="",N21=""),"",(N21-G21)/G21)</f>
        <v/>
      </c>
      <c r="P21" s="51">
        <f>IF(OR(B21="",N21=""),"",MAX(0,(G21-N21)/G21)*J21)</f>
        <v/>
      </c>
      <c r="Q21" s="53">
        <f>IF(OR(B21="",F21=""),"",(G21-F21)/F21)</f>
        <v/>
      </c>
      <c r="R21" s="164" t="n"/>
      <c r="S21" s="163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78" t="inlineStr">
        <is>
          <t>MRVL</t>
        </is>
      </c>
      <c r="B22" s="79" t="inlineStr">
        <is>
          <t>마벨 테크놀로지</t>
        </is>
      </c>
      <c r="C22" s="163" t="inlineStr">
        <is>
          <t>미장</t>
        </is>
      </c>
      <c r="D22" s="163" t="inlineStr">
        <is>
          <t>KRW</t>
        </is>
      </c>
      <c r="E22" s="47" t="n">
        <v>160</v>
      </c>
      <c r="F22" s="47" t="n">
        <v>274486</v>
      </c>
      <c r="G22" s="48" t="n">
        <v>315000</v>
      </c>
      <c r="H22" s="50" t="n">
        <v>1</v>
      </c>
      <c r="I22" s="51">
        <f>IF(B22="","",E22*G22)</f>
        <v/>
      </c>
      <c r="J22" s="51">
        <f>IF(B22="","",I22*H22)</f>
        <v/>
      </c>
      <c r="K22" s="53">
        <f>IF(B22="","",IFERROR(J22/$B$36,""))</f>
        <v/>
      </c>
      <c r="L22" s="78" t="inlineStr">
        <is>
          <t>반도체/HW</t>
        </is>
      </c>
      <c r="M22" s="163" t="inlineStr">
        <is>
          <t>N</t>
        </is>
      </c>
      <c r="N22" s="47" t="n">
        <v>274486</v>
      </c>
      <c r="O22" s="53">
        <f>IF(OR(B22="",N22=""),"",(N22-G22)/G22)</f>
        <v/>
      </c>
      <c r="P22" s="51">
        <f>IF(OR(B22="",N22=""),"",MAX(0,(G22-N22)/G22)*J22)</f>
        <v/>
      </c>
      <c r="Q22" s="53">
        <f>IF(OR(B22="",F22=""),"",(G22-F22)/F22)</f>
        <v/>
      </c>
      <c r="R22" s="164" t="n"/>
      <c r="S22" s="163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78" t="inlineStr">
        <is>
          <t>KRX:012330</t>
        </is>
      </c>
      <c r="B23" s="79" t="inlineStr">
        <is>
          <t>현대모비스</t>
        </is>
      </c>
      <c r="C23" s="163" t="inlineStr">
        <is>
          <t>국장</t>
        </is>
      </c>
      <c r="D23" s="163" t="inlineStr">
        <is>
          <t>KRW</t>
        </is>
      </c>
      <c r="E23" s="47" t="n">
        <v>100</v>
      </c>
      <c r="F23" s="47" t="n">
        <v>633213</v>
      </c>
      <c r="G23" s="48" t="n">
        <v>482000</v>
      </c>
      <c r="H23" s="50" t="n">
        <v>1</v>
      </c>
      <c r="I23" s="51">
        <f>IF(B23="","",E23*G23)</f>
        <v/>
      </c>
      <c r="J23" s="51">
        <f>IF(B23="","",I23*H23)</f>
        <v/>
      </c>
      <c r="K23" s="53">
        <f>IF(B23="","",IFERROR(J23/$B$36,""))</f>
        <v/>
      </c>
      <c r="L23" s="78" t="inlineStr">
        <is>
          <t>로봇/피지컬AI</t>
        </is>
      </c>
      <c r="M23" s="163" t="inlineStr">
        <is>
          <t>Y</t>
        </is>
      </c>
      <c r="N23" s="47" t="n">
        <v>633213</v>
      </c>
      <c r="O23" s="53">
        <f>IF(OR(B23="",N23=""),"",(N23-G23)/G23)</f>
        <v/>
      </c>
      <c r="P23" s="51">
        <f>IF(OR(B23="",N23=""),"",MAX(0,(G23-N23)/G23)*J23)</f>
        <v/>
      </c>
      <c r="Q23" s="53">
        <f>IF(OR(B23="",F23=""),"",(G23-F23)/F23)</f>
        <v/>
      </c>
      <c r="R23" s="164" t="n"/>
      <c r="S23" s="163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78" t="inlineStr">
        <is>
          <t>KRX:0193T0</t>
        </is>
      </c>
      <c r="B24" s="79" t="inlineStr">
        <is>
          <t>SK하이닉스X2</t>
        </is>
      </c>
      <c r="C24" s="163" t="inlineStr">
        <is>
          <t>ISA</t>
        </is>
      </c>
      <c r="D24" s="163" t="inlineStr">
        <is>
          <t>KRW</t>
        </is>
      </c>
      <c r="E24" s="47" t="n">
        <v>3000</v>
      </c>
      <c r="F24" s="47" t="n">
        <v>17550</v>
      </c>
      <c r="G24" s="48" t="n">
        <v>9350</v>
      </c>
      <c r="H24" s="50" t="n">
        <v>2</v>
      </c>
      <c r="I24" s="51">
        <f>IF(B24="","",E24*G24)</f>
        <v/>
      </c>
      <c r="J24" s="51">
        <f>IF(B24="","",I24*H24)</f>
        <v/>
      </c>
      <c r="K24" s="53">
        <f>IF(B24="","",IFERROR(J24/$B$36,""))</f>
        <v/>
      </c>
      <c r="L24" s="78" t="inlineStr">
        <is>
          <t>반도체/HW</t>
        </is>
      </c>
      <c r="M24" s="163" t="inlineStr">
        <is>
          <t>N</t>
        </is>
      </c>
      <c r="N24" s="47" t="n">
        <v>17550</v>
      </c>
      <c r="O24" s="53">
        <f>IF(OR(B24="",N24=""),"",(N24-G24)/G24)</f>
        <v/>
      </c>
      <c r="P24" s="51">
        <f>IF(OR(B24="",N24=""),"",MAX(0,(G24-N24)/G24)*J24)</f>
        <v/>
      </c>
      <c r="Q24" s="53">
        <f>IF(OR(B24="",F24=""),"",(G24-F24)/F24)</f>
        <v/>
      </c>
      <c r="R24" s="164" t="n"/>
      <c r="S24" s="163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78" t="inlineStr">
        <is>
          <t>KRX:009150</t>
        </is>
      </c>
      <c r="B25" s="79" t="inlineStr">
        <is>
          <t>삼성전기</t>
        </is>
      </c>
      <c r="C25" s="163" t="inlineStr">
        <is>
          <t>ISA</t>
        </is>
      </c>
      <c r="D25" s="163" t="inlineStr">
        <is>
          <t>KRW</t>
        </is>
      </c>
      <c r="E25" s="47" t="n">
        <v>7</v>
      </c>
      <c r="F25" s="47" t="n">
        <v>1187540</v>
      </c>
      <c r="G25" s="48" t="n">
        <v>1232000</v>
      </c>
      <c r="H25" s="50" t="n">
        <v>1</v>
      </c>
      <c r="I25" s="51">
        <f>IF(B25="","",E25*G25)</f>
        <v/>
      </c>
      <c r="J25" s="51">
        <f>IF(B25="","",I25*H25)</f>
        <v/>
      </c>
      <c r="K25" s="53">
        <f>IF(B25="","",IFERROR(J25/$B$36,""))</f>
        <v/>
      </c>
      <c r="L25" s="78" t="inlineStr">
        <is>
          <t>AI/데이터센터</t>
        </is>
      </c>
      <c r="M25" s="163" t="inlineStr">
        <is>
          <t>N</t>
        </is>
      </c>
      <c r="N25" s="47" t="n">
        <v>1187540</v>
      </c>
      <c r="O25" s="53">
        <f>IF(OR(B25="",N25=""),"",(N25-G25)/G25)</f>
        <v/>
      </c>
      <c r="P25" s="51">
        <f>IF(OR(B25="",N25=""),"",MAX(0,(G25-N25)/G25)*J25)</f>
        <v/>
      </c>
      <c r="Q25" s="53">
        <f>IF(OR(B25="",F25=""),"",(G25-F25)/F25)</f>
        <v/>
      </c>
      <c r="R25" s="164" t="n"/>
      <c r="S25" s="163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163" t="n"/>
      <c r="B26" s="163" t="n"/>
      <c r="C26" s="163" t="n"/>
      <c r="D26" s="163" t="n"/>
      <c r="E26" s="163" t="n"/>
      <c r="F26" s="163" t="n"/>
      <c r="G26" s="95" t="n"/>
      <c r="H26" s="163" t="n"/>
      <c r="I26" s="51">
        <f>IF(B26="","",E26*G26)</f>
        <v/>
      </c>
      <c r="J26" s="51">
        <f>IF(B26="","",I26*H26)</f>
        <v/>
      </c>
      <c r="K26" s="53">
        <f>IF(B26="","",IFERROR(J26/$B$36,""))</f>
        <v/>
      </c>
      <c r="L26" s="163" t="n"/>
      <c r="M26" s="163" t="n"/>
      <c r="N26" s="163" t="n"/>
      <c r="O26" s="53">
        <f>IF(OR(B26="",N26=""),"",(N26-G26)/G26)</f>
        <v/>
      </c>
      <c r="P26" s="51">
        <f>IF(OR(B26="",N26=""),"",MAX(0,(G26-N26)/G26)*J26)</f>
        <v/>
      </c>
      <c r="Q26" s="53">
        <f>IF(OR(B26="",F26=""),"",(G26-F26)/F26)</f>
        <v/>
      </c>
      <c r="R26" s="96" t="n"/>
      <c r="S26" s="163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163" t="n"/>
      <c r="B27" s="163" t="n"/>
      <c r="C27" s="163" t="n"/>
      <c r="D27" s="163" t="n"/>
      <c r="E27" s="163" t="n"/>
      <c r="F27" s="163" t="n"/>
      <c r="G27" s="95" t="n"/>
      <c r="H27" s="163" t="n"/>
      <c r="I27" s="51">
        <f>IF(B27="","",E27*G27)</f>
        <v/>
      </c>
      <c r="J27" s="51">
        <f>IF(B27="","",I27*H27)</f>
        <v/>
      </c>
      <c r="K27" s="53">
        <f>IF(B27="","",IFERROR(J27/$B$36,""))</f>
        <v/>
      </c>
      <c r="L27" s="163" t="n"/>
      <c r="M27" s="163" t="n"/>
      <c r="N27" s="163" t="n"/>
      <c r="O27" s="53">
        <f>IF(OR(B27="",N27=""),"",(N27-G27)/G27)</f>
        <v/>
      </c>
      <c r="P27" s="51">
        <f>IF(OR(B27="",N27=""),"",MAX(0,(G27-N27)/G27)*J27)</f>
        <v/>
      </c>
      <c r="Q27" s="53">
        <f>IF(OR(B27="",F27=""),"",(G27-F27)/F27)</f>
        <v/>
      </c>
      <c r="R27" s="96" t="n"/>
      <c r="S27" s="163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163" t="n"/>
      <c r="B28" s="163" t="n"/>
      <c r="C28" s="163" t="n"/>
      <c r="D28" s="163" t="n"/>
      <c r="E28" s="163" t="n"/>
      <c r="F28" s="163" t="n"/>
      <c r="G28" s="95" t="n"/>
      <c r="H28" s="163" t="n"/>
      <c r="I28" s="51">
        <f>IF(B28="","",E28*G28)</f>
        <v/>
      </c>
      <c r="J28" s="51">
        <f>IF(B28="","",I28*H28)</f>
        <v/>
      </c>
      <c r="K28" s="53">
        <f>IF(B28="","",IFERROR(J28/$B$36,""))</f>
        <v/>
      </c>
      <c r="L28" s="163" t="n"/>
      <c r="M28" s="163" t="n"/>
      <c r="N28" s="163" t="n"/>
      <c r="O28" s="53">
        <f>IF(OR(B28="",N28=""),"",(N28-G28)/G28)</f>
        <v/>
      </c>
      <c r="P28" s="51">
        <f>IF(OR(B28="",N28=""),"",MAX(0,(G28-N28)/G28)*J28)</f>
        <v/>
      </c>
      <c r="Q28" s="53">
        <f>IF(OR(B28="",F28=""),"",(G28-F28)/F28)</f>
        <v/>
      </c>
      <c r="R28" s="96" t="n"/>
      <c r="S28" s="163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163" t="n"/>
      <c r="B29" s="163" t="n"/>
      <c r="C29" s="163" t="n"/>
      <c r="D29" s="163" t="n"/>
      <c r="E29" s="163" t="n"/>
      <c r="F29" s="163" t="n"/>
      <c r="G29" s="95" t="n"/>
      <c r="H29" s="163" t="n"/>
      <c r="I29" s="51">
        <f>IF(B29="","",E29*G29)</f>
        <v/>
      </c>
      <c r="J29" s="51">
        <f>IF(B29="","",I29*H29)</f>
        <v/>
      </c>
      <c r="K29" s="53">
        <f>IF(B29="","",IFERROR(J29/$B$36,""))</f>
        <v/>
      </c>
      <c r="L29" s="163" t="n"/>
      <c r="M29" s="163" t="n"/>
      <c r="N29" s="163" t="n"/>
      <c r="O29" s="53">
        <f>IF(OR(B29="",N29=""),"",(N29-G29)/G29)</f>
        <v/>
      </c>
      <c r="P29" s="51">
        <f>IF(OR(B29="",N29=""),"",MAX(0,(G29-N29)/G29)*J29)</f>
        <v/>
      </c>
      <c r="Q29" s="53">
        <f>IF(OR(B29="",F29=""),"",(G29-F29)/F29)</f>
        <v/>
      </c>
      <c r="R29" s="96" t="n"/>
      <c r="S29" s="163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163" t="n"/>
      <c r="B30" s="163" t="n"/>
      <c r="C30" s="163" t="n"/>
      <c r="D30" s="163" t="n"/>
      <c r="E30" s="163" t="n"/>
      <c r="F30" s="163" t="n"/>
      <c r="G30" s="95" t="n"/>
      <c r="H30" s="163" t="n"/>
      <c r="I30" s="51">
        <f>IF(B30="","",E30*G30)</f>
        <v/>
      </c>
      <c r="J30" s="51">
        <f>IF(B30="","",I30*H30)</f>
        <v/>
      </c>
      <c r="K30" s="53">
        <f>IF(B30="","",IFERROR(J30/$B$36,""))</f>
        <v/>
      </c>
      <c r="L30" s="163" t="n"/>
      <c r="M30" s="163" t="n"/>
      <c r="N30" s="163" t="n"/>
      <c r="O30" s="53">
        <f>IF(OR(B30="",N30=""),"",(N30-G30)/G30)</f>
        <v/>
      </c>
      <c r="P30" s="51">
        <f>IF(OR(B30="",N30=""),"",MAX(0,(G30-N30)/G30)*J30)</f>
        <v/>
      </c>
      <c r="Q30" s="53">
        <f>IF(OR(B30="",F30=""),"",(G30-F30)/F30)</f>
        <v/>
      </c>
      <c r="R30" s="96" t="n"/>
      <c r="S30" s="163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163" t="n"/>
      <c r="B31" s="163" t="n"/>
      <c r="C31" s="163" t="n"/>
      <c r="D31" s="163" t="n"/>
      <c r="E31" s="163" t="n"/>
      <c r="F31" s="163" t="n"/>
      <c r="G31" s="95" t="n"/>
      <c r="H31" s="163" t="n"/>
      <c r="I31" s="51">
        <f>IF(B31="","",E31*G31)</f>
        <v/>
      </c>
      <c r="J31" s="51">
        <f>IF(B31="","",I31*H31)</f>
        <v/>
      </c>
      <c r="K31" s="53">
        <f>IF(B31="","",IFERROR(J31/$B$36,""))</f>
        <v/>
      </c>
      <c r="L31" s="163" t="n"/>
      <c r="M31" s="163" t="n"/>
      <c r="N31" s="163" t="n"/>
      <c r="O31" s="53">
        <f>IF(OR(B31="",N31=""),"",(N31-G31)/G31)</f>
        <v/>
      </c>
      <c r="P31" s="51">
        <f>IF(OR(B31="",N31=""),"",MAX(0,(G31-N31)/G31)*J31)</f>
        <v/>
      </c>
      <c r="Q31" s="53">
        <f>IF(OR(B31="",F31=""),"",(G31-F31)/F31)</f>
        <v/>
      </c>
      <c r="R31" s="96" t="n"/>
      <c r="S31" s="163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99" t="n"/>
      <c r="B32" s="25" t="inlineStr">
        <is>
          <t>종목 합계</t>
        </is>
      </c>
      <c r="C32" s="99" t="n"/>
      <c r="D32" s="99" t="n"/>
      <c r="E32" s="99" t="n"/>
      <c r="F32" s="99" t="n"/>
      <c r="G32" s="99" t="n"/>
      <c r="H32" s="99" t="n"/>
      <c r="I32" s="23">
        <f>SUM(I17:I31)</f>
        <v/>
      </c>
      <c r="J32" s="23">
        <f>SUM(J17:J31)</f>
        <v/>
      </c>
      <c r="K32" s="110">
        <f>SUM(K17:K31)</f>
        <v/>
      </c>
      <c r="L32" s="99" t="n"/>
      <c r="M32" s="99" t="n"/>
      <c r="N32" s="99" t="n"/>
      <c r="O32" s="111">
        <f>COUNTIF(O17:O31,"&gt;0")</f>
        <v/>
      </c>
      <c r="P32" s="23">
        <f>SUM(P17:P31)</f>
        <v/>
      </c>
      <c r="Q32" s="112" t="inlineStr">
        <is>
          <t>← 손절가 하회 종목 수</t>
        </is>
      </c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99" t="n"/>
      <c r="B33" s="99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181" t="inlineStr">
        <is>
          <t>④ 리스크 엔진 (자동계산 — 수정 금지)</t>
        </is>
      </c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9" t="inlineStr">
        <is>
          <t>구분</t>
        </is>
      </c>
      <c r="B35" s="9" t="inlineStr">
        <is>
          <t>값</t>
        </is>
      </c>
      <c r="C35" s="9" t="inlineStr">
        <is>
          <t>정의</t>
        </is>
      </c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113" t="inlineStr">
        <is>
          <t>주식평가 (명목)</t>
        </is>
      </c>
      <c r="B36" s="81">
        <f>I32</f>
        <v/>
      </c>
      <c r="C36" s="58" t="inlineStr">
        <is>
          <t>보유 주식을 액면가로만 계산</t>
        </is>
      </c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113" t="inlineStr">
        <is>
          <t>주식 Exposure (실질)</t>
        </is>
      </c>
      <c r="B37" s="81">
        <f>J32</f>
        <v/>
      </c>
      <c r="C37" s="58" t="inlineStr">
        <is>
          <t>레버 배수 반영 = 실제 시장 노출 금액</t>
        </is>
      </c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113" t="inlineStr">
        <is>
          <t>예수금 합계</t>
        </is>
      </c>
      <c r="B38" s="81">
        <f>B9</f>
        <v/>
      </c>
      <c r="C38" s="58" t="inlineStr">
        <is>
          <t>전체 계좌 보유 현금 (음수면 곧 나갈 돈 선반영)</t>
        </is>
      </c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113" t="inlineStr">
        <is>
          <t>총평가 (명목)</t>
        </is>
      </c>
      <c r="B39" s="81">
        <f>B36+B38</f>
        <v/>
      </c>
      <c r="C39" s="58" t="inlineStr">
        <is>
          <t>증권사 화면상 총평가금액</t>
        </is>
      </c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113" t="inlineStr">
        <is>
          <t>증권사 신용 합계</t>
        </is>
      </c>
      <c r="B40" s="81">
        <f>C9</f>
        <v/>
      </c>
      <c r="C40" s="58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113" t="inlineStr">
        <is>
          <t>계좌 순자산 (Equity)</t>
        </is>
      </c>
      <c r="B41" s="81">
        <f>B39-B40</f>
        <v/>
      </c>
      <c r="C41" s="58" t="inlineStr">
        <is>
          <t>총평가 − 신용</t>
        </is>
      </c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113" t="inlineStr">
        <is>
          <t>회사대출</t>
        </is>
      </c>
      <c r="B42" s="81">
        <f>B12</f>
        <v/>
      </c>
      <c r="C42" s="58" t="inlineStr">
        <is>
          <t>전세자금 2억 + 생활안정 4천</t>
        </is>
      </c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113" t="inlineStr">
        <is>
          <t>★ 순수 자기자본</t>
        </is>
      </c>
      <c r="B43" s="81">
        <f>B41-B42</f>
        <v/>
      </c>
      <c r="C43" s="58" t="inlineStr">
        <is>
          <t>전량 청산 후 대출 상환하면 남는 진짜 내 돈</t>
        </is>
      </c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113" t="inlineStr">
        <is>
          <t>내재 레버리지 금액</t>
        </is>
      </c>
      <c r="B44" s="81">
        <f>B37-B36</f>
        <v/>
      </c>
      <c r="C44" s="58" t="inlineStr">
        <is>
          <t>레버 ETF에 숨어있는 추가 차입분</t>
        </is>
      </c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113" t="inlineStr">
        <is>
          <t>총 차입 (신용+내재레버)</t>
        </is>
      </c>
      <c r="B45" s="81">
        <f>B40+B44</f>
        <v/>
      </c>
      <c r="C45" s="58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113" t="inlineStr">
        <is>
          <t>국장 총평가 (명목)</t>
        </is>
      </c>
      <c r="B46" s="81">
        <f>SUMIFS(I17:I31,C17:C31,"국장")+B6</f>
        <v/>
      </c>
      <c r="C46" s="58" t="inlineStr">
        <is>
          <t>담보비율 계산용</t>
        </is>
      </c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113" t="inlineStr">
        <is>
          <t>국장 주식Expo (실질)</t>
        </is>
      </c>
      <c r="B47" s="81">
        <f>SUMIFS(J17:J31,C17:C31,"국장")</f>
        <v/>
      </c>
      <c r="C47" s="58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181" t="inlineStr">
        <is>
          <t>⑤ 룰북에 들어가는 지표</t>
        </is>
      </c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9" t="inlineStr">
        <is>
          <t>지표</t>
        </is>
      </c>
      <c r="B50" s="9" t="inlineStr">
        <is>
          <t>값</t>
        </is>
      </c>
      <c r="C50" s="9" t="inlineStr">
        <is>
          <t>정의</t>
        </is>
      </c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113" t="inlineStr">
        <is>
          <t>담보비율 (국장, 명목)</t>
        </is>
      </c>
      <c r="B51" s="122">
        <f>IFERROR($B$46/$C$6,"")</f>
        <v/>
      </c>
      <c r="C51" s="58" t="inlineStr">
        <is>
          <t>국장 총평가 ÷ 신용잔고</t>
        </is>
      </c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113" t="inlineStr">
        <is>
          <t>청산선까지 남은 하락여력</t>
        </is>
      </c>
      <c r="B52" s="83">
        <f>IFERROR(($B$46-$C$6*$B$13)/$B$47,"")</f>
        <v/>
      </c>
      <c r="C52" s="58" t="inlineStr">
        <is>
          <t>몇 % 더 빠지면 담보비율이 청산선에 닿는지</t>
        </is>
      </c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113" t="inlineStr">
        <is>
          <t>계좌 레버리지 배수</t>
        </is>
      </c>
      <c r="B53" s="124">
        <f>IFERROR($B$37/$B$41,"")</f>
        <v/>
      </c>
      <c r="C53" s="58" t="inlineStr">
        <is>
          <t>실질 주식Expo ÷ 계좌 순자산</t>
        </is>
      </c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113" t="inlineStr">
        <is>
          <t>★ 실질 레버리지 배수</t>
        </is>
      </c>
      <c r="B54" s="124">
        <f>IFERROR($B$37/$B$43,"")</f>
        <v/>
      </c>
      <c r="C54" s="58" t="inlineStr">
        <is>
          <t>실질 주식Expo ÷ 순수 자기자본</t>
        </is>
      </c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113" t="inlineStr">
        <is>
          <t>차입 비중</t>
        </is>
      </c>
      <c r="B55" s="83">
        <f>IFERROR($B$45/$B$37,"")</f>
        <v/>
      </c>
      <c r="C55" s="58" t="inlineStr">
        <is>
          <t>(신용+내재레버) ÷ 실질 주식Expo</t>
        </is>
      </c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113" t="inlineStr">
        <is>
          <t>현금 비중</t>
        </is>
      </c>
      <c r="B56" s="83">
        <f>IFERROR($B$38/($B$37+$B$38),"")</f>
        <v/>
      </c>
      <c r="C56" s="58" t="inlineStr">
        <is>
          <t>예수금 ÷ (실질 주식Expo + 예수금)</t>
        </is>
      </c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113" t="inlineStr">
        <is>
          <t>보유 종목 수</t>
        </is>
      </c>
      <c r="B57" s="125">
        <f>COUNTA(B17:B31)</f>
        <v/>
      </c>
      <c r="C57" s="58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113" t="inlineStr">
        <is>
          <t>단일 종목 최대 비중</t>
        </is>
      </c>
      <c r="B58" s="83">
        <f>IFERROR(MAX(K17:K31),"")</f>
        <v/>
      </c>
      <c r="C58" s="58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113" t="inlineStr">
        <is>
          <t>단일 섹터 최대 비중</t>
        </is>
      </c>
      <c r="B59" s="83">
        <f>IFERROR(MAX(B67:B77),"")</f>
        <v/>
      </c>
      <c r="C59" s="58" t="inlineStr">
        <is>
          <t>아래 섹터 집계표</t>
        </is>
      </c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113" t="inlineStr">
        <is>
          <t>손절가 미입력 종목 수</t>
        </is>
      </c>
      <c r="B60" s="125">
        <f>COUNTA(B17:B31)-COUNT(N17:N31)</f>
        <v/>
      </c>
      <c r="C60" s="58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113" t="inlineStr">
        <is>
          <t>★ 손절가 하회 종목 수</t>
        </is>
      </c>
      <c r="B61" s="125">
        <f>O32</f>
        <v/>
      </c>
      <c r="C61" s="58" t="inlineStr">
        <is>
          <t>이미 손절선을 넘은 종목 (R12)</t>
        </is>
      </c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113" t="inlineStr">
        <is>
          <t>신용 사용 종목 수</t>
        </is>
      </c>
      <c r="B62" s="125">
        <f>COUNTIF(M17:M31,"Y")</f>
        <v/>
      </c>
      <c r="C62" s="58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113" t="inlineStr">
        <is>
          <t>전 종목 손절 시 총손실</t>
        </is>
      </c>
      <c r="B63" s="81">
        <f>IF($B$60&gt;0,"",IFERROR(P32,""))</f>
        <v/>
      </c>
      <c r="C63" s="58" t="inlineStr">
        <is>
          <t>손절가 미입력이 있으면 측정 불가</t>
        </is>
      </c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113" t="inlineStr">
        <is>
          <t>총손실 ÷ 순수 자기자본</t>
        </is>
      </c>
      <c r="B64" s="83">
        <f>IF($B$60&gt;0,"",IFERROR(P32/$B$43,""))</f>
        <v/>
      </c>
      <c r="C64" s="58" t="inlineStr">
        <is>
          <t>100% 초과 시 손절해도 자기자본이 남지 않음</t>
        </is>
      </c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113" t="inlineStr">
        <is>
          <t>★ 총차입 ÷ 연봉</t>
        </is>
      </c>
      <c r="B65" s="124">
        <f>IFERROR($B$45/$B$14,"")</f>
        <v/>
      </c>
      <c r="C65" s="58" t="inlineStr">
        <is>
          <t>차입이 연봉의 몇 배인지</t>
        </is>
      </c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181" t="inlineStr">
        <is>
          <t>⑥ 섹터 집계 (자동)</t>
        </is>
      </c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113" t="inlineStr">
        <is>
          <t>반도체/HW</t>
        </is>
      </c>
      <c r="B67" s="53">
        <f>IFERROR(SUMIFS($J$17:$J$31,$L$17:$L$31,A67)/$B$37,"")</f>
        <v/>
      </c>
      <c r="C67" s="51">
        <f>SUMIFS($J$17:$J$31,$L$17:$L$31,A67)</f>
        <v/>
      </c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113" t="inlineStr">
        <is>
          <t>로봇/피지컬AI</t>
        </is>
      </c>
      <c r="B68" s="53">
        <f>IFERROR(SUMIFS($J$17:$J$31,$L$17:$L$31,A68)/$B$37,"")</f>
        <v/>
      </c>
      <c r="C68" s="51">
        <f>SUMIFS($J$17:$J$31,$L$17:$L$31,A68)</f>
        <v/>
      </c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113" t="inlineStr">
        <is>
          <t>AI/데이터센터</t>
        </is>
      </c>
      <c r="B69" s="53">
        <f>IFERROR(SUMIFS($J$17:$J$31,$L$17:$L$31,A69)/$B$37,"")</f>
        <v/>
      </c>
      <c r="C69" s="51">
        <f>SUMIFS($J$17:$J$31,$L$17:$L$31,A69)</f>
        <v/>
      </c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113" t="inlineStr">
        <is>
          <t>금융/밸류업</t>
        </is>
      </c>
      <c r="B70" s="53">
        <f>IFERROR(SUMIFS($J$17:$J$31,$L$17:$L$31,A70)/$B$37,"")</f>
        <v/>
      </c>
      <c r="C70" s="51">
        <f>SUMIFS($J$17:$J$31,$L$17:$L$31,A70)</f>
        <v/>
      </c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113" t="inlineStr">
        <is>
          <t>에너지/전력</t>
        </is>
      </c>
      <c r="B71" s="53">
        <f>IFERROR(SUMIFS($J$17:$J$31,$L$17:$L$31,A71)/$B$37,"")</f>
        <v/>
      </c>
      <c r="C71" s="51">
        <f>SUMIFS($J$17:$J$31,$L$17:$L$31,A71)</f>
        <v/>
      </c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113" t="inlineStr">
        <is>
          <t>빅테크S/W</t>
        </is>
      </c>
      <c r="B72" s="53">
        <f>IFERROR(SUMIFS($J$17:$J$31,$L$17:$L$31,A72)/$B$37,"")</f>
        <v/>
      </c>
      <c r="C72" s="51">
        <f>SUMIFS($J$17:$J$31,$L$17:$L$31,A72)</f>
        <v/>
      </c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113" t="inlineStr">
        <is>
          <t>건설/재건</t>
        </is>
      </c>
      <c r="B73" s="53">
        <f>IFERROR(SUMIFS($J$17:$J$31,$L$17:$L$31,A73)/$B$37,"")</f>
        <v/>
      </c>
      <c r="C73" s="51">
        <f>SUMIFS($J$17:$J$31,$L$17:$L$31,A73)</f>
        <v/>
      </c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113" t="inlineStr">
        <is>
          <t>소비재/문화</t>
        </is>
      </c>
      <c r="B74" s="53">
        <f>IFERROR(SUMIFS($J$17:$J$31,$L$17:$L$31,A74)/$B$37,"")</f>
        <v/>
      </c>
      <c r="C74" s="51">
        <f>SUMIFS($J$17:$J$31,$L$17:$L$31,A74)</f>
        <v/>
      </c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113" t="inlineStr">
        <is>
          <t>방산</t>
        </is>
      </c>
      <c r="B75" s="53">
        <f>IFERROR(SUMIFS($J$17:$J$31,$L$17:$L$31,A75)/$B$37,"")</f>
        <v/>
      </c>
      <c r="C75" s="51">
        <f>SUMIFS($J$17:$J$31,$L$17:$L$31,A75)</f>
        <v/>
      </c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113" t="inlineStr">
        <is>
          <t>채권/현금성</t>
        </is>
      </c>
      <c r="B76" s="53">
        <f>IFERROR(SUMIFS($J$17:$J$31,$L$17:$L$31,A76)/$B$37,"")</f>
        <v/>
      </c>
      <c r="C76" s="51">
        <f>SUMIFS($J$17:$J$31,$L$17:$L$31,A76)</f>
        <v/>
      </c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113" t="inlineStr">
        <is>
          <t>기타</t>
        </is>
      </c>
      <c r="B77" s="53">
        <f>IFERROR(SUMIFS($J$17:$J$31,$L$17:$L$31,A77)/$B$37,"")</f>
        <v/>
      </c>
      <c r="C77" s="51">
        <f>SUMIFS($J$17:$J$31,$L$17:$L$31,A77)</f>
        <v/>
      </c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autoFilter ref="$A$16:$S$25">
    <sortState ref="A16:S25">
      <sortCondition descending="1" ref="I16:I25"/>
    </sortState>
  </autoFilter>
  <mergeCells count="7">
    <mergeCell ref="A49:C49"/>
    <mergeCell ref="A66:C66"/>
    <mergeCell ref="A4:D4"/>
    <mergeCell ref="A1:S1"/>
    <mergeCell ref="A34:C34"/>
    <mergeCell ref="A11:D11"/>
    <mergeCell ref="A15:S15"/>
  </mergeCells>
  <dataValidations count="4">
    <dataValidation sqref="C17:C31" showDropDown="0" showInputMessage="0" showErrorMessage="0" allowBlank="1" type="list">
      <formula1>"국장,미장,ISA"</formula1>
    </dataValidation>
    <dataValidation sqref="M17:M31 S17:S31" showDropDown="0" showInputMessage="0" showErrorMessage="0" allowBlank="1" type="list">
      <formula1>"Y,N"</formula1>
    </dataValidation>
    <dataValidation sqref="D17:D31" showDropDown="0" showInputMessage="0" showErrorMessage="0" allowBlank="1" type="list">
      <formula1>"KRW,USD"</formula1>
    </dataValidation>
    <dataValidation sqref="L17:L31" showDropDown="0" showInputMessage="0" showErrorMessage="0" allowBlank="1" type="list">
      <formula1>"반도체/HW,로봇/피지컬AI,AI/데이터센터,금융/밸류업,에너지/전력,빅테크S/W,건설/재건,소비재/문화,방산,채권/현금성,기타"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5" customWidth="1" style="179" min="1" max="1"/>
    <col width="26" customWidth="1" style="179" min="2" max="2"/>
    <col width="9" customWidth="1" style="179" min="3" max="3"/>
    <col width="11" customWidth="1" style="179" min="4" max="4"/>
    <col width="10" customWidth="1" style="179" min="5" max="5"/>
    <col width="12" customWidth="1" style="179" min="6" max="6"/>
    <col width="15" customWidth="1" style="179" min="7" max="7"/>
    <col width="9" customWidth="1" style="179" min="8" max="8"/>
    <col width="32" customWidth="1" style="179" min="9" max="10"/>
    <col width="14" customWidth="1" style="179" min="11" max="11"/>
    <col width="10" customWidth="1" style="179" min="12" max="12"/>
    <col width="15" customWidth="1" style="179" min="13" max="13"/>
    <col width="38" customWidth="1" style="179" min="14" max="14"/>
  </cols>
  <sheetData>
    <row r="1">
      <c r="A1" s="180" t="inlineStr">
        <is>
          <t>④ 매매일지  —  재난 후가 아니라, 거래할 때마다 한 줄</t>
        </is>
      </c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112" t="inlineStr">
        <is>
          <t>필수는 6칸뿐: 날짜·종목·구분·금액·계획YN·감정태그. 나머지는 선택. 체결 단위가 아니라 '의사결정 단위'로 하루 1~3줄이면 충분합니다.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9" t="inlineStr">
        <is>
          <t>날짜</t>
        </is>
      </c>
      <c r="B4" s="9" t="inlineStr">
        <is>
          <t>종목</t>
        </is>
      </c>
      <c r="C4" s="9" t="inlineStr">
        <is>
          <t>계좌</t>
        </is>
      </c>
      <c r="D4" s="9" t="inlineStr">
        <is>
          <t>구분</t>
        </is>
      </c>
      <c r="E4" s="9" t="inlineStr">
        <is>
          <t>수량</t>
        </is>
      </c>
      <c r="F4" s="9" t="inlineStr">
        <is>
          <t>단가</t>
        </is>
      </c>
      <c r="G4" s="9" t="inlineStr">
        <is>
          <t>금액</t>
        </is>
      </c>
      <c r="H4" s="9" t="inlineStr">
        <is>
          <t>사전에
계획했나</t>
        </is>
      </c>
      <c r="I4" s="9" t="inlineStr">
        <is>
          <t>한 줄 메모 (근거/트리거 — 이것만 적어도 됨)</t>
        </is>
      </c>
      <c r="J4" s="9" t="inlineStr">
        <is>
          <t>실제 트리거 (선택)</t>
        </is>
      </c>
      <c r="K4" s="9" t="inlineStr">
        <is>
          <t>감정태그</t>
        </is>
      </c>
      <c r="L4" s="9" t="inlineStr">
        <is>
          <t>위반
규칙ID</t>
        </is>
      </c>
      <c r="M4" s="9" t="inlineStr">
        <is>
          <t>실현손익</t>
        </is>
      </c>
      <c r="N4" s="9" t="inlineStr">
        <is>
          <t>교훈 (선택)</t>
        </is>
      </c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33.75" customHeight="1" s="179">
      <c r="A5" s="126" t="n">
        <v>45985</v>
      </c>
      <c r="B5" s="127" t="inlineStr">
        <is>
          <t>SK하이닉스</t>
        </is>
      </c>
      <c r="C5" s="127" t="inlineStr">
        <is>
          <t>국장</t>
        </is>
      </c>
      <c r="D5" s="127" t="inlineStr">
        <is>
          <t>매수</t>
        </is>
      </c>
      <c r="E5" s="128" t="n">
        <v>150</v>
      </c>
      <c r="F5" s="129" t="n">
        <v>530000</v>
      </c>
      <c r="G5" s="24">
        <f>IF(OR(E5="",F5=""),"",E5*F5)</f>
        <v/>
      </c>
      <c r="H5" s="127" t="inlineStr">
        <is>
          <t>N</t>
        </is>
      </c>
      <c r="I5" s="130" t="inlineStr">
        <is>
          <t>없음 — 전일 미장 반등세만 보고 즉흥 결정</t>
        </is>
      </c>
      <c r="J5" s="130" t="inlineStr">
        <is>
          <t>'반도체 조정 끝'이라는 확신 + 평단을 낮추려는 욕심, 가용 신용 최대치 사용</t>
        </is>
      </c>
      <c r="K5" s="127" t="inlineStr">
        <is>
          <t>FOMO</t>
        </is>
      </c>
      <c r="L5" s="127" t="inlineStr">
        <is>
          <t>R03,R10</t>
        </is>
      </c>
      <c r="M5" s="131" t="n"/>
      <c r="N5" s="130" t="inlineStr">
        <is>
          <t>신용을 화수분처럼 썼고 분할이 아닌 몰빵이었다.  ※ 예시 행 — 지우고 쓰세요</t>
        </is>
      </c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 ht="33.75" customHeight="1" s="179">
      <c r="A6" s="126" t="n">
        <v>46234</v>
      </c>
      <c r="B6" s="127" t="inlineStr">
        <is>
          <t>(예시)ABC전자</t>
        </is>
      </c>
      <c r="C6" s="127" t="inlineStr">
        <is>
          <t>국장</t>
        </is>
      </c>
      <c r="D6" s="127" t="inlineStr">
        <is>
          <t>손절</t>
        </is>
      </c>
      <c r="E6" s="128" t="n">
        <v>100</v>
      </c>
      <c r="F6" s="129" t="n">
        <v>50000</v>
      </c>
      <c r="G6" s="24">
        <f>IF(OR(E6="",F6=""),"",E6*F6)</f>
        <v/>
      </c>
      <c r="H6" s="127" t="inlineStr">
        <is>
          <t>Y</t>
        </is>
      </c>
      <c r="I6" s="130" t="inlineStr">
        <is>
          <t>매수 시점에 정한 손절가 52,000 하회 → 계획대로 집행</t>
        </is>
      </c>
      <c r="J6" s="130" t="inlineStr">
        <is>
          <t>손절가 도달. 감정 개입 없이 기계적으로 실행</t>
        </is>
      </c>
      <c r="K6" s="127" t="inlineStr">
        <is>
          <t>원칙준수</t>
        </is>
      </c>
      <c r="L6" s="127" t="n"/>
      <c r="M6" s="131" t="n">
        <v>-800000</v>
      </c>
      <c r="N6" s="130" t="inlineStr">
        <is>
          <t>계획대로 집행한 손절. 이런 행이 늘어나야 한다.  ※ 예시 행 — 지우고 쓰세요</t>
        </is>
      </c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22" t="n"/>
      <c r="B7" s="35" t="n"/>
      <c r="C7" s="35" t="n"/>
      <c r="D7" s="35" t="n"/>
      <c r="E7" s="132" t="n"/>
      <c r="F7" s="45" t="n"/>
      <c r="G7" s="24">
        <f>IF(OR(E7="",F7=""),"",E7*F7)</f>
        <v/>
      </c>
      <c r="H7" s="35" t="n"/>
      <c r="I7" s="36" t="n"/>
      <c r="J7" s="36" t="n"/>
      <c r="K7" s="35" t="n"/>
      <c r="L7" s="35" t="n"/>
      <c r="M7" s="32" t="n"/>
      <c r="N7" s="36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22" t="n"/>
      <c r="B8" s="35" t="n"/>
      <c r="C8" s="35" t="n"/>
      <c r="D8" s="35" t="n"/>
      <c r="E8" s="132" t="n"/>
      <c r="F8" s="45" t="n"/>
      <c r="G8" s="24">
        <f>IF(OR(E8="",F8=""),"",E8*F8)</f>
        <v/>
      </c>
      <c r="H8" s="35" t="n"/>
      <c r="I8" s="36" t="n"/>
      <c r="J8" s="36" t="n"/>
      <c r="K8" s="35" t="n"/>
      <c r="L8" s="35" t="n"/>
      <c r="M8" s="32" t="n"/>
      <c r="N8" s="36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22" t="n"/>
      <c r="B9" s="35" t="n"/>
      <c r="C9" s="35" t="n"/>
      <c r="D9" s="35" t="n"/>
      <c r="E9" s="132" t="n"/>
      <c r="F9" s="45" t="n"/>
      <c r="G9" s="24">
        <f>IF(OR(E9="",F9=""),"",E9*F9)</f>
        <v/>
      </c>
      <c r="H9" s="35" t="n"/>
      <c r="I9" s="36" t="n"/>
      <c r="J9" s="36" t="n"/>
      <c r="K9" s="35" t="n"/>
      <c r="L9" s="35" t="n"/>
      <c r="M9" s="32" t="n"/>
      <c r="N9" s="36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22" t="n"/>
      <c r="B10" s="35" t="n"/>
      <c r="C10" s="35" t="n"/>
      <c r="D10" s="35" t="n"/>
      <c r="E10" s="132" t="n"/>
      <c r="F10" s="45" t="n"/>
      <c r="G10" s="24">
        <f>IF(OR(E10="",F10=""),"",E10*F10)</f>
        <v/>
      </c>
      <c r="H10" s="35" t="n"/>
      <c r="I10" s="36" t="n"/>
      <c r="J10" s="36" t="n"/>
      <c r="K10" s="35" t="n"/>
      <c r="L10" s="35" t="n"/>
      <c r="M10" s="32" t="n"/>
      <c r="N10" s="36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22" t="n"/>
      <c r="B11" s="35" t="n"/>
      <c r="C11" s="35" t="n"/>
      <c r="D11" s="35" t="n"/>
      <c r="E11" s="132" t="n"/>
      <c r="F11" s="45" t="n"/>
      <c r="G11" s="24">
        <f>IF(OR(E11="",F11=""),"",E11*F11)</f>
        <v/>
      </c>
      <c r="H11" s="35" t="n"/>
      <c r="I11" s="36" t="n"/>
      <c r="J11" s="36" t="n"/>
      <c r="K11" s="35" t="n"/>
      <c r="L11" s="35" t="n"/>
      <c r="M11" s="32" t="n"/>
      <c r="N11" s="36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22" t="n"/>
      <c r="B12" s="35" t="n"/>
      <c r="C12" s="35" t="n"/>
      <c r="D12" s="35" t="n"/>
      <c r="E12" s="132" t="n"/>
      <c r="F12" s="45" t="n"/>
      <c r="G12" s="24">
        <f>IF(OR(E12="",F12=""),"",E12*F12)</f>
        <v/>
      </c>
      <c r="H12" s="35" t="n"/>
      <c r="I12" s="36" t="n"/>
      <c r="J12" s="36" t="n"/>
      <c r="K12" s="35" t="n"/>
      <c r="L12" s="35" t="n"/>
      <c r="M12" s="32" t="n"/>
      <c r="N12" s="36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22" t="n"/>
      <c r="B13" s="35" t="n"/>
      <c r="C13" s="35" t="n"/>
      <c r="D13" s="35" t="n"/>
      <c r="E13" s="132" t="n"/>
      <c r="F13" s="45" t="n"/>
      <c r="G13" s="24">
        <f>IF(OR(E13="",F13=""),"",E13*F13)</f>
        <v/>
      </c>
      <c r="H13" s="35" t="n"/>
      <c r="I13" s="36" t="n"/>
      <c r="J13" s="36" t="n"/>
      <c r="K13" s="35" t="n"/>
      <c r="L13" s="35" t="n"/>
      <c r="M13" s="32" t="n"/>
      <c r="N13" s="36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22" t="n"/>
      <c r="B14" s="35" t="n"/>
      <c r="C14" s="35" t="n"/>
      <c r="D14" s="35" t="n"/>
      <c r="E14" s="132" t="n"/>
      <c r="F14" s="45" t="n"/>
      <c r="G14" s="24">
        <f>IF(OR(E14="",F14=""),"",E14*F14)</f>
        <v/>
      </c>
      <c r="H14" s="35" t="n"/>
      <c r="I14" s="36" t="n"/>
      <c r="J14" s="36" t="n"/>
      <c r="K14" s="35" t="n"/>
      <c r="L14" s="35" t="n"/>
      <c r="M14" s="32" t="n"/>
      <c r="N14" s="36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22" t="n"/>
      <c r="B15" s="35" t="n"/>
      <c r="C15" s="35" t="n"/>
      <c r="D15" s="35" t="n"/>
      <c r="E15" s="132" t="n"/>
      <c r="F15" s="45" t="n"/>
      <c r="G15" s="24">
        <f>IF(OR(E15="",F15=""),"",E15*F15)</f>
        <v/>
      </c>
      <c r="H15" s="35" t="n"/>
      <c r="I15" s="36" t="n"/>
      <c r="J15" s="36" t="n"/>
      <c r="K15" s="35" t="n"/>
      <c r="L15" s="35" t="n"/>
      <c r="M15" s="32" t="n"/>
      <c r="N15" s="36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22" t="n"/>
      <c r="B16" s="35" t="n"/>
      <c r="C16" s="35" t="n"/>
      <c r="D16" s="35" t="n"/>
      <c r="E16" s="132" t="n"/>
      <c r="F16" s="45" t="n"/>
      <c r="G16" s="24">
        <f>IF(OR(E16="",F16=""),"",E16*F16)</f>
        <v/>
      </c>
      <c r="H16" s="35" t="n"/>
      <c r="I16" s="36" t="n"/>
      <c r="J16" s="36" t="n"/>
      <c r="K16" s="35" t="n"/>
      <c r="L16" s="35" t="n"/>
      <c r="M16" s="32" t="n"/>
      <c r="N16" s="36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>
      <c r="A17" s="22" t="n"/>
      <c r="B17" s="35" t="n"/>
      <c r="C17" s="35" t="n"/>
      <c r="D17" s="35" t="n"/>
      <c r="E17" s="132" t="n"/>
      <c r="F17" s="45" t="n"/>
      <c r="G17" s="24">
        <f>IF(OR(E17="",F17=""),"",E17*F17)</f>
        <v/>
      </c>
      <c r="H17" s="35" t="n"/>
      <c r="I17" s="36" t="n"/>
      <c r="J17" s="36" t="n"/>
      <c r="K17" s="35" t="n"/>
      <c r="L17" s="35" t="n"/>
      <c r="M17" s="32" t="n"/>
      <c r="N17" s="36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22" t="n"/>
      <c r="B18" s="35" t="n"/>
      <c r="C18" s="35" t="n"/>
      <c r="D18" s="35" t="n"/>
      <c r="E18" s="132" t="n"/>
      <c r="F18" s="45" t="n"/>
      <c r="G18" s="24">
        <f>IF(OR(E18="",F18=""),"",E18*F18)</f>
        <v/>
      </c>
      <c r="H18" s="35" t="n"/>
      <c r="I18" s="36" t="n"/>
      <c r="J18" s="36" t="n"/>
      <c r="K18" s="35" t="n"/>
      <c r="L18" s="35" t="n"/>
      <c r="M18" s="32" t="n"/>
      <c r="N18" s="36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22" t="n"/>
      <c r="B19" s="35" t="n"/>
      <c r="C19" s="35" t="n"/>
      <c r="D19" s="35" t="n"/>
      <c r="E19" s="132" t="n"/>
      <c r="F19" s="45" t="n"/>
      <c r="G19" s="24">
        <f>IF(OR(E19="",F19=""),"",E19*F19)</f>
        <v/>
      </c>
      <c r="H19" s="35" t="n"/>
      <c r="I19" s="36" t="n"/>
      <c r="J19" s="36" t="n"/>
      <c r="K19" s="35" t="n"/>
      <c r="L19" s="35" t="n"/>
      <c r="M19" s="32" t="n"/>
      <c r="N19" s="36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22" t="n"/>
      <c r="B20" s="35" t="n"/>
      <c r="C20" s="35" t="n"/>
      <c r="D20" s="35" t="n"/>
      <c r="E20" s="132" t="n"/>
      <c r="F20" s="45" t="n"/>
      <c r="G20" s="24">
        <f>IF(OR(E20="",F20=""),"",E20*F20)</f>
        <v/>
      </c>
      <c r="H20" s="35" t="n"/>
      <c r="I20" s="36" t="n"/>
      <c r="J20" s="36" t="n"/>
      <c r="K20" s="35" t="n"/>
      <c r="L20" s="35" t="n"/>
      <c r="M20" s="32" t="n"/>
      <c r="N20" s="36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22" t="n"/>
      <c r="B21" s="35" t="n"/>
      <c r="C21" s="35" t="n"/>
      <c r="D21" s="35" t="n"/>
      <c r="E21" s="132" t="n"/>
      <c r="F21" s="45" t="n"/>
      <c r="G21" s="24">
        <f>IF(OR(E21="",F21=""),"",E21*F21)</f>
        <v/>
      </c>
      <c r="H21" s="35" t="n"/>
      <c r="I21" s="36" t="n"/>
      <c r="J21" s="36" t="n"/>
      <c r="K21" s="35" t="n"/>
      <c r="L21" s="35" t="n"/>
      <c r="M21" s="32" t="n"/>
      <c r="N21" s="36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22" t="n"/>
      <c r="B22" s="35" t="n"/>
      <c r="C22" s="35" t="n"/>
      <c r="D22" s="35" t="n"/>
      <c r="E22" s="132" t="n"/>
      <c r="F22" s="45" t="n"/>
      <c r="G22" s="24">
        <f>IF(OR(E22="",F22=""),"",E22*F22)</f>
        <v/>
      </c>
      <c r="H22" s="35" t="n"/>
      <c r="I22" s="36" t="n"/>
      <c r="J22" s="36" t="n"/>
      <c r="K22" s="35" t="n"/>
      <c r="L22" s="35" t="n"/>
      <c r="M22" s="32" t="n"/>
      <c r="N22" s="36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22" t="n"/>
      <c r="B23" s="35" t="n"/>
      <c r="C23" s="35" t="n"/>
      <c r="D23" s="35" t="n"/>
      <c r="E23" s="132" t="n"/>
      <c r="F23" s="45" t="n"/>
      <c r="G23" s="24">
        <f>IF(OR(E23="",F23=""),"",E23*F23)</f>
        <v/>
      </c>
      <c r="H23" s="35" t="n"/>
      <c r="I23" s="36" t="n"/>
      <c r="J23" s="36" t="n"/>
      <c r="K23" s="35" t="n"/>
      <c r="L23" s="35" t="n"/>
      <c r="M23" s="32" t="n"/>
      <c r="N23" s="36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22" t="n"/>
      <c r="B24" s="35" t="n"/>
      <c r="C24" s="35" t="n"/>
      <c r="D24" s="35" t="n"/>
      <c r="E24" s="132" t="n"/>
      <c r="F24" s="45" t="n"/>
      <c r="G24" s="24">
        <f>IF(OR(E24="",F24=""),"",E24*F24)</f>
        <v/>
      </c>
      <c r="H24" s="35" t="n"/>
      <c r="I24" s="36" t="n"/>
      <c r="J24" s="36" t="n"/>
      <c r="K24" s="35" t="n"/>
      <c r="L24" s="35" t="n"/>
      <c r="M24" s="32" t="n"/>
      <c r="N24" s="36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22" t="n"/>
      <c r="B25" s="35" t="n"/>
      <c r="C25" s="35" t="n"/>
      <c r="D25" s="35" t="n"/>
      <c r="E25" s="132" t="n"/>
      <c r="F25" s="45" t="n"/>
      <c r="G25" s="24">
        <f>IF(OR(E25="",F25=""),"",E25*F25)</f>
        <v/>
      </c>
      <c r="H25" s="35" t="n"/>
      <c r="I25" s="36" t="n"/>
      <c r="J25" s="36" t="n"/>
      <c r="K25" s="35" t="n"/>
      <c r="L25" s="35" t="n"/>
      <c r="M25" s="32" t="n"/>
      <c r="N25" s="36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22" t="n"/>
      <c r="B26" s="35" t="n"/>
      <c r="C26" s="35" t="n"/>
      <c r="D26" s="35" t="n"/>
      <c r="E26" s="132" t="n"/>
      <c r="F26" s="45" t="n"/>
      <c r="G26" s="24">
        <f>IF(OR(E26="",F26=""),"",E26*F26)</f>
        <v/>
      </c>
      <c r="H26" s="35" t="n"/>
      <c r="I26" s="36" t="n"/>
      <c r="J26" s="36" t="n"/>
      <c r="K26" s="35" t="n"/>
      <c r="L26" s="35" t="n"/>
      <c r="M26" s="32" t="n"/>
      <c r="N26" s="36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22" t="n"/>
      <c r="B27" s="35" t="n"/>
      <c r="C27" s="35" t="n"/>
      <c r="D27" s="35" t="n"/>
      <c r="E27" s="132" t="n"/>
      <c r="F27" s="45" t="n"/>
      <c r="G27" s="24">
        <f>IF(OR(E27="",F27=""),"",E27*F27)</f>
        <v/>
      </c>
      <c r="H27" s="35" t="n"/>
      <c r="I27" s="36" t="n"/>
      <c r="J27" s="36" t="n"/>
      <c r="K27" s="35" t="n"/>
      <c r="L27" s="35" t="n"/>
      <c r="M27" s="32" t="n"/>
      <c r="N27" s="36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22" t="n"/>
      <c r="B28" s="35" t="n"/>
      <c r="C28" s="35" t="n"/>
      <c r="D28" s="35" t="n"/>
      <c r="E28" s="132" t="n"/>
      <c r="F28" s="45" t="n"/>
      <c r="G28" s="24">
        <f>IF(OR(E28="",F28=""),"",E28*F28)</f>
        <v/>
      </c>
      <c r="H28" s="35" t="n"/>
      <c r="I28" s="36" t="n"/>
      <c r="J28" s="36" t="n"/>
      <c r="K28" s="35" t="n"/>
      <c r="L28" s="35" t="n"/>
      <c r="M28" s="32" t="n"/>
      <c r="N28" s="36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22" t="n"/>
      <c r="B29" s="35" t="n"/>
      <c r="C29" s="35" t="n"/>
      <c r="D29" s="35" t="n"/>
      <c r="E29" s="132" t="n"/>
      <c r="F29" s="45" t="n"/>
      <c r="G29" s="24">
        <f>IF(OR(E29="",F29=""),"",E29*F29)</f>
        <v/>
      </c>
      <c r="H29" s="35" t="n"/>
      <c r="I29" s="36" t="n"/>
      <c r="J29" s="36" t="n"/>
      <c r="K29" s="35" t="n"/>
      <c r="L29" s="35" t="n"/>
      <c r="M29" s="32" t="n"/>
      <c r="N29" s="36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22" t="n"/>
      <c r="B30" s="35" t="n"/>
      <c r="C30" s="35" t="n"/>
      <c r="D30" s="35" t="n"/>
      <c r="E30" s="132" t="n"/>
      <c r="F30" s="45" t="n"/>
      <c r="G30" s="24">
        <f>IF(OR(E30="",F30=""),"",E30*F30)</f>
        <v/>
      </c>
      <c r="H30" s="35" t="n"/>
      <c r="I30" s="36" t="n"/>
      <c r="J30" s="36" t="n"/>
      <c r="K30" s="35" t="n"/>
      <c r="L30" s="35" t="n"/>
      <c r="M30" s="32" t="n"/>
      <c r="N30" s="36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22" t="n"/>
      <c r="B31" s="35" t="n"/>
      <c r="C31" s="35" t="n"/>
      <c r="D31" s="35" t="n"/>
      <c r="E31" s="132" t="n"/>
      <c r="F31" s="45" t="n"/>
      <c r="G31" s="24">
        <f>IF(OR(E31="",F31=""),"",E31*F31)</f>
        <v/>
      </c>
      <c r="H31" s="35" t="n"/>
      <c r="I31" s="36" t="n"/>
      <c r="J31" s="36" t="n"/>
      <c r="K31" s="35" t="n"/>
      <c r="L31" s="35" t="n"/>
      <c r="M31" s="32" t="n"/>
      <c r="N31" s="36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22" t="n"/>
      <c r="B32" s="35" t="n"/>
      <c r="C32" s="35" t="n"/>
      <c r="D32" s="35" t="n"/>
      <c r="E32" s="132" t="n"/>
      <c r="F32" s="45" t="n"/>
      <c r="G32" s="24">
        <f>IF(OR(E32="",F32=""),"",E32*F32)</f>
        <v/>
      </c>
      <c r="H32" s="35" t="n"/>
      <c r="I32" s="36" t="n"/>
      <c r="J32" s="36" t="n"/>
      <c r="K32" s="35" t="n"/>
      <c r="L32" s="35" t="n"/>
      <c r="M32" s="32" t="n"/>
      <c r="N32" s="36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22" t="n"/>
      <c r="B33" s="35" t="n"/>
      <c r="C33" s="35" t="n"/>
      <c r="D33" s="35" t="n"/>
      <c r="E33" s="132" t="n"/>
      <c r="F33" s="45" t="n"/>
      <c r="G33" s="24">
        <f>IF(OR(E33="",F33=""),"",E33*F33)</f>
        <v/>
      </c>
      <c r="H33" s="35" t="n"/>
      <c r="I33" s="36" t="n"/>
      <c r="J33" s="36" t="n"/>
      <c r="K33" s="35" t="n"/>
      <c r="L33" s="35" t="n"/>
      <c r="M33" s="32" t="n"/>
      <c r="N33" s="36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22" t="n"/>
      <c r="B34" s="35" t="n"/>
      <c r="C34" s="35" t="n"/>
      <c r="D34" s="35" t="n"/>
      <c r="E34" s="132" t="n"/>
      <c r="F34" s="45" t="n"/>
      <c r="G34" s="24">
        <f>IF(OR(E34="",F34=""),"",E34*F34)</f>
        <v/>
      </c>
      <c r="H34" s="35" t="n"/>
      <c r="I34" s="36" t="n"/>
      <c r="J34" s="36" t="n"/>
      <c r="K34" s="35" t="n"/>
      <c r="L34" s="35" t="n"/>
      <c r="M34" s="32" t="n"/>
      <c r="N34" s="36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22" t="n"/>
      <c r="B35" s="35" t="n"/>
      <c r="C35" s="35" t="n"/>
      <c r="D35" s="35" t="n"/>
      <c r="E35" s="132" t="n"/>
      <c r="F35" s="45" t="n"/>
      <c r="G35" s="24">
        <f>IF(OR(E35="",F35=""),"",E35*F35)</f>
        <v/>
      </c>
      <c r="H35" s="35" t="n"/>
      <c r="I35" s="36" t="n"/>
      <c r="J35" s="36" t="n"/>
      <c r="K35" s="35" t="n"/>
      <c r="L35" s="35" t="n"/>
      <c r="M35" s="32" t="n"/>
      <c r="N35" s="36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22" t="n"/>
      <c r="B36" s="35" t="n"/>
      <c r="C36" s="35" t="n"/>
      <c r="D36" s="35" t="n"/>
      <c r="E36" s="132" t="n"/>
      <c r="F36" s="45" t="n"/>
      <c r="G36" s="24">
        <f>IF(OR(E36="",F36=""),"",E36*F36)</f>
        <v/>
      </c>
      <c r="H36" s="35" t="n"/>
      <c r="I36" s="36" t="n"/>
      <c r="J36" s="36" t="n"/>
      <c r="K36" s="35" t="n"/>
      <c r="L36" s="35" t="n"/>
      <c r="M36" s="32" t="n"/>
      <c r="N36" s="36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22" t="n"/>
      <c r="B37" s="35" t="n"/>
      <c r="C37" s="35" t="n"/>
      <c r="D37" s="35" t="n"/>
      <c r="E37" s="132" t="n"/>
      <c r="F37" s="45" t="n"/>
      <c r="G37" s="24">
        <f>IF(OR(E37="",F37=""),"",E37*F37)</f>
        <v/>
      </c>
      <c r="H37" s="35" t="n"/>
      <c r="I37" s="36" t="n"/>
      <c r="J37" s="36" t="n"/>
      <c r="K37" s="35" t="n"/>
      <c r="L37" s="35" t="n"/>
      <c r="M37" s="32" t="n"/>
      <c r="N37" s="36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22" t="n"/>
      <c r="B38" s="35" t="n"/>
      <c r="C38" s="35" t="n"/>
      <c r="D38" s="35" t="n"/>
      <c r="E38" s="132" t="n"/>
      <c r="F38" s="45" t="n"/>
      <c r="G38" s="24">
        <f>IF(OR(E38="",F38=""),"",E38*F38)</f>
        <v/>
      </c>
      <c r="H38" s="35" t="n"/>
      <c r="I38" s="36" t="n"/>
      <c r="J38" s="36" t="n"/>
      <c r="K38" s="35" t="n"/>
      <c r="L38" s="35" t="n"/>
      <c r="M38" s="32" t="n"/>
      <c r="N38" s="36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22" t="n"/>
      <c r="B39" s="35" t="n"/>
      <c r="C39" s="35" t="n"/>
      <c r="D39" s="35" t="n"/>
      <c r="E39" s="132" t="n"/>
      <c r="F39" s="45" t="n"/>
      <c r="G39" s="24">
        <f>IF(OR(E39="",F39=""),"",E39*F39)</f>
        <v/>
      </c>
      <c r="H39" s="35" t="n"/>
      <c r="I39" s="36" t="n"/>
      <c r="J39" s="36" t="n"/>
      <c r="K39" s="35" t="n"/>
      <c r="L39" s="35" t="n"/>
      <c r="M39" s="32" t="n"/>
      <c r="N39" s="36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22" t="n"/>
      <c r="B40" s="35" t="n"/>
      <c r="C40" s="35" t="n"/>
      <c r="D40" s="35" t="n"/>
      <c r="E40" s="132" t="n"/>
      <c r="F40" s="45" t="n"/>
      <c r="G40" s="24">
        <f>IF(OR(E40="",F40=""),"",E40*F40)</f>
        <v/>
      </c>
      <c r="H40" s="35" t="n"/>
      <c r="I40" s="36" t="n"/>
      <c r="J40" s="36" t="n"/>
      <c r="K40" s="35" t="n"/>
      <c r="L40" s="35" t="n"/>
      <c r="M40" s="32" t="n"/>
      <c r="N40" s="36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22" t="n"/>
      <c r="B41" s="35" t="n"/>
      <c r="C41" s="35" t="n"/>
      <c r="D41" s="35" t="n"/>
      <c r="E41" s="132" t="n"/>
      <c r="F41" s="45" t="n"/>
      <c r="G41" s="24">
        <f>IF(OR(E41="",F41=""),"",E41*F41)</f>
        <v/>
      </c>
      <c r="H41" s="35" t="n"/>
      <c r="I41" s="36" t="n"/>
      <c r="J41" s="36" t="n"/>
      <c r="K41" s="35" t="n"/>
      <c r="L41" s="35" t="n"/>
      <c r="M41" s="32" t="n"/>
      <c r="N41" s="36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22" t="n"/>
      <c r="B42" s="35" t="n"/>
      <c r="C42" s="35" t="n"/>
      <c r="D42" s="35" t="n"/>
      <c r="E42" s="132" t="n"/>
      <c r="F42" s="45" t="n"/>
      <c r="G42" s="24">
        <f>IF(OR(E42="",F42=""),"",E42*F42)</f>
        <v/>
      </c>
      <c r="H42" s="35" t="n"/>
      <c r="I42" s="36" t="n"/>
      <c r="J42" s="36" t="n"/>
      <c r="K42" s="35" t="n"/>
      <c r="L42" s="35" t="n"/>
      <c r="M42" s="32" t="n"/>
      <c r="N42" s="36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22" t="n"/>
      <c r="B43" s="35" t="n"/>
      <c r="C43" s="35" t="n"/>
      <c r="D43" s="35" t="n"/>
      <c r="E43" s="132" t="n"/>
      <c r="F43" s="45" t="n"/>
      <c r="G43" s="24">
        <f>IF(OR(E43="",F43=""),"",E43*F43)</f>
        <v/>
      </c>
      <c r="H43" s="35" t="n"/>
      <c r="I43" s="36" t="n"/>
      <c r="J43" s="36" t="n"/>
      <c r="K43" s="35" t="n"/>
      <c r="L43" s="35" t="n"/>
      <c r="M43" s="32" t="n"/>
      <c r="N43" s="36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22" t="n"/>
      <c r="B44" s="35" t="n"/>
      <c r="C44" s="35" t="n"/>
      <c r="D44" s="35" t="n"/>
      <c r="E44" s="132" t="n"/>
      <c r="F44" s="45" t="n"/>
      <c r="G44" s="24">
        <f>IF(OR(E44="",F44=""),"",E44*F44)</f>
        <v/>
      </c>
      <c r="H44" s="35" t="n"/>
      <c r="I44" s="36" t="n"/>
      <c r="J44" s="36" t="n"/>
      <c r="K44" s="35" t="n"/>
      <c r="L44" s="35" t="n"/>
      <c r="M44" s="32" t="n"/>
      <c r="N44" s="36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22" t="n"/>
      <c r="B45" s="35" t="n"/>
      <c r="C45" s="35" t="n"/>
      <c r="D45" s="35" t="n"/>
      <c r="E45" s="132" t="n"/>
      <c r="F45" s="45" t="n"/>
      <c r="G45" s="24">
        <f>IF(OR(E45="",F45=""),"",E45*F45)</f>
        <v/>
      </c>
      <c r="H45" s="35" t="n"/>
      <c r="I45" s="36" t="n"/>
      <c r="J45" s="36" t="n"/>
      <c r="K45" s="35" t="n"/>
      <c r="L45" s="35" t="n"/>
      <c r="M45" s="32" t="n"/>
      <c r="N45" s="36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22" t="n"/>
      <c r="B46" s="35" t="n"/>
      <c r="C46" s="35" t="n"/>
      <c r="D46" s="35" t="n"/>
      <c r="E46" s="132" t="n"/>
      <c r="F46" s="45" t="n"/>
      <c r="G46" s="24">
        <f>IF(OR(E46="",F46=""),"",E46*F46)</f>
        <v/>
      </c>
      <c r="H46" s="35" t="n"/>
      <c r="I46" s="36" t="n"/>
      <c r="J46" s="36" t="n"/>
      <c r="K46" s="35" t="n"/>
      <c r="L46" s="35" t="n"/>
      <c r="M46" s="32" t="n"/>
      <c r="N46" s="36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22" t="n"/>
      <c r="B47" s="35" t="n"/>
      <c r="C47" s="35" t="n"/>
      <c r="D47" s="35" t="n"/>
      <c r="E47" s="132" t="n"/>
      <c r="F47" s="45" t="n"/>
      <c r="G47" s="24">
        <f>IF(OR(E47="",F47=""),"",E47*F47)</f>
        <v/>
      </c>
      <c r="H47" s="35" t="n"/>
      <c r="I47" s="36" t="n"/>
      <c r="J47" s="36" t="n"/>
      <c r="K47" s="35" t="n"/>
      <c r="L47" s="35" t="n"/>
      <c r="M47" s="32" t="n"/>
      <c r="N47" s="36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22" t="n"/>
      <c r="B48" s="35" t="n"/>
      <c r="C48" s="35" t="n"/>
      <c r="D48" s="35" t="n"/>
      <c r="E48" s="132" t="n"/>
      <c r="F48" s="45" t="n"/>
      <c r="G48" s="24">
        <f>IF(OR(E48="",F48=""),"",E48*F48)</f>
        <v/>
      </c>
      <c r="H48" s="35" t="n"/>
      <c r="I48" s="36" t="n"/>
      <c r="J48" s="36" t="n"/>
      <c r="K48" s="35" t="n"/>
      <c r="L48" s="35" t="n"/>
      <c r="M48" s="32" t="n"/>
      <c r="N48" s="36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22" t="n"/>
      <c r="B49" s="35" t="n"/>
      <c r="C49" s="35" t="n"/>
      <c r="D49" s="35" t="n"/>
      <c r="E49" s="132" t="n"/>
      <c r="F49" s="45" t="n"/>
      <c r="G49" s="24">
        <f>IF(OR(E49="",F49=""),"",E49*F49)</f>
        <v/>
      </c>
      <c r="H49" s="35" t="n"/>
      <c r="I49" s="36" t="n"/>
      <c r="J49" s="36" t="n"/>
      <c r="K49" s="35" t="n"/>
      <c r="L49" s="35" t="n"/>
      <c r="M49" s="32" t="n"/>
      <c r="N49" s="36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22" t="n"/>
      <c r="B50" s="35" t="n"/>
      <c r="C50" s="35" t="n"/>
      <c r="D50" s="35" t="n"/>
      <c r="E50" s="132" t="n"/>
      <c r="F50" s="45" t="n"/>
      <c r="G50" s="24">
        <f>IF(OR(E50="",F50=""),"",E50*F50)</f>
        <v/>
      </c>
      <c r="H50" s="35" t="n"/>
      <c r="I50" s="36" t="n"/>
      <c r="J50" s="36" t="n"/>
      <c r="K50" s="35" t="n"/>
      <c r="L50" s="35" t="n"/>
      <c r="M50" s="32" t="n"/>
      <c r="N50" s="36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22" t="n"/>
      <c r="B51" s="35" t="n"/>
      <c r="C51" s="35" t="n"/>
      <c r="D51" s="35" t="n"/>
      <c r="E51" s="132" t="n"/>
      <c r="F51" s="45" t="n"/>
      <c r="G51" s="24">
        <f>IF(OR(E51="",F51=""),"",E51*F51)</f>
        <v/>
      </c>
      <c r="H51" s="35" t="n"/>
      <c r="I51" s="36" t="n"/>
      <c r="J51" s="36" t="n"/>
      <c r="K51" s="35" t="n"/>
      <c r="L51" s="35" t="n"/>
      <c r="M51" s="32" t="n"/>
      <c r="N51" s="36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22" t="n"/>
      <c r="B52" s="35" t="n"/>
      <c r="C52" s="35" t="n"/>
      <c r="D52" s="35" t="n"/>
      <c r="E52" s="132" t="n"/>
      <c r="F52" s="45" t="n"/>
      <c r="G52" s="24">
        <f>IF(OR(E52="",F52=""),"",E52*F52)</f>
        <v/>
      </c>
      <c r="H52" s="35" t="n"/>
      <c r="I52" s="36" t="n"/>
      <c r="J52" s="36" t="n"/>
      <c r="K52" s="35" t="n"/>
      <c r="L52" s="35" t="n"/>
      <c r="M52" s="32" t="n"/>
      <c r="N52" s="36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22" t="n"/>
      <c r="B53" s="35" t="n"/>
      <c r="C53" s="35" t="n"/>
      <c r="D53" s="35" t="n"/>
      <c r="E53" s="132" t="n"/>
      <c r="F53" s="45" t="n"/>
      <c r="G53" s="24">
        <f>IF(OR(E53="",F53=""),"",E53*F53)</f>
        <v/>
      </c>
      <c r="H53" s="35" t="n"/>
      <c r="I53" s="36" t="n"/>
      <c r="J53" s="36" t="n"/>
      <c r="K53" s="35" t="n"/>
      <c r="L53" s="35" t="n"/>
      <c r="M53" s="32" t="n"/>
      <c r="N53" s="36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22" t="n"/>
      <c r="B54" s="35" t="n"/>
      <c r="C54" s="35" t="n"/>
      <c r="D54" s="35" t="n"/>
      <c r="E54" s="132" t="n"/>
      <c r="F54" s="45" t="n"/>
      <c r="G54" s="24">
        <f>IF(OR(E54="",F54=""),"",E54*F54)</f>
        <v/>
      </c>
      <c r="H54" s="35" t="n"/>
      <c r="I54" s="36" t="n"/>
      <c r="J54" s="36" t="n"/>
      <c r="K54" s="35" t="n"/>
      <c r="L54" s="35" t="n"/>
      <c r="M54" s="32" t="n"/>
      <c r="N54" s="36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22" t="n"/>
      <c r="B55" s="35" t="n"/>
      <c r="C55" s="35" t="n"/>
      <c r="D55" s="35" t="n"/>
      <c r="E55" s="132" t="n"/>
      <c r="F55" s="45" t="n"/>
      <c r="G55" s="24">
        <f>IF(OR(E55="",F55=""),"",E55*F55)</f>
        <v/>
      </c>
      <c r="H55" s="35" t="n"/>
      <c r="I55" s="36" t="n"/>
      <c r="J55" s="36" t="n"/>
      <c r="K55" s="35" t="n"/>
      <c r="L55" s="35" t="n"/>
      <c r="M55" s="32" t="n"/>
      <c r="N55" s="36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22" t="n"/>
      <c r="B56" s="35" t="n"/>
      <c r="C56" s="35" t="n"/>
      <c r="D56" s="35" t="n"/>
      <c r="E56" s="132" t="n"/>
      <c r="F56" s="45" t="n"/>
      <c r="G56" s="24">
        <f>IF(OR(E56="",F56=""),"",E56*F56)</f>
        <v/>
      </c>
      <c r="H56" s="35" t="n"/>
      <c r="I56" s="36" t="n"/>
      <c r="J56" s="36" t="n"/>
      <c r="K56" s="35" t="n"/>
      <c r="L56" s="35" t="n"/>
      <c r="M56" s="32" t="n"/>
      <c r="N56" s="36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22" t="n"/>
      <c r="B57" s="35" t="n"/>
      <c r="C57" s="35" t="n"/>
      <c r="D57" s="35" t="n"/>
      <c r="E57" s="132" t="n"/>
      <c r="F57" s="45" t="n"/>
      <c r="G57" s="24">
        <f>IF(OR(E57="",F57=""),"",E57*F57)</f>
        <v/>
      </c>
      <c r="H57" s="35" t="n"/>
      <c r="I57" s="36" t="n"/>
      <c r="J57" s="36" t="n"/>
      <c r="K57" s="35" t="n"/>
      <c r="L57" s="35" t="n"/>
      <c r="M57" s="32" t="n"/>
      <c r="N57" s="36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22" t="n"/>
      <c r="B58" s="35" t="n"/>
      <c r="C58" s="35" t="n"/>
      <c r="D58" s="35" t="n"/>
      <c r="E58" s="132" t="n"/>
      <c r="F58" s="45" t="n"/>
      <c r="G58" s="24">
        <f>IF(OR(E58="",F58=""),"",E58*F58)</f>
        <v/>
      </c>
      <c r="H58" s="35" t="n"/>
      <c r="I58" s="36" t="n"/>
      <c r="J58" s="36" t="n"/>
      <c r="K58" s="35" t="n"/>
      <c r="L58" s="35" t="n"/>
      <c r="M58" s="32" t="n"/>
      <c r="N58" s="36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22" t="n"/>
      <c r="B59" s="35" t="n"/>
      <c r="C59" s="35" t="n"/>
      <c r="D59" s="35" t="n"/>
      <c r="E59" s="132" t="n"/>
      <c r="F59" s="45" t="n"/>
      <c r="G59" s="24">
        <f>IF(OR(E59="",F59=""),"",E59*F59)</f>
        <v/>
      </c>
      <c r="H59" s="35" t="n"/>
      <c r="I59" s="36" t="n"/>
      <c r="J59" s="36" t="n"/>
      <c r="K59" s="35" t="n"/>
      <c r="L59" s="35" t="n"/>
      <c r="M59" s="32" t="n"/>
      <c r="N59" s="36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22" t="n"/>
      <c r="B60" s="35" t="n"/>
      <c r="C60" s="35" t="n"/>
      <c r="D60" s="35" t="n"/>
      <c r="E60" s="132" t="n"/>
      <c r="F60" s="45" t="n"/>
      <c r="G60" s="24">
        <f>IF(OR(E60="",F60=""),"",E60*F60)</f>
        <v/>
      </c>
      <c r="H60" s="35" t="n"/>
      <c r="I60" s="36" t="n"/>
      <c r="J60" s="36" t="n"/>
      <c r="K60" s="35" t="n"/>
      <c r="L60" s="35" t="n"/>
      <c r="M60" s="32" t="n"/>
      <c r="N60" s="36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22" t="n"/>
      <c r="B61" s="35" t="n"/>
      <c r="C61" s="35" t="n"/>
      <c r="D61" s="35" t="n"/>
      <c r="E61" s="132" t="n"/>
      <c r="F61" s="45" t="n"/>
      <c r="G61" s="24">
        <f>IF(OR(E61="",F61=""),"",E61*F61)</f>
        <v/>
      </c>
      <c r="H61" s="35" t="n"/>
      <c r="I61" s="36" t="n"/>
      <c r="J61" s="36" t="n"/>
      <c r="K61" s="35" t="n"/>
      <c r="L61" s="35" t="n"/>
      <c r="M61" s="32" t="n"/>
      <c r="N61" s="36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22" t="n"/>
      <c r="B62" s="35" t="n"/>
      <c r="C62" s="35" t="n"/>
      <c r="D62" s="35" t="n"/>
      <c r="E62" s="132" t="n"/>
      <c r="F62" s="45" t="n"/>
      <c r="G62" s="24">
        <f>IF(OR(E62="",F62=""),"",E62*F62)</f>
        <v/>
      </c>
      <c r="H62" s="35" t="n"/>
      <c r="I62" s="36" t="n"/>
      <c r="J62" s="36" t="n"/>
      <c r="K62" s="35" t="n"/>
      <c r="L62" s="35" t="n"/>
      <c r="M62" s="32" t="n"/>
      <c r="N62" s="36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22" t="n"/>
      <c r="B63" s="35" t="n"/>
      <c r="C63" s="35" t="n"/>
      <c r="D63" s="35" t="n"/>
      <c r="E63" s="132" t="n"/>
      <c r="F63" s="45" t="n"/>
      <c r="G63" s="24">
        <f>IF(OR(E63="",F63=""),"",E63*F63)</f>
        <v/>
      </c>
      <c r="H63" s="35" t="n"/>
      <c r="I63" s="36" t="n"/>
      <c r="J63" s="36" t="n"/>
      <c r="K63" s="35" t="n"/>
      <c r="L63" s="35" t="n"/>
      <c r="M63" s="32" t="n"/>
      <c r="N63" s="36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22" t="n"/>
      <c r="B64" s="35" t="n"/>
      <c r="C64" s="35" t="n"/>
      <c r="D64" s="35" t="n"/>
      <c r="E64" s="132" t="n"/>
      <c r="F64" s="45" t="n"/>
      <c r="G64" s="24">
        <f>IF(OR(E64="",F64=""),"",E64*F64)</f>
        <v/>
      </c>
      <c r="H64" s="35" t="n"/>
      <c r="I64" s="36" t="n"/>
      <c r="J64" s="36" t="n"/>
      <c r="K64" s="35" t="n"/>
      <c r="L64" s="35" t="n"/>
      <c r="M64" s="32" t="n"/>
      <c r="N64" s="36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22" t="n"/>
      <c r="B65" s="35" t="n"/>
      <c r="C65" s="35" t="n"/>
      <c r="D65" s="35" t="n"/>
      <c r="E65" s="132" t="n"/>
      <c r="F65" s="45" t="n"/>
      <c r="G65" s="24">
        <f>IF(OR(E65="",F65=""),"",E65*F65)</f>
        <v/>
      </c>
      <c r="H65" s="35" t="n"/>
      <c r="I65" s="36" t="n"/>
      <c r="J65" s="36" t="n"/>
      <c r="K65" s="35" t="n"/>
      <c r="L65" s="35" t="n"/>
      <c r="M65" s="32" t="n"/>
      <c r="N65" s="36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22" t="n"/>
      <c r="B66" s="35" t="n"/>
      <c r="C66" s="35" t="n"/>
      <c r="D66" s="35" t="n"/>
      <c r="E66" s="132" t="n"/>
      <c r="F66" s="45" t="n"/>
      <c r="G66" s="24">
        <f>IF(OR(E66="",F66=""),"",E66*F66)</f>
        <v/>
      </c>
      <c r="H66" s="35" t="n"/>
      <c r="I66" s="36" t="n"/>
      <c r="J66" s="36" t="n"/>
      <c r="K66" s="35" t="n"/>
      <c r="L66" s="35" t="n"/>
      <c r="M66" s="32" t="n"/>
      <c r="N66" s="36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22" t="n"/>
      <c r="B67" s="35" t="n"/>
      <c r="C67" s="35" t="n"/>
      <c r="D67" s="35" t="n"/>
      <c r="E67" s="132" t="n"/>
      <c r="F67" s="45" t="n"/>
      <c r="G67" s="24">
        <f>IF(OR(E67="",F67=""),"",E67*F67)</f>
        <v/>
      </c>
      <c r="H67" s="35" t="n"/>
      <c r="I67" s="36" t="n"/>
      <c r="J67" s="36" t="n"/>
      <c r="K67" s="35" t="n"/>
      <c r="L67" s="35" t="n"/>
      <c r="M67" s="32" t="n"/>
      <c r="N67" s="36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22" t="n"/>
      <c r="B68" s="35" t="n"/>
      <c r="C68" s="35" t="n"/>
      <c r="D68" s="35" t="n"/>
      <c r="E68" s="132" t="n"/>
      <c r="F68" s="45" t="n"/>
      <c r="G68" s="24">
        <f>IF(OR(E68="",F68=""),"",E68*F68)</f>
        <v/>
      </c>
      <c r="H68" s="35" t="n"/>
      <c r="I68" s="36" t="n"/>
      <c r="J68" s="36" t="n"/>
      <c r="K68" s="35" t="n"/>
      <c r="L68" s="35" t="n"/>
      <c r="M68" s="32" t="n"/>
      <c r="N68" s="36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22" t="n"/>
      <c r="B69" s="35" t="n"/>
      <c r="C69" s="35" t="n"/>
      <c r="D69" s="35" t="n"/>
      <c r="E69" s="132" t="n"/>
      <c r="F69" s="45" t="n"/>
      <c r="G69" s="24">
        <f>IF(OR(E69="",F69=""),"",E69*F69)</f>
        <v/>
      </c>
      <c r="H69" s="35" t="n"/>
      <c r="I69" s="36" t="n"/>
      <c r="J69" s="36" t="n"/>
      <c r="K69" s="35" t="n"/>
      <c r="L69" s="35" t="n"/>
      <c r="M69" s="32" t="n"/>
      <c r="N69" s="36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22" t="n"/>
      <c r="B70" s="35" t="n"/>
      <c r="C70" s="35" t="n"/>
      <c r="D70" s="35" t="n"/>
      <c r="E70" s="132" t="n"/>
      <c r="F70" s="45" t="n"/>
      <c r="G70" s="24">
        <f>IF(OR(E70="",F70=""),"",E70*F70)</f>
        <v/>
      </c>
      <c r="H70" s="35" t="n"/>
      <c r="I70" s="36" t="n"/>
      <c r="J70" s="36" t="n"/>
      <c r="K70" s="35" t="n"/>
      <c r="L70" s="35" t="n"/>
      <c r="M70" s="32" t="n"/>
      <c r="N70" s="36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22" t="n"/>
      <c r="B71" s="35" t="n"/>
      <c r="C71" s="35" t="n"/>
      <c r="D71" s="35" t="n"/>
      <c r="E71" s="132" t="n"/>
      <c r="F71" s="45" t="n"/>
      <c r="G71" s="24">
        <f>IF(OR(E71="",F71=""),"",E71*F71)</f>
        <v/>
      </c>
      <c r="H71" s="35" t="n"/>
      <c r="I71" s="36" t="n"/>
      <c r="J71" s="36" t="n"/>
      <c r="K71" s="35" t="n"/>
      <c r="L71" s="35" t="n"/>
      <c r="M71" s="32" t="n"/>
      <c r="N71" s="36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22" t="n"/>
      <c r="B72" s="35" t="n"/>
      <c r="C72" s="35" t="n"/>
      <c r="D72" s="35" t="n"/>
      <c r="E72" s="132" t="n"/>
      <c r="F72" s="45" t="n"/>
      <c r="G72" s="24">
        <f>IF(OR(E72="",F72=""),"",E72*F72)</f>
        <v/>
      </c>
      <c r="H72" s="35" t="n"/>
      <c r="I72" s="36" t="n"/>
      <c r="J72" s="36" t="n"/>
      <c r="K72" s="35" t="n"/>
      <c r="L72" s="35" t="n"/>
      <c r="M72" s="32" t="n"/>
      <c r="N72" s="36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22" t="n"/>
      <c r="B73" s="35" t="n"/>
      <c r="C73" s="35" t="n"/>
      <c r="D73" s="35" t="n"/>
      <c r="E73" s="132" t="n"/>
      <c r="F73" s="45" t="n"/>
      <c r="G73" s="24">
        <f>IF(OR(E73="",F73=""),"",E73*F73)</f>
        <v/>
      </c>
      <c r="H73" s="35" t="n"/>
      <c r="I73" s="36" t="n"/>
      <c r="J73" s="36" t="n"/>
      <c r="K73" s="35" t="n"/>
      <c r="L73" s="35" t="n"/>
      <c r="M73" s="32" t="n"/>
      <c r="N73" s="36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22" t="n"/>
      <c r="B74" s="35" t="n"/>
      <c r="C74" s="35" t="n"/>
      <c r="D74" s="35" t="n"/>
      <c r="E74" s="132" t="n"/>
      <c r="F74" s="45" t="n"/>
      <c r="G74" s="24">
        <f>IF(OR(E74="",F74=""),"",E74*F74)</f>
        <v/>
      </c>
      <c r="H74" s="35" t="n"/>
      <c r="I74" s="36" t="n"/>
      <c r="J74" s="36" t="n"/>
      <c r="K74" s="35" t="n"/>
      <c r="L74" s="35" t="n"/>
      <c r="M74" s="32" t="n"/>
      <c r="N74" s="36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22" t="n"/>
      <c r="B75" s="35" t="n"/>
      <c r="C75" s="35" t="n"/>
      <c r="D75" s="35" t="n"/>
      <c r="E75" s="132" t="n"/>
      <c r="F75" s="45" t="n"/>
      <c r="G75" s="24">
        <f>IF(OR(E75="",F75=""),"",E75*F75)</f>
        <v/>
      </c>
      <c r="H75" s="35" t="n"/>
      <c r="I75" s="36" t="n"/>
      <c r="J75" s="36" t="n"/>
      <c r="K75" s="35" t="n"/>
      <c r="L75" s="35" t="n"/>
      <c r="M75" s="32" t="n"/>
      <c r="N75" s="36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22" t="n"/>
      <c r="B76" s="35" t="n"/>
      <c r="C76" s="35" t="n"/>
      <c r="D76" s="35" t="n"/>
      <c r="E76" s="132" t="n"/>
      <c r="F76" s="45" t="n"/>
      <c r="G76" s="24">
        <f>IF(OR(E76="",F76=""),"",E76*F76)</f>
        <v/>
      </c>
      <c r="H76" s="35" t="n"/>
      <c r="I76" s="36" t="n"/>
      <c r="J76" s="36" t="n"/>
      <c r="K76" s="35" t="n"/>
      <c r="L76" s="35" t="n"/>
      <c r="M76" s="32" t="n"/>
      <c r="N76" s="36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22" t="n"/>
      <c r="B77" s="35" t="n"/>
      <c r="C77" s="35" t="n"/>
      <c r="D77" s="35" t="n"/>
      <c r="E77" s="132" t="n"/>
      <c r="F77" s="45" t="n"/>
      <c r="G77" s="24">
        <f>IF(OR(E77="",F77=""),"",E77*F77)</f>
        <v/>
      </c>
      <c r="H77" s="35" t="n"/>
      <c r="I77" s="36" t="n"/>
      <c r="J77" s="36" t="n"/>
      <c r="K77" s="35" t="n"/>
      <c r="L77" s="35" t="n"/>
      <c r="M77" s="32" t="n"/>
      <c r="N77" s="36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22" t="n"/>
      <c r="B78" s="35" t="n"/>
      <c r="C78" s="35" t="n"/>
      <c r="D78" s="35" t="n"/>
      <c r="E78" s="132" t="n"/>
      <c r="F78" s="45" t="n"/>
      <c r="G78" s="24">
        <f>IF(OR(E78="",F78=""),"",E78*F78)</f>
        <v/>
      </c>
      <c r="H78" s="35" t="n"/>
      <c r="I78" s="36" t="n"/>
      <c r="J78" s="36" t="n"/>
      <c r="K78" s="35" t="n"/>
      <c r="L78" s="35" t="n"/>
      <c r="M78" s="32" t="n"/>
      <c r="N78" s="36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22" t="n"/>
      <c r="B79" s="35" t="n"/>
      <c r="C79" s="35" t="n"/>
      <c r="D79" s="35" t="n"/>
      <c r="E79" s="132" t="n"/>
      <c r="F79" s="45" t="n"/>
      <c r="G79" s="24">
        <f>IF(OR(E79="",F79=""),"",E79*F79)</f>
        <v/>
      </c>
      <c r="H79" s="35" t="n"/>
      <c r="I79" s="36" t="n"/>
      <c r="J79" s="36" t="n"/>
      <c r="K79" s="35" t="n"/>
      <c r="L79" s="35" t="n"/>
      <c r="M79" s="32" t="n"/>
      <c r="N79" s="36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22" t="n"/>
      <c r="B80" s="35" t="n"/>
      <c r="C80" s="35" t="n"/>
      <c r="D80" s="35" t="n"/>
      <c r="E80" s="132" t="n"/>
      <c r="F80" s="45" t="n"/>
      <c r="G80" s="24">
        <f>IF(OR(E80="",F80=""),"",E80*F80)</f>
        <v/>
      </c>
      <c r="H80" s="35" t="n"/>
      <c r="I80" s="36" t="n"/>
      <c r="J80" s="36" t="n"/>
      <c r="K80" s="35" t="n"/>
      <c r="L80" s="35" t="n"/>
      <c r="M80" s="32" t="n"/>
      <c r="N80" s="36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22" t="n"/>
      <c r="B81" s="35" t="n"/>
      <c r="C81" s="35" t="n"/>
      <c r="D81" s="35" t="n"/>
      <c r="E81" s="132" t="n"/>
      <c r="F81" s="45" t="n"/>
      <c r="G81" s="24">
        <f>IF(OR(E81="",F81=""),"",E81*F81)</f>
        <v/>
      </c>
      <c r="H81" s="35" t="n"/>
      <c r="I81" s="36" t="n"/>
      <c r="J81" s="36" t="n"/>
      <c r="K81" s="35" t="n"/>
      <c r="L81" s="35" t="n"/>
      <c r="M81" s="32" t="n"/>
      <c r="N81" s="36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22" t="n"/>
      <c r="B82" s="35" t="n"/>
      <c r="C82" s="35" t="n"/>
      <c r="D82" s="35" t="n"/>
      <c r="E82" s="132" t="n"/>
      <c r="F82" s="45" t="n"/>
      <c r="G82" s="24">
        <f>IF(OR(E82="",F82=""),"",E82*F82)</f>
        <v/>
      </c>
      <c r="H82" s="35" t="n"/>
      <c r="I82" s="36" t="n"/>
      <c r="J82" s="36" t="n"/>
      <c r="K82" s="35" t="n"/>
      <c r="L82" s="35" t="n"/>
      <c r="M82" s="32" t="n"/>
      <c r="N82" s="36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22" t="n"/>
      <c r="B83" s="35" t="n"/>
      <c r="C83" s="35" t="n"/>
      <c r="D83" s="35" t="n"/>
      <c r="E83" s="132" t="n"/>
      <c r="F83" s="45" t="n"/>
      <c r="G83" s="24">
        <f>IF(OR(E83="",F83=""),"",E83*F83)</f>
        <v/>
      </c>
      <c r="H83" s="35" t="n"/>
      <c r="I83" s="36" t="n"/>
      <c r="J83" s="36" t="n"/>
      <c r="K83" s="35" t="n"/>
      <c r="L83" s="35" t="n"/>
      <c r="M83" s="32" t="n"/>
      <c r="N83" s="36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22" t="n"/>
      <c r="B84" s="35" t="n"/>
      <c r="C84" s="35" t="n"/>
      <c r="D84" s="35" t="n"/>
      <c r="E84" s="132" t="n"/>
      <c r="F84" s="45" t="n"/>
      <c r="G84" s="24">
        <f>IF(OR(E84="",F84=""),"",E84*F84)</f>
        <v/>
      </c>
      <c r="H84" s="35" t="n"/>
      <c r="I84" s="36" t="n"/>
      <c r="J84" s="36" t="n"/>
      <c r="K84" s="35" t="n"/>
      <c r="L84" s="35" t="n"/>
      <c r="M84" s="32" t="n"/>
      <c r="N84" s="36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22" t="n"/>
      <c r="B85" s="35" t="n"/>
      <c r="C85" s="35" t="n"/>
      <c r="D85" s="35" t="n"/>
      <c r="E85" s="132" t="n"/>
      <c r="F85" s="45" t="n"/>
      <c r="G85" s="24">
        <f>IF(OR(E85="",F85=""),"",E85*F85)</f>
        <v/>
      </c>
      <c r="H85" s="35" t="n"/>
      <c r="I85" s="36" t="n"/>
      <c r="J85" s="36" t="n"/>
      <c r="K85" s="35" t="n"/>
      <c r="L85" s="35" t="n"/>
      <c r="M85" s="32" t="n"/>
      <c r="N85" s="36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22" t="n"/>
      <c r="B86" s="35" t="n"/>
      <c r="C86" s="35" t="n"/>
      <c r="D86" s="35" t="n"/>
      <c r="E86" s="132" t="n"/>
      <c r="F86" s="45" t="n"/>
      <c r="G86" s="24">
        <f>IF(OR(E86="",F86=""),"",E86*F86)</f>
        <v/>
      </c>
      <c r="H86" s="35" t="n"/>
      <c r="I86" s="36" t="n"/>
      <c r="J86" s="36" t="n"/>
      <c r="K86" s="35" t="n"/>
      <c r="L86" s="35" t="n"/>
      <c r="M86" s="32" t="n"/>
      <c r="N86" s="36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22" t="n"/>
      <c r="B87" s="35" t="n"/>
      <c r="C87" s="35" t="n"/>
      <c r="D87" s="35" t="n"/>
      <c r="E87" s="132" t="n"/>
      <c r="F87" s="45" t="n"/>
      <c r="G87" s="24">
        <f>IF(OR(E87="",F87=""),"",E87*F87)</f>
        <v/>
      </c>
      <c r="H87" s="35" t="n"/>
      <c r="I87" s="36" t="n"/>
      <c r="J87" s="36" t="n"/>
      <c r="K87" s="35" t="n"/>
      <c r="L87" s="35" t="n"/>
      <c r="M87" s="32" t="n"/>
      <c r="N87" s="36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22" t="n"/>
      <c r="B88" s="35" t="n"/>
      <c r="C88" s="35" t="n"/>
      <c r="D88" s="35" t="n"/>
      <c r="E88" s="132" t="n"/>
      <c r="F88" s="45" t="n"/>
      <c r="G88" s="24">
        <f>IF(OR(E88="",F88=""),"",E88*F88)</f>
        <v/>
      </c>
      <c r="H88" s="35" t="n"/>
      <c r="I88" s="36" t="n"/>
      <c r="J88" s="36" t="n"/>
      <c r="K88" s="35" t="n"/>
      <c r="L88" s="35" t="n"/>
      <c r="M88" s="32" t="n"/>
      <c r="N88" s="36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22" t="n"/>
      <c r="B89" s="35" t="n"/>
      <c r="C89" s="35" t="n"/>
      <c r="D89" s="35" t="n"/>
      <c r="E89" s="132" t="n"/>
      <c r="F89" s="45" t="n"/>
      <c r="G89" s="24">
        <f>IF(OR(E89="",F89=""),"",E89*F89)</f>
        <v/>
      </c>
      <c r="H89" s="35" t="n"/>
      <c r="I89" s="36" t="n"/>
      <c r="J89" s="36" t="n"/>
      <c r="K89" s="35" t="n"/>
      <c r="L89" s="35" t="n"/>
      <c r="M89" s="32" t="n"/>
      <c r="N89" s="36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22" t="n"/>
      <c r="B90" s="35" t="n"/>
      <c r="C90" s="35" t="n"/>
      <c r="D90" s="35" t="n"/>
      <c r="E90" s="132" t="n"/>
      <c r="F90" s="45" t="n"/>
      <c r="G90" s="24">
        <f>IF(OR(E90="",F90=""),"",E90*F90)</f>
        <v/>
      </c>
      <c r="H90" s="35" t="n"/>
      <c r="I90" s="36" t="n"/>
      <c r="J90" s="36" t="n"/>
      <c r="K90" s="35" t="n"/>
      <c r="L90" s="35" t="n"/>
      <c r="M90" s="32" t="n"/>
      <c r="N90" s="36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22" t="n"/>
      <c r="B91" s="35" t="n"/>
      <c r="C91" s="35" t="n"/>
      <c r="D91" s="35" t="n"/>
      <c r="E91" s="132" t="n"/>
      <c r="F91" s="45" t="n"/>
      <c r="G91" s="24">
        <f>IF(OR(E91="",F91=""),"",E91*F91)</f>
        <v/>
      </c>
      <c r="H91" s="35" t="n"/>
      <c r="I91" s="36" t="n"/>
      <c r="J91" s="36" t="n"/>
      <c r="K91" s="35" t="n"/>
      <c r="L91" s="35" t="n"/>
      <c r="M91" s="32" t="n"/>
      <c r="N91" s="36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22" t="n"/>
      <c r="B92" s="35" t="n"/>
      <c r="C92" s="35" t="n"/>
      <c r="D92" s="35" t="n"/>
      <c r="E92" s="132" t="n"/>
      <c r="F92" s="45" t="n"/>
      <c r="G92" s="24">
        <f>IF(OR(E92="",F92=""),"",E92*F92)</f>
        <v/>
      </c>
      <c r="H92" s="35" t="n"/>
      <c r="I92" s="36" t="n"/>
      <c r="J92" s="36" t="n"/>
      <c r="K92" s="35" t="n"/>
      <c r="L92" s="35" t="n"/>
      <c r="M92" s="32" t="n"/>
      <c r="N92" s="36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22" t="n"/>
      <c r="B93" s="35" t="n"/>
      <c r="C93" s="35" t="n"/>
      <c r="D93" s="35" t="n"/>
      <c r="E93" s="132" t="n"/>
      <c r="F93" s="45" t="n"/>
      <c r="G93" s="24">
        <f>IF(OR(E93="",F93=""),"",E93*F93)</f>
        <v/>
      </c>
      <c r="H93" s="35" t="n"/>
      <c r="I93" s="36" t="n"/>
      <c r="J93" s="36" t="n"/>
      <c r="K93" s="35" t="n"/>
      <c r="L93" s="35" t="n"/>
      <c r="M93" s="32" t="n"/>
      <c r="N93" s="36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22" t="n"/>
      <c r="B94" s="35" t="n"/>
      <c r="C94" s="35" t="n"/>
      <c r="D94" s="35" t="n"/>
      <c r="E94" s="132" t="n"/>
      <c r="F94" s="45" t="n"/>
      <c r="G94" s="24">
        <f>IF(OR(E94="",F94=""),"",E94*F94)</f>
        <v/>
      </c>
      <c r="H94" s="35" t="n"/>
      <c r="I94" s="36" t="n"/>
      <c r="J94" s="36" t="n"/>
      <c r="K94" s="35" t="n"/>
      <c r="L94" s="35" t="n"/>
      <c r="M94" s="32" t="n"/>
      <c r="N94" s="36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22" t="n"/>
      <c r="B95" s="35" t="n"/>
      <c r="C95" s="35" t="n"/>
      <c r="D95" s="35" t="n"/>
      <c r="E95" s="132" t="n"/>
      <c r="F95" s="45" t="n"/>
      <c r="G95" s="24">
        <f>IF(OR(E95="",F95=""),"",E95*F95)</f>
        <v/>
      </c>
      <c r="H95" s="35" t="n"/>
      <c r="I95" s="36" t="n"/>
      <c r="J95" s="36" t="n"/>
      <c r="K95" s="35" t="n"/>
      <c r="L95" s="35" t="n"/>
      <c r="M95" s="32" t="n"/>
      <c r="N95" s="36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22" t="n"/>
      <c r="B96" s="35" t="n"/>
      <c r="C96" s="35" t="n"/>
      <c r="D96" s="35" t="n"/>
      <c r="E96" s="132" t="n"/>
      <c r="F96" s="45" t="n"/>
      <c r="G96" s="24">
        <f>IF(OR(E96="",F96=""),"",E96*F96)</f>
        <v/>
      </c>
      <c r="H96" s="35" t="n"/>
      <c r="I96" s="36" t="n"/>
      <c r="J96" s="36" t="n"/>
      <c r="K96" s="35" t="n"/>
      <c r="L96" s="35" t="n"/>
      <c r="M96" s="32" t="n"/>
      <c r="N96" s="36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22" t="n"/>
      <c r="B97" s="35" t="n"/>
      <c r="C97" s="35" t="n"/>
      <c r="D97" s="35" t="n"/>
      <c r="E97" s="132" t="n"/>
      <c r="F97" s="45" t="n"/>
      <c r="G97" s="24">
        <f>IF(OR(E97="",F97=""),"",E97*F97)</f>
        <v/>
      </c>
      <c r="H97" s="35" t="n"/>
      <c r="I97" s="36" t="n"/>
      <c r="J97" s="36" t="n"/>
      <c r="K97" s="35" t="n"/>
      <c r="L97" s="35" t="n"/>
      <c r="M97" s="32" t="n"/>
      <c r="N97" s="36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22" t="n"/>
      <c r="B98" s="35" t="n"/>
      <c r="C98" s="35" t="n"/>
      <c r="D98" s="35" t="n"/>
      <c r="E98" s="132" t="n"/>
      <c r="F98" s="45" t="n"/>
      <c r="G98" s="24">
        <f>IF(OR(E98="",F98=""),"",E98*F98)</f>
        <v/>
      </c>
      <c r="H98" s="35" t="n"/>
      <c r="I98" s="36" t="n"/>
      <c r="J98" s="36" t="n"/>
      <c r="K98" s="35" t="n"/>
      <c r="L98" s="35" t="n"/>
      <c r="M98" s="32" t="n"/>
      <c r="N98" s="36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22" t="n"/>
      <c r="B99" s="35" t="n"/>
      <c r="C99" s="35" t="n"/>
      <c r="D99" s="35" t="n"/>
      <c r="E99" s="132" t="n"/>
      <c r="F99" s="45" t="n"/>
      <c r="G99" s="24">
        <f>IF(OR(E99="",F99=""),"",E99*F99)</f>
        <v/>
      </c>
      <c r="H99" s="35" t="n"/>
      <c r="I99" s="36" t="n"/>
      <c r="J99" s="36" t="n"/>
      <c r="K99" s="35" t="n"/>
      <c r="L99" s="35" t="n"/>
      <c r="M99" s="32" t="n"/>
      <c r="N99" s="36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22" t="n"/>
      <c r="B100" s="35" t="n"/>
      <c r="C100" s="35" t="n"/>
      <c r="D100" s="35" t="n"/>
      <c r="E100" s="132" t="n"/>
      <c r="F100" s="45" t="n"/>
      <c r="G100" s="24">
        <f>IF(OR(E100="",F100=""),"",E100*F100)</f>
        <v/>
      </c>
      <c r="H100" s="35" t="n"/>
      <c r="I100" s="36" t="n"/>
      <c r="J100" s="36" t="n"/>
      <c r="K100" s="35" t="n"/>
      <c r="L100" s="35" t="n"/>
      <c r="M100" s="32" t="n"/>
      <c r="N100" s="36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22" t="n"/>
      <c r="B101" s="35" t="n"/>
      <c r="C101" s="35" t="n"/>
      <c r="D101" s="35" t="n"/>
      <c r="E101" s="132" t="n"/>
      <c r="F101" s="45" t="n"/>
      <c r="G101" s="24">
        <f>IF(OR(E101="",F101=""),"",E101*F101)</f>
        <v/>
      </c>
      <c r="H101" s="35" t="n"/>
      <c r="I101" s="36" t="n"/>
      <c r="J101" s="36" t="n"/>
      <c r="K101" s="35" t="n"/>
      <c r="L101" s="35" t="n"/>
      <c r="M101" s="32" t="n"/>
      <c r="N101" s="36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22" t="n"/>
      <c r="B102" s="35" t="n"/>
      <c r="C102" s="35" t="n"/>
      <c r="D102" s="35" t="n"/>
      <c r="E102" s="132" t="n"/>
      <c r="F102" s="45" t="n"/>
      <c r="G102" s="24">
        <f>IF(OR(E102="",F102=""),"",E102*F102)</f>
        <v/>
      </c>
      <c r="H102" s="35" t="n"/>
      <c r="I102" s="36" t="n"/>
      <c r="J102" s="36" t="n"/>
      <c r="K102" s="35" t="n"/>
      <c r="L102" s="35" t="n"/>
      <c r="M102" s="32" t="n"/>
      <c r="N102" s="36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22" t="n"/>
      <c r="B103" s="35" t="n"/>
      <c r="C103" s="35" t="n"/>
      <c r="D103" s="35" t="n"/>
      <c r="E103" s="132" t="n"/>
      <c r="F103" s="45" t="n"/>
      <c r="G103" s="24">
        <f>IF(OR(E103="",F103=""),"",E103*F103)</f>
        <v/>
      </c>
      <c r="H103" s="35" t="n"/>
      <c r="I103" s="36" t="n"/>
      <c r="J103" s="36" t="n"/>
      <c r="K103" s="35" t="n"/>
      <c r="L103" s="35" t="n"/>
      <c r="M103" s="32" t="n"/>
      <c r="N103" s="36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22" t="n"/>
      <c r="B104" s="35" t="n"/>
      <c r="C104" s="35" t="n"/>
      <c r="D104" s="35" t="n"/>
      <c r="E104" s="132" t="n"/>
      <c r="F104" s="45" t="n"/>
      <c r="G104" s="24">
        <f>IF(OR(E104="",F104=""),"",E104*F104)</f>
        <v/>
      </c>
      <c r="H104" s="35" t="n"/>
      <c r="I104" s="36" t="n"/>
      <c r="J104" s="36" t="n"/>
      <c r="K104" s="35" t="n"/>
      <c r="L104" s="35" t="n"/>
      <c r="M104" s="32" t="n"/>
      <c r="N104" s="36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22" t="n"/>
      <c r="B105" s="35" t="n"/>
      <c r="C105" s="35" t="n"/>
      <c r="D105" s="35" t="n"/>
      <c r="E105" s="132" t="n"/>
      <c r="F105" s="45" t="n"/>
      <c r="G105" s="24">
        <f>IF(OR(E105="",F105=""),"",E105*F105)</f>
        <v/>
      </c>
      <c r="H105" s="35" t="n"/>
      <c r="I105" s="36" t="n"/>
      <c r="J105" s="36" t="n"/>
      <c r="K105" s="35" t="n"/>
      <c r="L105" s="35" t="n"/>
      <c r="M105" s="32" t="n"/>
      <c r="N105" s="36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22" t="n"/>
      <c r="B106" s="35" t="n"/>
      <c r="C106" s="35" t="n"/>
      <c r="D106" s="35" t="n"/>
      <c r="E106" s="132" t="n"/>
      <c r="F106" s="45" t="n"/>
      <c r="G106" s="24">
        <f>IF(OR(E106="",F106=""),"",E106*F106)</f>
        <v/>
      </c>
      <c r="H106" s="35" t="n"/>
      <c r="I106" s="36" t="n"/>
      <c r="J106" s="36" t="n"/>
      <c r="K106" s="35" t="n"/>
      <c r="L106" s="35" t="n"/>
      <c r="M106" s="32" t="n"/>
      <c r="N106" s="36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22" t="n"/>
      <c r="B107" s="35" t="n"/>
      <c r="C107" s="35" t="n"/>
      <c r="D107" s="35" t="n"/>
      <c r="E107" s="132" t="n"/>
      <c r="F107" s="45" t="n"/>
      <c r="G107" s="24">
        <f>IF(OR(E107="",F107=""),"",E107*F107)</f>
        <v/>
      </c>
      <c r="H107" s="35" t="n"/>
      <c r="I107" s="36" t="n"/>
      <c r="J107" s="36" t="n"/>
      <c r="K107" s="35" t="n"/>
      <c r="L107" s="35" t="n"/>
      <c r="M107" s="32" t="n"/>
      <c r="N107" s="36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22" t="n"/>
      <c r="B108" s="35" t="n"/>
      <c r="C108" s="35" t="n"/>
      <c r="D108" s="35" t="n"/>
      <c r="E108" s="132" t="n"/>
      <c r="F108" s="45" t="n"/>
      <c r="G108" s="24">
        <f>IF(OR(E108="",F108=""),"",E108*F108)</f>
        <v/>
      </c>
      <c r="H108" s="35" t="n"/>
      <c r="I108" s="36" t="n"/>
      <c r="J108" s="36" t="n"/>
      <c r="K108" s="35" t="n"/>
      <c r="L108" s="35" t="n"/>
      <c r="M108" s="32" t="n"/>
      <c r="N108" s="36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22" t="n"/>
      <c r="B109" s="35" t="n"/>
      <c r="C109" s="35" t="n"/>
      <c r="D109" s="35" t="n"/>
      <c r="E109" s="132" t="n"/>
      <c r="F109" s="45" t="n"/>
      <c r="G109" s="24">
        <f>IF(OR(E109="",F109=""),"",E109*F109)</f>
        <v/>
      </c>
      <c r="H109" s="35" t="n"/>
      <c r="I109" s="36" t="n"/>
      <c r="J109" s="36" t="n"/>
      <c r="K109" s="35" t="n"/>
      <c r="L109" s="35" t="n"/>
      <c r="M109" s="32" t="n"/>
      <c r="N109" s="36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22" t="n"/>
      <c r="B110" s="35" t="n"/>
      <c r="C110" s="35" t="n"/>
      <c r="D110" s="35" t="n"/>
      <c r="E110" s="132" t="n"/>
      <c r="F110" s="45" t="n"/>
      <c r="G110" s="24">
        <f>IF(OR(E110="",F110=""),"",E110*F110)</f>
        <v/>
      </c>
      <c r="H110" s="35" t="n"/>
      <c r="I110" s="36" t="n"/>
      <c r="J110" s="36" t="n"/>
      <c r="K110" s="35" t="n"/>
      <c r="L110" s="35" t="n"/>
      <c r="M110" s="32" t="n"/>
      <c r="N110" s="36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22" t="n"/>
      <c r="B111" s="35" t="n"/>
      <c r="C111" s="35" t="n"/>
      <c r="D111" s="35" t="n"/>
      <c r="E111" s="132" t="n"/>
      <c r="F111" s="45" t="n"/>
      <c r="G111" s="24">
        <f>IF(OR(E111="",F111=""),"",E111*F111)</f>
        <v/>
      </c>
      <c r="H111" s="35" t="n"/>
      <c r="I111" s="36" t="n"/>
      <c r="J111" s="36" t="n"/>
      <c r="K111" s="35" t="n"/>
      <c r="L111" s="35" t="n"/>
      <c r="M111" s="32" t="n"/>
      <c r="N111" s="36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22" t="n"/>
      <c r="B112" s="35" t="n"/>
      <c r="C112" s="35" t="n"/>
      <c r="D112" s="35" t="n"/>
      <c r="E112" s="132" t="n"/>
      <c r="F112" s="45" t="n"/>
      <c r="G112" s="24">
        <f>IF(OR(E112="",F112=""),"",E112*F112)</f>
        <v/>
      </c>
      <c r="H112" s="35" t="n"/>
      <c r="I112" s="36" t="n"/>
      <c r="J112" s="36" t="n"/>
      <c r="K112" s="35" t="n"/>
      <c r="L112" s="35" t="n"/>
      <c r="M112" s="32" t="n"/>
      <c r="N112" s="36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22" t="n"/>
      <c r="B113" s="35" t="n"/>
      <c r="C113" s="35" t="n"/>
      <c r="D113" s="35" t="n"/>
      <c r="E113" s="132" t="n"/>
      <c r="F113" s="45" t="n"/>
      <c r="G113" s="24">
        <f>IF(OR(E113="",F113=""),"",E113*F113)</f>
        <v/>
      </c>
      <c r="H113" s="35" t="n"/>
      <c r="I113" s="36" t="n"/>
      <c r="J113" s="36" t="n"/>
      <c r="K113" s="35" t="n"/>
      <c r="L113" s="35" t="n"/>
      <c r="M113" s="32" t="n"/>
      <c r="N113" s="36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22" t="n"/>
      <c r="B114" s="35" t="n"/>
      <c r="C114" s="35" t="n"/>
      <c r="D114" s="35" t="n"/>
      <c r="E114" s="132" t="n"/>
      <c r="F114" s="45" t="n"/>
      <c r="G114" s="24">
        <f>IF(OR(E114="",F114=""),"",E114*F114)</f>
        <v/>
      </c>
      <c r="H114" s="35" t="n"/>
      <c r="I114" s="36" t="n"/>
      <c r="J114" s="36" t="n"/>
      <c r="K114" s="35" t="n"/>
      <c r="L114" s="35" t="n"/>
      <c r="M114" s="32" t="n"/>
      <c r="N114" s="36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22" t="n"/>
      <c r="B115" s="35" t="n"/>
      <c r="C115" s="35" t="n"/>
      <c r="D115" s="35" t="n"/>
      <c r="E115" s="132" t="n"/>
      <c r="F115" s="45" t="n"/>
      <c r="G115" s="24">
        <f>IF(OR(E115="",F115=""),"",E115*F115)</f>
        <v/>
      </c>
      <c r="H115" s="35" t="n"/>
      <c r="I115" s="36" t="n"/>
      <c r="J115" s="36" t="n"/>
      <c r="K115" s="35" t="n"/>
      <c r="L115" s="35" t="n"/>
      <c r="M115" s="32" t="n"/>
      <c r="N115" s="36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22" t="n"/>
      <c r="B116" s="35" t="n"/>
      <c r="C116" s="35" t="n"/>
      <c r="D116" s="35" t="n"/>
      <c r="E116" s="132" t="n"/>
      <c r="F116" s="45" t="n"/>
      <c r="G116" s="24">
        <f>IF(OR(E116="",F116=""),"",E116*F116)</f>
        <v/>
      </c>
      <c r="H116" s="35" t="n"/>
      <c r="I116" s="36" t="n"/>
      <c r="J116" s="36" t="n"/>
      <c r="K116" s="35" t="n"/>
      <c r="L116" s="35" t="n"/>
      <c r="M116" s="32" t="n"/>
      <c r="N116" s="36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22" t="n"/>
      <c r="B117" s="35" t="n"/>
      <c r="C117" s="35" t="n"/>
      <c r="D117" s="35" t="n"/>
      <c r="E117" s="132" t="n"/>
      <c r="F117" s="45" t="n"/>
      <c r="G117" s="24">
        <f>IF(OR(E117="",F117=""),"",E117*F117)</f>
        <v/>
      </c>
      <c r="H117" s="35" t="n"/>
      <c r="I117" s="36" t="n"/>
      <c r="J117" s="36" t="n"/>
      <c r="K117" s="35" t="n"/>
      <c r="L117" s="35" t="n"/>
      <c r="M117" s="32" t="n"/>
      <c r="N117" s="36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22" t="n"/>
      <c r="B118" s="35" t="n"/>
      <c r="C118" s="35" t="n"/>
      <c r="D118" s="35" t="n"/>
      <c r="E118" s="132" t="n"/>
      <c r="F118" s="45" t="n"/>
      <c r="G118" s="24">
        <f>IF(OR(E118="",F118=""),"",E118*F118)</f>
        <v/>
      </c>
      <c r="H118" s="35" t="n"/>
      <c r="I118" s="36" t="n"/>
      <c r="J118" s="36" t="n"/>
      <c r="K118" s="35" t="n"/>
      <c r="L118" s="35" t="n"/>
      <c r="M118" s="32" t="n"/>
      <c r="N118" s="36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22" t="n"/>
      <c r="B119" s="35" t="n"/>
      <c r="C119" s="35" t="n"/>
      <c r="D119" s="35" t="n"/>
      <c r="E119" s="132" t="n"/>
      <c r="F119" s="45" t="n"/>
      <c r="G119" s="24">
        <f>IF(OR(E119="",F119=""),"",E119*F119)</f>
        <v/>
      </c>
      <c r="H119" s="35" t="n"/>
      <c r="I119" s="36" t="n"/>
      <c r="J119" s="36" t="n"/>
      <c r="K119" s="35" t="n"/>
      <c r="L119" s="35" t="n"/>
      <c r="M119" s="32" t="n"/>
      <c r="N119" s="36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22" t="n"/>
      <c r="B120" s="35" t="n"/>
      <c r="C120" s="35" t="n"/>
      <c r="D120" s="35" t="n"/>
      <c r="E120" s="132" t="n"/>
      <c r="F120" s="45" t="n"/>
      <c r="G120" s="24">
        <f>IF(OR(E120="",F120=""),"",E120*F120)</f>
        <v/>
      </c>
      <c r="H120" s="35" t="n"/>
      <c r="I120" s="36" t="n"/>
      <c r="J120" s="36" t="n"/>
      <c r="K120" s="35" t="n"/>
      <c r="L120" s="35" t="n"/>
      <c r="M120" s="32" t="n"/>
      <c r="N120" s="36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22" t="n"/>
      <c r="B121" s="35" t="n"/>
      <c r="C121" s="35" t="n"/>
      <c r="D121" s="35" t="n"/>
      <c r="E121" s="132" t="n"/>
      <c r="F121" s="45" t="n"/>
      <c r="G121" s="24">
        <f>IF(OR(E121="",F121=""),"",E121*F121)</f>
        <v/>
      </c>
      <c r="H121" s="35" t="n"/>
      <c r="I121" s="36" t="n"/>
      <c r="J121" s="36" t="n"/>
      <c r="K121" s="35" t="n"/>
      <c r="L121" s="35" t="n"/>
      <c r="M121" s="32" t="n"/>
      <c r="N121" s="36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22" t="n"/>
      <c r="B122" s="35" t="n"/>
      <c r="C122" s="35" t="n"/>
      <c r="D122" s="35" t="n"/>
      <c r="E122" s="132" t="n"/>
      <c r="F122" s="45" t="n"/>
      <c r="G122" s="24">
        <f>IF(OR(E122="",F122=""),"",E122*F122)</f>
        <v/>
      </c>
      <c r="H122" s="35" t="n"/>
      <c r="I122" s="36" t="n"/>
      <c r="J122" s="36" t="n"/>
      <c r="K122" s="35" t="n"/>
      <c r="L122" s="35" t="n"/>
      <c r="M122" s="32" t="n"/>
      <c r="N122" s="36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22" t="n"/>
      <c r="B123" s="35" t="n"/>
      <c r="C123" s="35" t="n"/>
      <c r="D123" s="35" t="n"/>
      <c r="E123" s="132" t="n"/>
      <c r="F123" s="45" t="n"/>
      <c r="G123" s="24">
        <f>IF(OR(E123="",F123=""),"",E123*F123)</f>
        <v/>
      </c>
      <c r="H123" s="35" t="n"/>
      <c r="I123" s="36" t="n"/>
      <c r="J123" s="36" t="n"/>
      <c r="K123" s="35" t="n"/>
      <c r="L123" s="35" t="n"/>
      <c r="M123" s="32" t="n"/>
      <c r="N123" s="36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22" t="n"/>
      <c r="B124" s="35" t="n"/>
      <c r="C124" s="35" t="n"/>
      <c r="D124" s="35" t="n"/>
      <c r="E124" s="132" t="n"/>
      <c r="F124" s="45" t="n"/>
      <c r="G124" s="24">
        <f>IF(OR(E124="",F124=""),"",E124*F124)</f>
        <v/>
      </c>
      <c r="H124" s="35" t="n"/>
      <c r="I124" s="36" t="n"/>
      <c r="J124" s="36" t="n"/>
      <c r="K124" s="35" t="n"/>
      <c r="L124" s="35" t="n"/>
      <c r="M124" s="32" t="n"/>
      <c r="N124" s="36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22" t="n"/>
      <c r="B125" s="35" t="n"/>
      <c r="C125" s="35" t="n"/>
      <c r="D125" s="35" t="n"/>
      <c r="E125" s="132" t="n"/>
      <c r="F125" s="45" t="n"/>
      <c r="G125" s="24">
        <f>IF(OR(E125="",F125=""),"",E125*F125)</f>
        <v/>
      </c>
      <c r="H125" s="35" t="n"/>
      <c r="I125" s="36" t="n"/>
      <c r="J125" s="36" t="n"/>
      <c r="K125" s="35" t="n"/>
      <c r="L125" s="35" t="n"/>
      <c r="M125" s="32" t="n"/>
      <c r="N125" s="36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22" t="n"/>
      <c r="B126" s="35" t="n"/>
      <c r="C126" s="35" t="n"/>
      <c r="D126" s="35" t="n"/>
      <c r="E126" s="132" t="n"/>
      <c r="F126" s="45" t="n"/>
      <c r="G126" s="24">
        <f>IF(OR(E126="",F126=""),"",E126*F126)</f>
        <v/>
      </c>
      <c r="H126" s="35" t="n"/>
      <c r="I126" s="36" t="n"/>
      <c r="J126" s="36" t="n"/>
      <c r="K126" s="35" t="n"/>
      <c r="L126" s="35" t="n"/>
      <c r="M126" s="32" t="n"/>
      <c r="N126" s="36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22" t="n"/>
      <c r="B127" s="35" t="n"/>
      <c r="C127" s="35" t="n"/>
      <c r="D127" s="35" t="n"/>
      <c r="E127" s="132" t="n"/>
      <c r="F127" s="45" t="n"/>
      <c r="G127" s="24">
        <f>IF(OR(E127="",F127=""),"",E127*F127)</f>
        <v/>
      </c>
      <c r="H127" s="35" t="n"/>
      <c r="I127" s="36" t="n"/>
      <c r="J127" s="36" t="n"/>
      <c r="K127" s="35" t="n"/>
      <c r="L127" s="35" t="n"/>
      <c r="M127" s="32" t="n"/>
      <c r="N127" s="36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22" t="n"/>
      <c r="B128" s="35" t="n"/>
      <c r="C128" s="35" t="n"/>
      <c r="D128" s="35" t="n"/>
      <c r="E128" s="132" t="n"/>
      <c r="F128" s="45" t="n"/>
      <c r="G128" s="24">
        <f>IF(OR(E128="",F128=""),"",E128*F128)</f>
        <v/>
      </c>
      <c r="H128" s="35" t="n"/>
      <c r="I128" s="36" t="n"/>
      <c r="J128" s="36" t="n"/>
      <c r="K128" s="35" t="n"/>
      <c r="L128" s="35" t="n"/>
      <c r="M128" s="32" t="n"/>
      <c r="N128" s="36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22" t="n"/>
      <c r="B129" s="35" t="n"/>
      <c r="C129" s="35" t="n"/>
      <c r="D129" s="35" t="n"/>
      <c r="E129" s="132" t="n"/>
      <c r="F129" s="45" t="n"/>
      <c r="G129" s="24">
        <f>IF(OR(E129="",F129=""),"",E129*F129)</f>
        <v/>
      </c>
      <c r="H129" s="35" t="n"/>
      <c r="I129" s="36" t="n"/>
      <c r="J129" s="36" t="n"/>
      <c r="K129" s="35" t="n"/>
      <c r="L129" s="35" t="n"/>
      <c r="M129" s="32" t="n"/>
      <c r="N129" s="36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22" t="n"/>
      <c r="B130" s="35" t="n"/>
      <c r="C130" s="35" t="n"/>
      <c r="D130" s="35" t="n"/>
      <c r="E130" s="132" t="n"/>
      <c r="F130" s="45" t="n"/>
      <c r="G130" s="24">
        <f>IF(OR(E130="",F130=""),"",E130*F130)</f>
        <v/>
      </c>
      <c r="H130" s="35" t="n"/>
      <c r="I130" s="36" t="n"/>
      <c r="J130" s="36" t="n"/>
      <c r="K130" s="35" t="n"/>
      <c r="L130" s="35" t="n"/>
      <c r="M130" s="32" t="n"/>
      <c r="N130" s="36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22" t="n"/>
      <c r="B131" s="35" t="n"/>
      <c r="C131" s="35" t="n"/>
      <c r="D131" s="35" t="n"/>
      <c r="E131" s="132" t="n"/>
      <c r="F131" s="45" t="n"/>
      <c r="G131" s="24">
        <f>IF(OR(E131="",F131=""),"",E131*F131)</f>
        <v/>
      </c>
      <c r="H131" s="35" t="n"/>
      <c r="I131" s="36" t="n"/>
      <c r="J131" s="36" t="n"/>
      <c r="K131" s="35" t="n"/>
      <c r="L131" s="35" t="n"/>
      <c r="M131" s="32" t="n"/>
      <c r="N131" s="36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22" t="n"/>
      <c r="B132" s="35" t="n"/>
      <c r="C132" s="35" t="n"/>
      <c r="D132" s="35" t="n"/>
      <c r="E132" s="132" t="n"/>
      <c r="F132" s="45" t="n"/>
      <c r="G132" s="24">
        <f>IF(OR(E132="",F132=""),"",E132*F132)</f>
        <v/>
      </c>
      <c r="H132" s="35" t="n"/>
      <c r="I132" s="36" t="n"/>
      <c r="J132" s="36" t="n"/>
      <c r="K132" s="35" t="n"/>
      <c r="L132" s="35" t="n"/>
      <c r="M132" s="32" t="n"/>
      <c r="N132" s="36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22" t="n"/>
      <c r="B133" s="35" t="n"/>
      <c r="C133" s="35" t="n"/>
      <c r="D133" s="35" t="n"/>
      <c r="E133" s="132" t="n"/>
      <c r="F133" s="45" t="n"/>
      <c r="G133" s="24">
        <f>IF(OR(E133="",F133=""),"",E133*F133)</f>
        <v/>
      </c>
      <c r="H133" s="35" t="n"/>
      <c r="I133" s="36" t="n"/>
      <c r="J133" s="36" t="n"/>
      <c r="K133" s="35" t="n"/>
      <c r="L133" s="35" t="n"/>
      <c r="M133" s="32" t="n"/>
      <c r="N133" s="36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22" t="n"/>
      <c r="B134" s="35" t="n"/>
      <c r="C134" s="35" t="n"/>
      <c r="D134" s="35" t="n"/>
      <c r="E134" s="132" t="n"/>
      <c r="F134" s="45" t="n"/>
      <c r="G134" s="24">
        <f>IF(OR(E134="",F134=""),"",E134*F134)</f>
        <v/>
      </c>
      <c r="H134" s="35" t="n"/>
      <c r="I134" s="36" t="n"/>
      <c r="J134" s="36" t="n"/>
      <c r="K134" s="35" t="n"/>
      <c r="L134" s="35" t="n"/>
      <c r="M134" s="32" t="n"/>
      <c r="N134" s="36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22" t="n"/>
      <c r="B135" s="35" t="n"/>
      <c r="C135" s="35" t="n"/>
      <c r="D135" s="35" t="n"/>
      <c r="E135" s="132" t="n"/>
      <c r="F135" s="45" t="n"/>
      <c r="G135" s="24">
        <f>IF(OR(E135="",F135=""),"",E135*F135)</f>
        <v/>
      </c>
      <c r="H135" s="35" t="n"/>
      <c r="I135" s="36" t="n"/>
      <c r="J135" s="36" t="n"/>
      <c r="K135" s="35" t="n"/>
      <c r="L135" s="35" t="n"/>
      <c r="M135" s="32" t="n"/>
      <c r="N135" s="36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22" t="n"/>
      <c r="B136" s="35" t="n"/>
      <c r="C136" s="35" t="n"/>
      <c r="D136" s="35" t="n"/>
      <c r="E136" s="132" t="n"/>
      <c r="F136" s="45" t="n"/>
      <c r="G136" s="24">
        <f>IF(OR(E136="",F136=""),"",E136*F136)</f>
        <v/>
      </c>
      <c r="H136" s="35" t="n"/>
      <c r="I136" s="36" t="n"/>
      <c r="J136" s="36" t="n"/>
      <c r="K136" s="35" t="n"/>
      <c r="L136" s="35" t="n"/>
      <c r="M136" s="32" t="n"/>
      <c r="N136" s="36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22" t="n"/>
      <c r="B137" s="35" t="n"/>
      <c r="C137" s="35" t="n"/>
      <c r="D137" s="35" t="n"/>
      <c r="E137" s="132" t="n"/>
      <c r="F137" s="45" t="n"/>
      <c r="G137" s="24">
        <f>IF(OR(E137="",F137=""),"",E137*F137)</f>
        <v/>
      </c>
      <c r="H137" s="35" t="n"/>
      <c r="I137" s="36" t="n"/>
      <c r="J137" s="36" t="n"/>
      <c r="K137" s="35" t="n"/>
      <c r="L137" s="35" t="n"/>
      <c r="M137" s="32" t="n"/>
      <c r="N137" s="36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22" t="n"/>
      <c r="B138" s="35" t="n"/>
      <c r="C138" s="35" t="n"/>
      <c r="D138" s="35" t="n"/>
      <c r="E138" s="132" t="n"/>
      <c r="F138" s="45" t="n"/>
      <c r="G138" s="24">
        <f>IF(OR(E138="",F138=""),"",E138*F138)</f>
        <v/>
      </c>
      <c r="H138" s="35" t="n"/>
      <c r="I138" s="36" t="n"/>
      <c r="J138" s="36" t="n"/>
      <c r="K138" s="35" t="n"/>
      <c r="L138" s="35" t="n"/>
      <c r="M138" s="32" t="n"/>
      <c r="N138" s="36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22" t="n"/>
      <c r="B139" s="35" t="n"/>
      <c r="C139" s="35" t="n"/>
      <c r="D139" s="35" t="n"/>
      <c r="E139" s="132" t="n"/>
      <c r="F139" s="45" t="n"/>
      <c r="G139" s="24">
        <f>IF(OR(E139="",F139=""),"",E139*F139)</f>
        <v/>
      </c>
      <c r="H139" s="35" t="n"/>
      <c r="I139" s="36" t="n"/>
      <c r="J139" s="36" t="n"/>
      <c r="K139" s="35" t="n"/>
      <c r="L139" s="35" t="n"/>
      <c r="M139" s="32" t="n"/>
      <c r="N139" s="36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22" t="n"/>
      <c r="B140" s="35" t="n"/>
      <c r="C140" s="35" t="n"/>
      <c r="D140" s="35" t="n"/>
      <c r="E140" s="132" t="n"/>
      <c r="F140" s="45" t="n"/>
      <c r="G140" s="24">
        <f>IF(OR(E140="",F140=""),"",E140*F140)</f>
        <v/>
      </c>
      <c r="H140" s="35" t="n"/>
      <c r="I140" s="36" t="n"/>
      <c r="J140" s="36" t="n"/>
      <c r="K140" s="35" t="n"/>
      <c r="L140" s="35" t="n"/>
      <c r="M140" s="32" t="n"/>
      <c r="N140" s="36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22" t="n"/>
      <c r="B141" s="35" t="n"/>
      <c r="C141" s="35" t="n"/>
      <c r="D141" s="35" t="n"/>
      <c r="E141" s="132" t="n"/>
      <c r="F141" s="45" t="n"/>
      <c r="G141" s="24">
        <f>IF(OR(E141="",F141=""),"",E141*F141)</f>
        <v/>
      </c>
      <c r="H141" s="35" t="n"/>
      <c r="I141" s="36" t="n"/>
      <c r="J141" s="36" t="n"/>
      <c r="K141" s="35" t="n"/>
      <c r="L141" s="35" t="n"/>
      <c r="M141" s="32" t="n"/>
      <c r="N141" s="36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22" t="n"/>
      <c r="B142" s="35" t="n"/>
      <c r="C142" s="35" t="n"/>
      <c r="D142" s="35" t="n"/>
      <c r="E142" s="132" t="n"/>
      <c r="F142" s="45" t="n"/>
      <c r="G142" s="24">
        <f>IF(OR(E142="",F142=""),"",E142*F142)</f>
        <v/>
      </c>
      <c r="H142" s="35" t="n"/>
      <c r="I142" s="36" t="n"/>
      <c r="J142" s="36" t="n"/>
      <c r="K142" s="35" t="n"/>
      <c r="L142" s="35" t="n"/>
      <c r="M142" s="32" t="n"/>
      <c r="N142" s="36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22" t="n"/>
      <c r="B143" s="35" t="n"/>
      <c r="C143" s="35" t="n"/>
      <c r="D143" s="35" t="n"/>
      <c r="E143" s="132" t="n"/>
      <c r="F143" s="45" t="n"/>
      <c r="G143" s="24">
        <f>IF(OR(E143="",F143=""),"",E143*F143)</f>
        <v/>
      </c>
      <c r="H143" s="35" t="n"/>
      <c r="I143" s="36" t="n"/>
      <c r="J143" s="36" t="n"/>
      <c r="K143" s="35" t="n"/>
      <c r="L143" s="35" t="n"/>
      <c r="M143" s="32" t="n"/>
      <c r="N143" s="36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22" t="n"/>
      <c r="B144" s="35" t="n"/>
      <c r="C144" s="35" t="n"/>
      <c r="D144" s="35" t="n"/>
      <c r="E144" s="132" t="n"/>
      <c r="F144" s="45" t="n"/>
      <c r="G144" s="24">
        <f>IF(OR(E144="",F144=""),"",E144*F144)</f>
        <v/>
      </c>
      <c r="H144" s="35" t="n"/>
      <c r="I144" s="36" t="n"/>
      <c r="J144" s="36" t="n"/>
      <c r="K144" s="35" t="n"/>
      <c r="L144" s="35" t="n"/>
      <c r="M144" s="32" t="n"/>
      <c r="N144" s="36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22" t="n"/>
      <c r="B145" s="35" t="n"/>
      <c r="C145" s="35" t="n"/>
      <c r="D145" s="35" t="n"/>
      <c r="E145" s="132" t="n"/>
      <c r="F145" s="45" t="n"/>
      <c r="G145" s="24">
        <f>IF(OR(E145="",F145=""),"",E145*F145)</f>
        <v/>
      </c>
      <c r="H145" s="35" t="n"/>
      <c r="I145" s="36" t="n"/>
      <c r="J145" s="36" t="n"/>
      <c r="K145" s="35" t="n"/>
      <c r="L145" s="35" t="n"/>
      <c r="M145" s="32" t="n"/>
      <c r="N145" s="36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22" t="n"/>
      <c r="B146" s="35" t="n"/>
      <c r="C146" s="35" t="n"/>
      <c r="D146" s="35" t="n"/>
      <c r="E146" s="132" t="n"/>
      <c r="F146" s="45" t="n"/>
      <c r="G146" s="24">
        <f>IF(OR(E146="",F146=""),"",E146*F146)</f>
        <v/>
      </c>
      <c r="H146" s="35" t="n"/>
      <c r="I146" s="36" t="n"/>
      <c r="J146" s="36" t="n"/>
      <c r="K146" s="35" t="n"/>
      <c r="L146" s="35" t="n"/>
      <c r="M146" s="32" t="n"/>
      <c r="N146" s="36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22" t="n"/>
      <c r="B147" s="35" t="n"/>
      <c r="C147" s="35" t="n"/>
      <c r="D147" s="35" t="n"/>
      <c r="E147" s="132" t="n"/>
      <c r="F147" s="45" t="n"/>
      <c r="G147" s="24">
        <f>IF(OR(E147="",F147=""),"",E147*F147)</f>
        <v/>
      </c>
      <c r="H147" s="35" t="n"/>
      <c r="I147" s="36" t="n"/>
      <c r="J147" s="36" t="n"/>
      <c r="K147" s="35" t="n"/>
      <c r="L147" s="35" t="n"/>
      <c r="M147" s="32" t="n"/>
      <c r="N147" s="36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22" t="n"/>
      <c r="B148" s="35" t="n"/>
      <c r="C148" s="35" t="n"/>
      <c r="D148" s="35" t="n"/>
      <c r="E148" s="132" t="n"/>
      <c r="F148" s="45" t="n"/>
      <c r="G148" s="24">
        <f>IF(OR(E148="",F148=""),"",E148*F148)</f>
        <v/>
      </c>
      <c r="H148" s="35" t="n"/>
      <c r="I148" s="36" t="n"/>
      <c r="J148" s="36" t="n"/>
      <c r="K148" s="35" t="n"/>
      <c r="L148" s="35" t="n"/>
      <c r="M148" s="32" t="n"/>
      <c r="N148" s="36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22" t="n"/>
      <c r="B149" s="35" t="n"/>
      <c r="C149" s="35" t="n"/>
      <c r="D149" s="35" t="n"/>
      <c r="E149" s="132" t="n"/>
      <c r="F149" s="45" t="n"/>
      <c r="G149" s="24">
        <f>IF(OR(E149="",F149=""),"",E149*F149)</f>
        <v/>
      </c>
      <c r="H149" s="35" t="n"/>
      <c r="I149" s="36" t="n"/>
      <c r="J149" s="36" t="n"/>
      <c r="K149" s="35" t="n"/>
      <c r="L149" s="35" t="n"/>
      <c r="M149" s="32" t="n"/>
      <c r="N149" s="36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22" t="n"/>
      <c r="B150" s="35" t="n"/>
      <c r="C150" s="35" t="n"/>
      <c r="D150" s="35" t="n"/>
      <c r="E150" s="132" t="n"/>
      <c r="F150" s="45" t="n"/>
      <c r="G150" s="24">
        <f>IF(OR(E150="",F150=""),"",E150*F150)</f>
        <v/>
      </c>
      <c r="H150" s="35" t="n"/>
      <c r="I150" s="36" t="n"/>
      <c r="J150" s="36" t="n"/>
      <c r="K150" s="35" t="n"/>
      <c r="L150" s="35" t="n"/>
      <c r="M150" s="32" t="n"/>
      <c r="N150" s="36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22" t="n"/>
      <c r="B151" s="35" t="n"/>
      <c r="C151" s="35" t="n"/>
      <c r="D151" s="35" t="n"/>
      <c r="E151" s="132" t="n"/>
      <c r="F151" s="45" t="n"/>
      <c r="G151" s="24">
        <f>IF(OR(E151="",F151=""),"",E151*F151)</f>
        <v/>
      </c>
      <c r="H151" s="35" t="n"/>
      <c r="I151" s="36" t="n"/>
      <c r="J151" s="36" t="n"/>
      <c r="K151" s="35" t="n"/>
      <c r="L151" s="35" t="n"/>
      <c r="M151" s="32" t="n"/>
      <c r="N151" s="36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22" t="n"/>
      <c r="B152" s="35" t="n"/>
      <c r="C152" s="35" t="n"/>
      <c r="D152" s="35" t="n"/>
      <c r="E152" s="132" t="n"/>
      <c r="F152" s="45" t="n"/>
      <c r="G152" s="24">
        <f>IF(OR(E152="",F152=""),"",E152*F152)</f>
        <v/>
      </c>
      <c r="H152" s="35" t="n"/>
      <c r="I152" s="36" t="n"/>
      <c r="J152" s="36" t="n"/>
      <c r="K152" s="35" t="n"/>
      <c r="L152" s="35" t="n"/>
      <c r="M152" s="32" t="n"/>
      <c r="N152" s="36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22" t="n"/>
      <c r="B153" s="35" t="n"/>
      <c r="C153" s="35" t="n"/>
      <c r="D153" s="35" t="n"/>
      <c r="E153" s="132" t="n"/>
      <c r="F153" s="45" t="n"/>
      <c r="G153" s="24">
        <f>IF(OR(E153="",F153=""),"",E153*F153)</f>
        <v/>
      </c>
      <c r="H153" s="35" t="n"/>
      <c r="I153" s="36" t="n"/>
      <c r="J153" s="36" t="n"/>
      <c r="K153" s="35" t="n"/>
      <c r="L153" s="35" t="n"/>
      <c r="M153" s="32" t="n"/>
      <c r="N153" s="36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22" t="n"/>
      <c r="B154" s="35" t="n"/>
      <c r="C154" s="35" t="n"/>
      <c r="D154" s="35" t="n"/>
      <c r="E154" s="132" t="n"/>
      <c r="F154" s="45" t="n"/>
      <c r="G154" s="24">
        <f>IF(OR(E154="",F154=""),"",E154*F154)</f>
        <v/>
      </c>
      <c r="H154" s="35" t="n"/>
      <c r="I154" s="36" t="n"/>
      <c r="J154" s="36" t="n"/>
      <c r="K154" s="35" t="n"/>
      <c r="L154" s="35" t="n"/>
      <c r="M154" s="32" t="n"/>
      <c r="N154" s="36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22" t="n"/>
      <c r="B155" s="35" t="n"/>
      <c r="C155" s="35" t="n"/>
      <c r="D155" s="35" t="n"/>
      <c r="E155" s="132" t="n"/>
      <c r="F155" s="45" t="n"/>
      <c r="G155" s="24">
        <f>IF(OR(E155="",F155=""),"",E155*F155)</f>
        <v/>
      </c>
      <c r="H155" s="35" t="n"/>
      <c r="I155" s="36" t="n"/>
      <c r="J155" s="36" t="n"/>
      <c r="K155" s="35" t="n"/>
      <c r="L155" s="35" t="n"/>
      <c r="M155" s="32" t="n"/>
      <c r="N155" s="36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22" t="n"/>
      <c r="B156" s="35" t="n"/>
      <c r="C156" s="35" t="n"/>
      <c r="D156" s="35" t="n"/>
      <c r="E156" s="132" t="n"/>
      <c r="F156" s="45" t="n"/>
      <c r="G156" s="24">
        <f>IF(OR(E156="",F156=""),"",E156*F156)</f>
        <v/>
      </c>
      <c r="H156" s="35" t="n"/>
      <c r="I156" s="36" t="n"/>
      <c r="J156" s="36" t="n"/>
      <c r="K156" s="35" t="n"/>
      <c r="L156" s="35" t="n"/>
      <c r="M156" s="32" t="n"/>
      <c r="N156" s="36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22" t="n"/>
      <c r="B157" s="35" t="n"/>
      <c r="C157" s="35" t="n"/>
      <c r="D157" s="35" t="n"/>
      <c r="E157" s="132" t="n"/>
      <c r="F157" s="45" t="n"/>
      <c r="G157" s="24">
        <f>IF(OR(E157="",F157=""),"",E157*F157)</f>
        <v/>
      </c>
      <c r="H157" s="35" t="n"/>
      <c r="I157" s="36" t="n"/>
      <c r="J157" s="36" t="n"/>
      <c r="K157" s="35" t="n"/>
      <c r="L157" s="35" t="n"/>
      <c r="M157" s="32" t="n"/>
      <c r="N157" s="36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22" t="n"/>
      <c r="B158" s="35" t="n"/>
      <c r="C158" s="35" t="n"/>
      <c r="D158" s="35" t="n"/>
      <c r="E158" s="132" t="n"/>
      <c r="F158" s="45" t="n"/>
      <c r="G158" s="24">
        <f>IF(OR(E158="",F158=""),"",E158*F158)</f>
        <v/>
      </c>
      <c r="H158" s="35" t="n"/>
      <c r="I158" s="36" t="n"/>
      <c r="J158" s="36" t="n"/>
      <c r="K158" s="35" t="n"/>
      <c r="L158" s="35" t="n"/>
      <c r="M158" s="32" t="n"/>
      <c r="N158" s="36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22" t="n"/>
      <c r="B159" s="35" t="n"/>
      <c r="C159" s="35" t="n"/>
      <c r="D159" s="35" t="n"/>
      <c r="E159" s="132" t="n"/>
      <c r="F159" s="45" t="n"/>
      <c r="G159" s="24">
        <f>IF(OR(E159="",F159=""),"",E159*F159)</f>
        <v/>
      </c>
      <c r="H159" s="35" t="n"/>
      <c r="I159" s="36" t="n"/>
      <c r="J159" s="36" t="n"/>
      <c r="K159" s="35" t="n"/>
      <c r="L159" s="35" t="n"/>
      <c r="M159" s="32" t="n"/>
      <c r="N159" s="36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22" t="n"/>
      <c r="B160" s="35" t="n"/>
      <c r="C160" s="35" t="n"/>
      <c r="D160" s="35" t="n"/>
      <c r="E160" s="132" t="n"/>
      <c r="F160" s="45" t="n"/>
      <c r="G160" s="24">
        <f>IF(OR(E160="",F160=""),"",E160*F160)</f>
        <v/>
      </c>
      <c r="H160" s="35" t="n"/>
      <c r="I160" s="36" t="n"/>
      <c r="J160" s="36" t="n"/>
      <c r="K160" s="35" t="n"/>
      <c r="L160" s="35" t="n"/>
      <c r="M160" s="32" t="n"/>
      <c r="N160" s="36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22" t="n"/>
      <c r="B161" s="35" t="n"/>
      <c r="C161" s="35" t="n"/>
      <c r="D161" s="35" t="n"/>
      <c r="E161" s="132" t="n"/>
      <c r="F161" s="45" t="n"/>
      <c r="G161" s="24">
        <f>IF(OR(E161="",F161=""),"",E161*F161)</f>
        <v/>
      </c>
      <c r="H161" s="35" t="n"/>
      <c r="I161" s="36" t="n"/>
      <c r="J161" s="36" t="n"/>
      <c r="K161" s="35" t="n"/>
      <c r="L161" s="35" t="n"/>
      <c r="M161" s="32" t="n"/>
      <c r="N161" s="36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22" t="n"/>
      <c r="B162" s="35" t="n"/>
      <c r="C162" s="35" t="n"/>
      <c r="D162" s="35" t="n"/>
      <c r="E162" s="132" t="n"/>
      <c r="F162" s="45" t="n"/>
      <c r="G162" s="24">
        <f>IF(OR(E162="",F162=""),"",E162*F162)</f>
        <v/>
      </c>
      <c r="H162" s="35" t="n"/>
      <c r="I162" s="36" t="n"/>
      <c r="J162" s="36" t="n"/>
      <c r="K162" s="35" t="n"/>
      <c r="L162" s="35" t="n"/>
      <c r="M162" s="32" t="n"/>
      <c r="N162" s="36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22" t="n"/>
      <c r="B163" s="35" t="n"/>
      <c r="C163" s="35" t="n"/>
      <c r="D163" s="35" t="n"/>
      <c r="E163" s="132" t="n"/>
      <c r="F163" s="45" t="n"/>
      <c r="G163" s="24">
        <f>IF(OR(E163="",F163=""),"",E163*F163)</f>
        <v/>
      </c>
      <c r="H163" s="35" t="n"/>
      <c r="I163" s="36" t="n"/>
      <c r="J163" s="36" t="n"/>
      <c r="K163" s="35" t="n"/>
      <c r="L163" s="35" t="n"/>
      <c r="M163" s="32" t="n"/>
      <c r="N163" s="36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22" t="n"/>
      <c r="B164" s="35" t="n"/>
      <c r="C164" s="35" t="n"/>
      <c r="D164" s="35" t="n"/>
      <c r="E164" s="132" t="n"/>
      <c r="F164" s="45" t="n"/>
      <c r="G164" s="24">
        <f>IF(OR(E164="",F164=""),"",E164*F164)</f>
        <v/>
      </c>
      <c r="H164" s="35" t="n"/>
      <c r="I164" s="36" t="n"/>
      <c r="J164" s="36" t="n"/>
      <c r="K164" s="35" t="n"/>
      <c r="L164" s="35" t="n"/>
      <c r="M164" s="32" t="n"/>
      <c r="N164" s="36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22" t="n"/>
      <c r="B165" s="35" t="n"/>
      <c r="C165" s="35" t="n"/>
      <c r="D165" s="35" t="n"/>
      <c r="E165" s="132" t="n"/>
      <c r="F165" s="45" t="n"/>
      <c r="G165" s="24">
        <f>IF(OR(E165="",F165=""),"",E165*F165)</f>
        <v/>
      </c>
      <c r="H165" s="35" t="n"/>
      <c r="I165" s="36" t="n"/>
      <c r="J165" s="36" t="n"/>
      <c r="K165" s="35" t="n"/>
      <c r="L165" s="35" t="n"/>
      <c r="M165" s="32" t="n"/>
      <c r="N165" s="36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22" t="n"/>
      <c r="B166" s="35" t="n"/>
      <c r="C166" s="35" t="n"/>
      <c r="D166" s="35" t="n"/>
      <c r="E166" s="132" t="n"/>
      <c r="F166" s="45" t="n"/>
      <c r="G166" s="24">
        <f>IF(OR(E166="",F166=""),"",E166*F166)</f>
        <v/>
      </c>
      <c r="H166" s="35" t="n"/>
      <c r="I166" s="36" t="n"/>
      <c r="J166" s="36" t="n"/>
      <c r="K166" s="35" t="n"/>
      <c r="L166" s="35" t="n"/>
      <c r="M166" s="32" t="n"/>
      <c r="N166" s="36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22" t="n"/>
      <c r="B167" s="35" t="n"/>
      <c r="C167" s="35" t="n"/>
      <c r="D167" s="35" t="n"/>
      <c r="E167" s="132" t="n"/>
      <c r="F167" s="45" t="n"/>
      <c r="G167" s="24">
        <f>IF(OR(E167="",F167=""),"",E167*F167)</f>
        <v/>
      </c>
      <c r="H167" s="35" t="n"/>
      <c r="I167" s="36" t="n"/>
      <c r="J167" s="36" t="n"/>
      <c r="K167" s="35" t="n"/>
      <c r="L167" s="35" t="n"/>
      <c r="M167" s="32" t="n"/>
      <c r="N167" s="36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22" t="n"/>
      <c r="B168" s="35" t="n"/>
      <c r="C168" s="35" t="n"/>
      <c r="D168" s="35" t="n"/>
      <c r="E168" s="132" t="n"/>
      <c r="F168" s="45" t="n"/>
      <c r="G168" s="24">
        <f>IF(OR(E168="",F168=""),"",E168*F168)</f>
        <v/>
      </c>
      <c r="H168" s="35" t="n"/>
      <c r="I168" s="36" t="n"/>
      <c r="J168" s="36" t="n"/>
      <c r="K168" s="35" t="n"/>
      <c r="L168" s="35" t="n"/>
      <c r="M168" s="32" t="n"/>
      <c r="N168" s="36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22" t="n"/>
      <c r="B169" s="35" t="n"/>
      <c r="C169" s="35" t="n"/>
      <c r="D169" s="35" t="n"/>
      <c r="E169" s="132" t="n"/>
      <c r="F169" s="45" t="n"/>
      <c r="G169" s="24">
        <f>IF(OR(E169="",F169=""),"",E169*F169)</f>
        <v/>
      </c>
      <c r="H169" s="35" t="n"/>
      <c r="I169" s="36" t="n"/>
      <c r="J169" s="36" t="n"/>
      <c r="K169" s="35" t="n"/>
      <c r="L169" s="35" t="n"/>
      <c r="M169" s="32" t="n"/>
      <c r="N169" s="36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22" t="n"/>
      <c r="B170" s="35" t="n"/>
      <c r="C170" s="35" t="n"/>
      <c r="D170" s="35" t="n"/>
      <c r="E170" s="132" t="n"/>
      <c r="F170" s="45" t="n"/>
      <c r="G170" s="24">
        <f>IF(OR(E170="",F170=""),"",E170*F170)</f>
        <v/>
      </c>
      <c r="H170" s="35" t="n"/>
      <c r="I170" s="36" t="n"/>
      <c r="J170" s="36" t="n"/>
      <c r="K170" s="35" t="n"/>
      <c r="L170" s="35" t="n"/>
      <c r="M170" s="32" t="n"/>
      <c r="N170" s="36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22" t="n"/>
      <c r="B171" s="35" t="n"/>
      <c r="C171" s="35" t="n"/>
      <c r="D171" s="35" t="n"/>
      <c r="E171" s="132" t="n"/>
      <c r="F171" s="45" t="n"/>
      <c r="G171" s="24">
        <f>IF(OR(E171="",F171=""),"",E171*F171)</f>
        <v/>
      </c>
      <c r="H171" s="35" t="n"/>
      <c r="I171" s="36" t="n"/>
      <c r="J171" s="36" t="n"/>
      <c r="K171" s="35" t="n"/>
      <c r="L171" s="35" t="n"/>
      <c r="M171" s="32" t="n"/>
      <c r="N171" s="36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22" t="n"/>
      <c r="B172" s="35" t="n"/>
      <c r="C172" s="35" t="n"/>
      <c r="D172" s="35" t="n"/>
      <c r="E172" s="132" t="n"/>
      <c r="F172" s="45" t="n"/>
      <c r="G172" s="24">
        <f>IF(OR(E172="",F172=""),"",E172*F172)</f>
        <v/>
      </c>
      <c r="H172" s="35" t="n"/>
      <c r="I172" s="36" t="n"/>
      <c r="J172" s="36" t="n"/>
      <c r="K172" s="35" t="n"/>
      <c r="L172" s="35" t="n"/>
      <c r="M172" s="32" t="n"/>
      <c r="N172" s="36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22" t="n"/>
      <c r="B173" s="35" t="n"/>
      <c r="C173" s="35" t="n"/>
      <c r="D173" s="35" t="n"/>
      <c r="E173" s="132" t="n"/>
      <c r="F173" s="45" t="n"/>
      <c r="G173" s="24">
        <f>IF(OR(E173="",F173=""),"",E173*F173)</f>
        <v/>
      </c>
      <c r="H173" s="35" t="n"/>
      <c r="I173" s="36" t="n"/>
      <c r="J173" s="36" t="n"/>
      <c r="K173" s="35" t="n"/>
      <c r="L173" s="35" t="n"/>
      <c r="M173" s="32" t="n"/>
      <c r="N173" s="36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22" t="n"/>
      <c r="B174" s="35" t="n"/>
      <c r="C174" s="35" t="n"/>
      <c r="D174" s="35" t="n"/>
      <c r="E174" s="132" t="n"/>
      <c r="F174" s="45" t="n"/>
      <c r="G174" s="24">
        <f>IF(OR(E174="",F174=""),"",E174*F174)</f>
        <v/>
      </c>
      <c r="H174" s="35" t="n"/>
      <c r="I174" s="36" t="n"/>
      <c r="J174" s="36" t="n"/>
      <c r="K174" s="35" t="n"/>
      <c r="L174" s="35" t="n"/>
      <c r="M174" s="32" t="n"/>
      <c r="N174" s="36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22" t="n"/>
      <c r="B175" s="35" t="n"/>
      <c r="C175" s="35" t="n"/>
      <c r="D175" s="35" t="n"/>
      <c r="E175" s="132" t="n"/>
      <c r="F175" s="45" t="n"/>
      <c r="G175" s="24">
        <f>IF(OR(E175="",F175=""),"",E175*F175)</f>
        <v/>
      </c>
      <c r="H175" s="35" t="n"/>
      <c r="I175" s="36" t="n"/>
      <c r="J175" s="36" t="n"/>
      <c r="K175" s="35" t="n"/>
      <c r="L175" s="35" t="n"/>
      <c r="M175" s="32" t="n"/>
      <c r="N175" s="36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22" t="n"/>
      <c r="B176" s="35" t="n"/>
      <c r="C176" s="35" t="n"/>
      <c r="D176" s="35" t="n"/>
      <c r="E176" s="132" t="n"/>
      <c r="F176" s="45" t="n"/>
      <c r="G176" s="24">
        <f>IF(OR(E176="",F176=""),"",E176*F176)</f>
        <v/>
      </c>
      <c r="H176" s="35" t="n"/>
      <c r="I176" s="36" t="n"/>
      <c r="J176" s="36" t="n"/>
      <c r="K176" s="35" t="n"/>
      <c r="L176" s="35" t="n"/>
      <c r="M176" s="32" t="n"/>
      <c r="N176" s="36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22" t="n"/>
      <c r="B177" s="35" t="n"/>
      <c r="C177" s="35" t="n"/>
      <c r="D177" s="35" t="n"/>
      <c r="E177" s="132" t="n"/>
      <c r="F177" s="45" t="n"/>
      <c r="G177" s="24">
        <f>IF(OR(E177="",F177=""),"",E177*F177)</f>
        <v/>
      </c>
      <c r="H177" s="35" t="n"/>
      <c r="I177" s="36" t="n"/>
      <c r="J177" s="36" t="n"/>
      <c r="K177" s="35" t="n"/>
      <c r="L177" s="35" t="n"/>
      <c r="M177" s="32" t="n"/>
      <c r="N177" s="36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22" t="n"/>
      <c r="B178" s="35" t="n"/>
      <c r="C178" s="35" t="n"/>
      <c r="D178" s="35" t="n"/>
      <c r="E178" s="132" t="n"/>
      <c r="F178" s="45" t="n"/>
      <c r="G178" s="24">
        <f>IF(OR(E178="",F178=""),"",E178*F178)</f>
        <v/>
      </c>
      <c r="H178" s="35" t="n"/>
      <c r="I178" s="36" t="n"/>
      <c r="J178" s="36" t="n"/>
      <c r="K178" s="35" t="n"/>
      <c r="L178" s="35" t="n"/>
      <c r="M178" s="32" t="n"/>
      <c r="N178" s="36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22" t="n"/>
      <c r="B179" s="35" t="n"/>
      <c r="C179" s="35" t="n"/>
      <c r="D179" s="35" t="n"/>
      <c r="E179" s="132" t="n"/>
      <c r="F179" s="45" t="n"/>
      <c r="G179" s="24">
        <f>IF(OR(E179="",F179=""),"",E179*F179)</f>
        <v/>
      </c>
      <c r="H179" s="35" t="n"/>
      <c r="I179" s="36" t="n"/>
      <c r="J179" s="36" t="n"/>
      <c r="K179" s="35" t="n"/>
      <c r="L179" s="35" t="n"/>
      <c r="M179" s="32" t="n"/>
      <c r="N179" s="36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22" t="n"/>
      <c r="B180" s="35" t="n"/>
      <c r="C180" s="35" t="n"/>
      <c r="D180" s="35" t="n"/>
      <c r="E180" s="132" t="n"/>
      <c r="F180" s="45" t="n"/>
      <c r="G180" s="24">
        <f>IF(OR(E180="",F180=""),"",E180*F180)</f>
        <v/>
      </c>
      <c r="H180" s="35" t="n"/>
      <c r="I180" s="36" t="n"/>
      <c r="J180" s="36" t="n"/>
      <c r="K180" s="35" t="n"/>
      <c r="L180" s="35" t="n"/>
      <c r="M180" s="32" t="n"/>
      <c r="N180" s="36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22" t="n"/>
      <c r="B181" s="35" t="n"/>
      <c r="C181" s="35" t="n"/>
      <c r="D181" s="35" t="n"/>
      <c r="E181" s="132" t="n"/>
      <c r="F181" s="45" t="n"/>
      <c r="G181" s="24">
        <f>IF(OR(E181="",F181=""),"",E181*F181)</f>
        <v/>
      </c>
      <c r="H181" s="35" t="n"/>
      <c r="I181" s="36" t="n"/>
      <c r="J181" s="36" t="n"/>
      <c r="K181" s="35" t="n"/>
      <c r="L181" s="35" t="n"/>
      <c r="M181" s="32" t="n"/>
      <c r="N181" s="36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22" t="n"/>
      <c r="B182" s="35" t="n"/>
      <c r="C182" s="35" t="n"/>
      <c r="D182" s="35" t="n"/>
      <c r="E182" s="132" t="n"/>
      <c r="F182" s="45" t="n"/>
      <c r="G182" s="24">
        <f>IF(OR(E182="",F182=""),"",E182*F182)</f>
        <v/>
      </c>
      <c r="H182" s="35" t="n"/>
      <c r="I182" s="36" t="n"/>
      <c r="J182" s="36" t="n"/>
      <c r="K182" s="35" t="n"/>
      <c r="L182" s="35" t="n"/>
      <c r="M182" s="32" t="n"/>
      <c r="N182" s="36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22" t="n"/>
      <c r="B183" s="35" t="n"/>
      <c r="C183" s="35" t="n"/>
      <c r="D183" s="35" t="n"/>
      <c r="E183" s="132" t="n"/>
      <c r="F183" s="45" t="n"/>
      <c r="G183" s="24">
        <f>IF(OR(E183="",F183=""),"",E183*F183)</f>
        <v/>
      </c>
      <c r="H183" s="35" t="n"/>
      <c r="I183" s="36" t="n"/>
      <c r="J183" s="36" t="n"/>
      <c r="K183" s="35" t="n"/>
      <c r="L183" s="35" t="n"/>
      <c r="M183" s="32" t="n"/>
      <c r="N183" s="36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22" t="n"/>
      <c r="B184" s="35" t="n"/>
      <c r="C184" s="35" t="n"/>
      <c r="D184" s="35" t="n"/>
      <c r="E184" s="132" t="n"/>
      <c r="F184" s="45" t="n"/>
      <c r="G184" s="24">
        <f>IF(OR(E184="",F184=""),"",E184*F184)</f>
        <v/>
      </c>
      <c r="H184" s="35" t="n"/>
      <c r="I184" s="36" t="n"/>
      <c r="J184" s="36" t="n"/>
      <c r="K184" s="35" t="n"/>
      <c r="L184" s="35" t="n"/>
      <c r="M184" s="32" t="n"/>
      <c r="N184" s="36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22" t="n"/>
      <c r="B185" s="35" t="n"/>
      <c r="C185" s="35" t="n"/>
      <c r="D185" s="35" t="n"/>
      <c r="E185" s="132" t="n"/>
      <c r="F185" s="45" t="n"/>
      <c r="G185" s="24">
        <f>IF(OR(E185="",F185=""),"",E185*F185)</f>
        <v/>
      </c>
      <c r="H185" s="35" t="n"/>
      <c r="I185" s="36" t="n"/>
      <c r="J185" s="36" t="n"/>
      <c r="K185" s="35" t="n"/>
      <c r="L185" s="35" t="n"/>
      <c r="M185" s="32" t="n"/>
      <c r="N185" s="36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22" t="n"/>
      <c r="B186" s="35" t="n"/>
      <c r="C186" s="35" t="n"/>
      <c r="D186" s="35" t="n"/>
      <c r="E186" s="132" t="n"/>
      <c r="F186" s="45" t="n"/>
      <c r="G186" s="24">
        <f>IF(OR(E186="",F186=""),"",E186*F186)</f>
        <v/>
      </c>
      <c r="H186" s="35" t="n"/>
      <c r="I186" s="36" t="n"/>
      <c r="J186" s="36" t="n"/>
      <c r="K186" s="35" t="n"/>
      <c r="L186" s="35" t="n"/>
      <c r="M186" s="32" t="n"/>
      <c r="N186" s="36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22" t="n"/>
      <c r="B187" s="35" t="n"/>
      <c r="C187" s="35" t="n"/>
      <c r="D187" s="35" t="n"/>
      <c r="E187" s="132" t="n"/>
      <c r="F187" s="45" t="n"/>
      <c r="G187" s="24">
        <f>IF(OR(E187="",F187=""),"",E187*F187)</f>
        <v/>
      </c>
      <c r="H187" s="35" t="n"/>
      <c r="I187" s="36" t="n"/>
      <c r="J187" s="36" t="n"/>
      <c r="K187" s="35" t="n"/>
      <c r="L187" s="35" t="n"/>
      <c r="M187" s="32" t="n"/>
      <c r="N187" s="36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22" t="n"/>
      <c r="B188" s="35" t="n"/>
      <c r="C188" s="35" t="n"/>
      <c r="D188" s="35" t="n"/>
      <c r="E188" s="132" t="n"/>
      <c r="F188" s="45" t="n"/>
      <c r="G188" s="24">
        <f>IF(OR(E188="",F188=""),"",E188*F188)</f>
        <v/>
      </c>
      <c r="H188" s="35" t="n"/>
      <c r="I188" s="36" t="n"/>
      <c r="J188" s="36" t="n"/>
      <c r="K188" s="35" t="n"/>
      <c r="L188" s="35" t="n"/>
      <c r="M188" s="32" t="n"/>
      <c r="N188" s="36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22" t="n"/>
      <c r="B189" s="35" t="n"/>
      <c r="C189" s="35" t="n"/>
      <c r="D189" s="35" t="n"/>
      <c r="E189" s="132" t="n"/>
      <c r="F189" s="45" t="n"/>
      <c r="G189" s="24">
        <f>IF(OR(E189="",F189=""),"",E189*F189)</f>
        <v/>
      </c>
      <c r="H189" s="35" t="n"/>
      <c r="I189" s="36" t="n"/>
      <c r="J189" s="36" t="n"/>
      <c r="K189" s="35" t="n"/>
      <c r="L189" s="35" t="n"/>
      <c r="M189" s="32" t="n"/>
      <c r="N189" s="36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22" t="n"/>
      <c r="B190" s="35" t="n"/>
      <c r="C190" s="35" t="n"/>
      <c r="D190" s="35" t="n"/>
      <c r="E190" s="132" t="n"/>
      <c r="F190" s="45" t="n"/>
      <c r="G190" s="24">
        <f>IF(OR(E190="",F190=""),"",E190*F190)</f>
        <v/>
      </c>
      <c r="H190" s="35" t="n"/>
      <c r="I190" s="36" t="n"/>
      <c r="J190" s="36" t="n"/>
      <c r="K190" s="35" t="n"/>
      <c r="L190" s="35" t="n"/>
      <c r="M190" s="32" t="n"/>
      <c r="N190" s="36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22" t="n"/>
      <c r="B191" s="35" t="n"/>
      <c r="C191" s="35" t="n"/>
      <c r="D191" s="35" t="n"/>
      <c r="E191" s="132" t="n"/>
      <c r="F191" s="45" t="n"/>
      <c r="G191" s="24">
        <f>IF(OR(E191="",F191=""),"",E191*F191)</f>
        <v/>
      </c>
      <c r="H191" s="35" t="n"/>
      <c r="I191" s="36" t="n"/>
      <c r="J191" s="36" t="n"/>
      <c r="K191" s="35" t="n"/>
      <c r="L191" s="35" t="n"/>
      <c r="M191" s="32" t="n"/>
      <c r="N191" s="36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22" t="n"/>
      <c r="B192" s="35" t="n"/>
      <c r="C192" s="35" t="n"/>
      <c r="D192" s="35" t="n"/>
      <c r="E192" s="132" t="n"/>
      <c r="F192" s="45" t="n"/>
      <c r="G192" s="24">
        <f>IF(OR(E192="",F192=""),"",E192*F192)</f>
        <v/>
      </c>
      <c r="H192" s="35" t="n"/>
      <c r="I192" s="36" t="n"/>
      <c r="J192" s="36" t="n"/>
      <c r="K192" s="35" t="n"/>
      <c r="L192" s="35" t="n"/>
      <c r="M192" s="32" t="n"/>
      <c r="N192" s="36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22" t="n"/>
      <c r="B193" s="35" t="n"/>
      <c r="C193" s="35" t="n"/>
      <c r="D193" s="35" t="n"/>
      <c r="E193" s="132" t="n"/>
      <c r="F193" s="45" t="n"/>
      <c r="G193" s="24">
        <f>IF(OR(E193="",F193=""),"",E193*F193)</f>
        <v/>
      </c>
      <c r="H193" s="35" t="n"/>
      <c r="I193" s="36" t="n"/>
      <c r="J193" s="36" t="n"/>
      <c r="K193" s="35" t="n"/>
      <c r="L193" s="35" t="n"/>
      <c r="M193" s="32" t="n"/>
      <c r="N193" s="36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22" t="n"/>
      <c r="B194" s="35" t="n"/>
      <c r="C194" s="35" t="n"/>
      <c r="D194" s="35" t="n"/>
      <c r="E194" s="132" t="n"/>
      <c r="F194" s="45" t="n"/>
      <c r="G194" s="24">
        <f>IF(OR(E194="",F194=""),"",E194*F194)</f>
        <v/>
      </c>
      <c r="H194" s="35" t="n"/>
      <c r="I194" s="36" t="n"/>
      <c r="J194" s="36" t="n"/>
      <c r="K194" s="35" t="n"/>
      <c r="L194" s="35" t="n"/>
      <c r="M194" s="32" t="n"/>
      <c r="N194" s="36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22" t="n"/>
      <c r="B195" s="35" t="n"/>
      <c r="C195" s="35" t="n"/>
      <c r="D195" s="35" t="n"/>
      <c r="E195" s="132" t="n"/>
      <c r="F195" s="45" t="n"/>
      <c r="G195" s="24">
        <f>IF(OR(E195="",F195=""),"",E195*F195)</f>
        <v/>
      </c>
      <c r="H195" s="35" t="n"/>
      <c r="I195" s="36" t="n"/>
      <c r="J195" s="36" t="n"/>
      <c r="K195" s="35" t="n"/>
      <c r="L195" s="35" t="n"/>
      <c r="M195" s="32" t="n"/>
      <c r="N195" s="36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22" t="n"/>
      <c r="B196" s="35" t="n"/>
      <c r="C196" s="35" t="n"/>
      <c r="D196" s="35" t="n"/>
      <c r="E196" s="132" t="n"/>
      <c r="F196" s="45" t="n"/>
      <c r="G196" s="24">
        <f>IF(OR(E196="",F196=""),"",E196*F196)</f>
        <v/>
      </c>
      <c r="H196" s="35" t="n"/>
      <c r="I196" s="36" t="n"/>
      <c r="J196" s="36" t="n"/>
      <c r="K196" s="35" t="n"/>
      <c r="L196" s="35" t="n"/>
      <c r="M196" s="32" t="n"/>
      <c r="N196" s="36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22" t="n"/>
      <c r="B197" s="35" t="n"/>
      <c r="C197" s="35" t="n"/>
      <c r="D197" s="35" t="n"/>
      <c r="E197" s="132" t="n"/>
      <c r="F197" s="45" t="n"/>
      <c r="G197" s="24">
        <f>IF(OR(E197="",F197=""),"",E197*F197)</f>
        <v/>
      </c>
      <c r="H197" s="35" t="n"/>
      <c r="I197" s="36" t="n"/>
      <c r="J197" s="36" t="n"/>
      <c r="K197" s="35" t="n"/>
      <c r="L197" s="35" t="n"/>
      <c r="M197" s="32" t="n"/>
      <c r="N197" s="36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22" t="n"/>
      <c r="B198" s="35" t="n"/>
      <c r="C198" s="35" t="n"/>
      <c r="D198" s="35" t="n"/>
      <c r="E198" s="132" t="n"/>
      <c r="F198" s="45" t="n"/>
      <c r="G198" s="24">
        <f>IF(OR(E198="",F198=""),"",E198*F198)</f>
        <v/>
      </c>
      <c r="H198" s="35" t="n"/>
      <c r="I198" s="36" t="n"/>
      <c r="J198" s="36" t="n"/>
      <c r="K198" s="35" t="n"/>
      <c r="L198" s="35" t="n"/>
      <c r="M198" s="32" t="n"/>
      <c r="N198" s="36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22" t="n"/>
      <c r="B199" s="35" t="n"/>
      <c r="C199" s="35" t="n"/>
      <c r="D199" s="35" t="n"/>
      <c r="E199" s="132" t="n"/>
      <c r="F199" s="45" t="n"/>
      <c r="G199" s="24">
        <f>IF(OR(E199="",F199=""),"",E199*F199)</f>
        <v/>
      </c>
      <c r="H199" s="35" t="n"/>
      <c r="I199" s="36" t="n"/>
      <c r="J199" s="36" t="n"/>
      <c r="K199" s="35" t="n"/>
      <c r="L199" s="35" t="n"/>
      <c r="M199" s="32" t="n"/>
      <c r="N199" s="36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22" t="n"/>
      <c r="B200" s="35" t="n"/>
      <c r="C200" s="35" t="n"/>
      <c r="D200" s="35" t="n"/>
      <c r="E200" s="132" t="n"/>
      <c r="F200" s="45" t="n"/>
      <c r="G200" s="24">
        <f>IF(OR(E200="",F200=""),"",E200*F200)</f>
        <v/>
      </c>
      <c r="H200" s="35" t="n"/>
      <c r="I200" s="36" t="n"/>
      <c r="J200" s="36" t="n"/>
      <c r="K200" s="35" t="n"/>
      <c r="L200" s="35" t="n"/>
      <c r="M200" s="32" t="n"/>
      <c r="N200" s="36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22" t="n"/>
      <c r="B201" s="35" t="n"/>
      <c r="C201" s="35" t="n"/>
      <c r="D201" s="35" t="n"/>
      <c r="E201" s="132" t="n"/>
      <c r="F201" s="45" t="n"/>
      <c r="G201" s="24">
        <f>IF(OR(E201="",F201=""),"",E201*F201)</f>
        <v/>
      </c>
      <c r="H201" s="35" t="n"/>
      <c r="I201" s="36" t="n"/>
      <c r="J201" s="36" t="n"/>
      <c r="K201" s="35" t="n"/>
      <c r="L201" s="35" t="n"/>
      <c r="M201" s="32" t="n"/>
      <c r="N201" s="36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22" t="n"/>
      <c r="B202" s="35" t="n"/>
      <c r="C202" s="35" t="n"/>
      <c r="D202" s="35" t="n"/>
      <c r="E202" s="132" t="n"/>
      <c r="F202" s="45" t="n"/>
      <c r="G202" s="24">
        <f>IF(OR(E202="",F202=""),"",E202*F202)</f>
        <v/>
      </c>
      <c r="H202" s="35" t="n"/>
      <c r="I202" s="36" t="n"/>
      <c r="J202" s="36" t="n"/>
      <c r="K202" s="35" t="n"/>
      <c r="L202" s="35" t="n"/>
      <c r="M202" s="32" t="n"/>
      <c r="N202" s="36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22" t="n"/>
      <c r="B203" s="35" t="n"/>
      <c r="C203" s="35" t="n"/>
      <c r="D203" s="35" t="n"/>
      <c r="E203" s="132" t="n"/>
      <c r="F203" s="45" t="n"/>
      <c r="G203" s="24">
        <f>IF(OR(E203="",F203=""),"",E203*F203)</f>
        <v/>
      </c>
      <c r="H203" s="35" t="n"/>
      <c r="I203" s="36" t="n"/>
      <c r="J203" s="36" t="n"/>
      <c r="K203" s="35" t="n"/>
      <c r="L203" s="35" t="n"/>
      <c r="M203" s="32" t="n"/>
      <c r="N203" s="36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22" t="n"/>
      <c r="B204" s="35" t="n"/>
      <c r="C204" s="35" t="n"/>
      <c r="D204" s="35" t="n"/>
      <c r="E204" s="132" t="n"/>
      <c r="F204" s="45" t="n"/>
      <c r="G204" s="24">
        <f>IF(OR(E204="",F204=""),"",E204*F204)</f>
        <v/>
      </c>
      <c r="H204" s="35" t="n"/>
      <c r="I204" s="36" t="n"/>
      <c r="J204" s="36" t="n"/>
      <c r="K204" s="35" t="n"/>
      <c r="L204" s="35" t="n"/>
      <c r="M204" s="32" t="n"/>
      <c r="N204" s="36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181" t="inlineStr">
        <is>
          <t>■ 감정태그별 집계  —  월 1회 반드시 확인</t>
        </is>
      </c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" t="inlineStr">
        <is>
          <t>감정태그</t>
        </is>
      </c>
      <c r="B208" s="9" t="inlineStr">
        <is>
          <t>거래 건수</t>
        </is>
      </c>
      <c r="C208" s="9" t="inlineStr">
        <is>
          <t>실현손익 합계</t>
        </is>
      </c>
      <c r="D208" s="9" t="inlineStr">
        <is>
          <t>건당 평균</t>
        </is>
      </c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10" t="inlineStr">
        <is>
          <t>원칙준수</t>
        </is>
      </c>
      <c r="B209" s="137">
        <f>COUNTIF($K$5:$K$204,A209)</f>
        <v/>
      </c>
      <c r="C209" s="81">
        <f>SUMIFS($M$5:$M$204,$K$5:$K$204,A209)</f>
        <v/>
      </c>
      <c r="D209" s="51">
        <f>IFERROR(C209/B209,"-")</f>
        <v/>
      </c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10" t="inlineStr">
        <is>
          <t>FOMO</t>
        </is>
      </c>
      <c r="B210" s="137">
        <f>COUNTIF($K$5:$K$204,A210)</f>
        <v/>
      </c>
      <c r="C210" s="81">
        <f>SUMIFS($M$5:$M$204,$K$5:$K$204,A210)</f>
        <v/>
      </c>
      <c r="D210" s="51">
        <f>IFERROR(C210/B210,"-")</f>
        <v/>
      </c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10" t="inlineStr">
        <is>
          <t>패닉바잉</t>
        </is>
      </c>
      <c r="B211" s="137">
        <f>COUNTIF($K$5:$K$204,A211)</f>
        <v/>
      </c>
      <c r="C211" s="81">
        <f>SUMIFS($M$5:$M$204,$K$5:$K$204,A211)</f>
        <v/>
      </c>
      <c r="D211" s="51">
        <f>IFERROR(C211/B211,"-")</f>
        <v/>
      </c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10" t="inlineStr">
        <is>
          <t>패닉셀</t>
        </is>
      </c>
      <c r="B212" s="137">
        <f>COUNTIF($K$5:$K$204,A212)</f>
        <v/>
      </c>
      <c r="C212" s="81">
        <f>SUMIFS($M$5:$M$204,$K$5:$K$204,A212)</f>
        <v/>
      </c>
      <c r="D212" s="51">
        <f>IFERROR(C212/B212,"-")</f>
        <v/>
      </c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10" t="inlineStr">
        <is>
          <t>조급/복구욕구</t>
        </is>
      </c>
      <c r="B213" s="137">
        <f>COUNTIF($K$5:$K$204,A213)</f>
        <v/>
      </c>
      <c r="C213" s="81">
        <f>SUMIFS($M$5:$M$204,$K$5:$K$204,A213)</f>
        <v/>
      </c>
      <c r="D213" s="51">
        <f>IFERROR(C213/B213,"-")</f>
        <v/>
      </c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10" t="inlineStr">
        <is>
          <t>과잉확신</t>
        </is>
      </c>
      <c r="B214" s="137">
        <f>COUNTIF($K$5:$K$204,A214)</f>
        <v/>
      </c>
      <c r="C214" s="81">
        <f>SUMIFS($M$5:$M$204,$K$5:$K$204,A214)</f>
        <v/>
      </c>
      <c r="D214" s="51">
        <f>IFERROR(C214/B214,"-")</f>
        <v/>
      </c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10" t="inlineStr">
        <is>
          <t>분노</t>
        </is>
      </c>
      <c r="B215" s="137">
        <f>COUNTIF($K$5:$K$204,A215)</f>
        <v/>
      </c>
      <c r="C215" s="81">
        <f>SUMIFS($M$5:$M$204,$K$5:$K$204,A215)</f>
        <v/>
      </c>
      <c r="D215" s="51">
        <f>IFERROR(C215/B215,"-")</f>
        <v/>
      </c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10" t="inlineStr">
        <is>
          <t>체념</t>
        </is>
      </c>
      <c r="B216" s="137">
        <f>COUNTIF($K$5:$K$204,A216)</f>
        <v/>
      </c>
      <c r="C216" s="81">
        <f>SUMIFS($M$5:$M$204,$K$5:$K$204,A216)</f>
        <v/>
      </c>
      <c r="D216" s="51">
        <f>IFERROR(C216/B216,"-")</f>
        <v/>
      </c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10" t="inlineStr">
        <is>
          <t>사전계획 Y</t>
        </is>
      </c>
      <c r="B217" s="137">
        <f>COUNTIF($H$5:$H$204,"Y")</f>
        <v/>
      </c>
      <c r="C217" s="81">
        <f>SUMIFS($M$5:$M$204,$H$5:$H$204,"Y")</f>
        <v/>
      </c>
      <c r="D217" s="51">
        <f>IFERROR(C217/B217,"-")</f>
        <v/>
      </c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10" t="inlineStr">
        <is>
          <t>사전계획 N</t>
        </is>
      </c>
      <c r="B218" s="137">
        <f>COUNTIF($H$5:$H$204,"N")</f>
        <v/>
      </c>
      <c r="C218" s="81">
        <f>SUMIFS($M$5:$M$204,$H$5:$H$204,"N")</f>
        <v/>
      </c>
      <c r="D218" s="51">
        <f>IFERROR(C218/B218,"-")</f>
        <v/>
      </c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287" t="inlineStr">
        <is>
          <t>■ 룩백 아카이브 — 같은 장면이 오면 이 표부터 다시 읽는다</t>
        </is>
      </c>
      <c r="B221" s="279" t="n"/>
      <c r="C221" s="279" t="n"/>
      <c r="D221" s="279" t="n"/>
      <c r="E221" s="27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140" t="inlineStr">
        <is>
          <t>날짜</t>
        </is>
      </c>
      <c r="B222" s="140" t="inlineStr">
        <is>
          <t>장면</t>
        </is>
      </c>
      <c r="C222" s="140" t="inlineStr">
        <is>
          <t>심리</t>
        </is>
      </c>
      <c r="D222" s="140" t="inlineStr">
        <is>
          <t>결과</t>
        </is>
      </c>
      <c r="E222" s="140" t="inlineStr">
        <is>
          <t>교훈</t>
        </is>
      </c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30" customHeight="1" s="179">
      <c r="A223" s="11" t="inlineStr">
        <is>
          <t>2025-11-24</t>
        </is>
      </c>
      <c r="B223" s="11" t="inlineStr">
        <is>
          <t>반등세 속 무지성 포모 바잉 (하이닉스)</t>
        </is>
      </c>
      <c r="C223" s="11" t="inlineStr">
        <is>
          <t>포모 + 평단 욕심</t>
        </is>
      </c>
      <c r="D223" s="11" t="inlineStr">
        <is>
          <t>Max 신용 8천만 몰빵</t>
        </is>
      </c>
      <c r="E223" s="141" t="inlineStr">
        <is>
          <t>신용은 화수분이 아니다. 이번에도 몰빵이었다.</t>
        </is>
      </c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30" customHeight="1" s="179">
      <c r="A224" s="11" t="inlineStr">
        <is>
          <t>2025-12-17</t>
        </is>
      </c>
      <c r="B224" s="11" t="inlineStr">
        <is>
          <t>조정장 속 포트 파괴 후 풀 레버리지 교체</t>
        </is>
      </c>
      <c r="C224" s="11" t="inlineStr">
        <is>
          <t>복구 조급 + 과잉확신</t>
        </is>
      </c>
      <c r="D224" s="11" t="inlineStr">
        <is>
          <t>일 손실 -1,200만</t>
        </is>
      </c>
      <c r="E224" s="141" t="inlineStr">
        <is>
          <t>신용/레버 통제가 최우선. 현금비중이 두 번째.</t>
        </is>
      </c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30" customHeight="1" s="179">
      <c r="A225" s="11" t="inlineStr">
        <is>
          <t>2026-05-29</t>
        </is>
      </c>
      <c r="B225" s="11" t="inlineStr">
        <is>
          <t>레버ETF 첫 진입을 하루 202M 일시매수</t>
        </is>
      </c>
      <c r="C225" s="11" t="inlineStr">
        <is>
          <t>확신 과잉</t>
        </is>
      </c>
      <c r="D225" s="11" t="inlineStr">
        <is>
          <t>이후 하락의 출발점</t>
        </is>
      </c>
      <c r="E225" s="141" t="inlineStr">
        <is>
          <t>첫 진입은 계획 물량의 50% 이하. 정찰병부터.</t>
        </is>
      </c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30" customHeight="1" s="179">
      <c r="A226" s="11" t="inlineStr">
        <is>
          <t>2026-06-25</t>
        </is>
      </c>
      <c r="B226" s="11" t="inlineStr">
        <is>
          <t>@42~43k 익절 다음 날 @38,810에 91M 재진입</t>
        </is>
      </c>
      <c r="C226" s="11" t="inlineStr">
        <is>
          <t>계좌고점 복구욕 + FOMO</t>
        </is>
      </c>
      <c r="D226" s="11" t="inlineStr">
        <is>
          <t>다음 날 -8% 횝소 매도</t>
        </is>
      </c>
      <c r="E226" s="141" t="inlineStr">
        <is>
          <t>익절 후 3거래일 쿨다운. 꼭지 재진입이 가장 비싸다.</t>
        </is>
      </c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30" customHeight="1" s="179">
      <c r="A227" s="11" t="inlineStr">
        <is>
          <t>2026-07-06~10</t>
        </is>
      </c>
      <c r="B227" s="11" t="inlineStr">
        <is>
          <t>폭락 사흘간 582M 물타기 (레버ETF)</t>
        </is>
      </c>
      <c r="C227" s="11" t="inlineStr">
        <is>
          <t>'바닥이다' 과잉확신</t>
        </is>
      </c>
      <c r="D227" s="11" t="inlineStr">
        <is>
          <t>바닥이 아니었다</t>
        </is>
      </c>
      <c r="E227" s="141" t="inlineStr">
        <is>
          <t>물타기는 최대 2회, 5거래일 간격. 떨어질수록 사는 건 복구 베팅이다.</t>
        </is>
      </c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30" customHeight="1" s="179">
      <c r="A228" s="11" t="inlineStr">
        <is>
          <t>2026-07-30</t>
        </is>
      </c>
      <c r="B228" s="11" t="inlineStr">
        <is>
          <t>신용 상환에 몰려 바닥(@9,570·10,075)에서 매도</t>
        </is>
      </c>
      <c r="C228" s="11" t="inlineStr">
        <is>
          <t>체념 + 강제</t>
        </is>
      </c>
      <c r="D228" s="11" t="inlineStr">
        <is>
          <t>최초가의 33~40%에 청산</t>
        </is>
      </c>
      <c r="E228" s="141" t="inlineStr">
        <is>
          <t>손절가에서 5%를 안 자르면, 바닥에서 60%를 잘린다.</t>
        </is>
      </c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30" customHeight="1" s="179">
      <c r="A229" s="11" t="inlineStr">
        <is>
          <t>2026 4~7월 총평</t>
        </is>
      </c>
      <c r="B229" s="11" t="inlineStr">
        <is>
          <t>본주 +5.4억 vs 레버ETF -5.6억</t>
        </is>
      </c>
      <c r="C229" s="11" t="inlineStr">
        <is>
          <t>—</t>
        </is>
      </c>
      <c r="D229" s="11" t="inlineStr">
        <is>
          <t>종목이 아니라 도구가 문제</t>
        </is>
      </c>
      <c r="E229" s="141" t="inlineStr">
        <is>
          <t>레버ETF 합산은 순자산의 20%까지만 (R18).</t>
        </is>
      </c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3">
    <mergeCell ref="A221:E221"/>
    <mergeCell ref="A207:D207"/>
    <mergeCell ref="A1:N1"/>
  </mergeCells>
  <dataValidations count="4">
    <dataValidation sqref="C5:C204" showDropDown="0" showInputMessage="0" showErrorMessage="0" allowBlank="1" type="list">
      <formula1>"국장,미장,ISA"</formula1>
    </dataValidation>
    <dataValidation sqref="H5:H204" showDropDown="0" showInputMessage="0" showErrorMessage="0" allowBlank="1" type="list">
      <formula1>"Y,N"</formula1>
    </dataValidation>
    <dataValidation sqref="K5:K204" showDropDown="0" showInputMessage="0" showErrorMessage="0" allowBlank="1" type="list">
      <formula1>"원칙준수,FOMO,패닉바잉,패닉셀,조급/복구욕구,과잉확신,분노,체념"</formula1>
    </dataValidation>
    <dataValidation sqref="D5:D204" showDropDown="0" showInputMessage="0" showErrorMessage="0" allowBlank="1" type="list">
      <formula1>"매수,분할매수,매도,부분익절,손절,반대매매"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548235"/>
    <outlinePr summaryBelow="1" summaryRight="1"/>
    <pageSetUpPr/>
  </sheetPr>
  <dimension ref="A1:Z1000"/>
  <sheetViews>
    <sheetView workbookViewId="0">
      <pane ySplit="16" topLeftCell="A17" activePane="bottomLeft" state="frozen"/>
      <selection pane="bottomLeft" activeCell="B18" sqref="B18"/>
    </sheetView>
  </sheetViews>
  <sheetFormatPr baseColWidth="8" defaultColWidth="14.43" defaultRowHeight="15" customHeight="1"/>
  <cols>
    <col width="16" customWidth="1" style="179" min="1" max="2"/>
    <col width="14" customWidth="1" style="179" min="3" max="3"/>
    <col width="48.43" customWidth="1" style="179" min="4" max="4"/>
    <col width="23.86" customWidth="1" style="179" min="5" max="5"/>
    <col width="23.43" customWidth="1" style="179" min="6" max="6"/>
    <col width="14" customWidth="1" style="179" min="7" max="7"/>
    <col width="40" customWidth="1" style="179" min="8" max="8"/>
  </cols>
  <sheetData>
    <row r="1">
      <c r="A1" s="180" t="inlineStr">
        <is>
          <t>⑨ 투자 기조 &amp; 뷰 트래커  —  한 사람의 뷰에 계좌를 걸지 않는다</t>
        </is>
      </c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99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181" t="inlineStr">
        <is>
          <t>Ⅰ. 이번 주 투자 기조  (주 1회 갱신)</t>
        </is>
      </c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9" t="inlineStr">
        <is>
          <t>설정일</t>
        </is>
      </c>
      <c r="B4" s="9" t="inlineStr">
        <is>
          <t>다음 점검일</t>
        </is>
      </c>
      <c r="C4" s="9" t="inlineStr">
        <is>
          <t>D-Day</t>
        </is>
      </c>
      <c r="D4" s="9" t="inlineStr">
        <is>
          <t>상태</t>
        </is>
      </c>
      <c r="E4" s="9" t="inlineStr">
        <is>
          <t>한 줄 기조</t>
        </is>
      </c>
      <c r="F4" s="9" t="inlineStr">
        <is>
          <t>레버리지 스탠스</t>
        </is>
      </c>
      <c r="G4" s="9" t="inlineStr">
        <is>
          <t>뷰트래커 제안</t>
        </is>
      </c>
      <c r="H4" s="9" t="inlineStr">
        <is>
          <t>근거 요약</t>
        </is>
      </c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30" customHeight="1" s="179">
      <c r="A5" s="162" t="n">
        <v>46237</v>
      </c>
      <c r="B5" s="133">
        <f>IF(A5="","",A5+7)</f>
        <v/>
      </c>
      <c r="C5" s="134">
        <f>IF(A5="","",B5-TODAY())</f>
        <v/>
      </c>
      <c r="D5" s="135">
        <f>IF(A5="","⚪ 미설정",IF(C5&lt;0,"🔴 갱신 필요",IF(C5&lt;=1,"🟡 임박","🟢 유효")))</f>
        <v/>
      </c>
      <c r="E5" s="79" t="n"/>
      <c r="F5" s="163" t="n"/>
      <c r="G5" s="136">
        <f t="array" ref="G5">IF(A5="","",IFERROR(INDEX($G$28:$G$57,MATCH(A5,$A$28:$A$57,0)),"주차 기록 없음"))</f>
        <v/>
      </c>
      <c r="H5" s="164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>
      <c r="A6" s="99" t="n"/>
      <c r="B6" s="99" t="n"/>
      <c r="C6" s="99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181" t="inlineStr">
        <is>
          <t>Ⅱ. 이 기조를 깨는 조건  —  미리 정해두지 않으면 매일 흔들린다</t>
        </is>
      </c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9" t="inlineStr">
        <is>
          <t>No.</t>
        </is>
      </c>
      <c r="B8" s="9" t="inlineStr">
        <is>
          <t>조건 설명</t>
        </is>
      </c>
      <c r="C8" s="9" t="inlineStr">
        <is>
          <t>연동 지표</t>
        </is>
      </c>
      <c r="D8" s="9" t="inlineStr">
        <is>
          <t>방향</t>
        </is>
      </c>
      <c r="E8" s="9" t="inlineStr">
        <is>
          <t>임계값</t>
        </is>
      </c>
      <c r="F8" s="9" t="inlineStr">
        <is>
          <t>현재값</t>
        </is>
      </c>
      <c r="G8" s="9" t="inlineStr">
        <is>
          <t>상태</t>
        </is>
      </c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173" t="n">
        <v>1</v>
      </c>
      <c r="B9" s="164" t="n"/>
      <c r="C9" s="78" t="n"/>
      <c r="D9" s="163" t="n"/>
      <c r="E9" s="12" t="n"/>
      <c r="F9" s="139">
        <f t="array" ref="F9">IF($C9="","",IFERROR(INDEX('03_포지션'!$B$51:$B$65,MATCH($C9,'03_포지션'!$A$51:$A$65,0)),"지표명 확인"))</f>
        <v/>
      </c>
      <c r="G9" s="10">
        <f>IF(OR($C9="",$E9="",$F9=""),"⚪ 미설정",IF($D9="이하",IF($F9&lt;=$E9,"🟢 유지","🔴 발동"),IF($D9="이상",IF($F9&gt;=$E9,"🟢 유지","🔴 발동"),"⚪ 방향 확인")))</f>
        <v/>
      </c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173" t="n">
        <v>2</v>
      </c>
      <c r="B10" s="164" t="n"/>
      <c r="C10" s="78" t="n"/>
      <c r="D10" s="163" t="n"/>
      <c r="E10" s="12" t="n"/>
      <c r="F10" s="139">
        <f t="array" ref="F10">IF($C10="","",IFERROR(INDEX('03_포지션'!$B$51:$B$65,MATCH($C10,'03_포지션'!$A$51:$A$65,0)),"지표명 확인"))</f>
        <v/>
      </c>
      <c r="G10" s="10">
        <f>IF(OR($C10="",$E10="",$F10=""),"⚪ 미설정",IF($D10="이하",IF($F10&lt;=$E10,"🟢 유지","🔴 발동"),IF($D10="이상",IF($F10&gt;=$E10,"🟢 유지","🔴 발동"),"⚪ 방향 확인")))</f>
        <v/>
      </c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173" t="n">
        <v>3</v>
      </c>
      <c r="B11" s="164" t="n"/>
      <c r="C11" s="78" t="n"/>
      <c r="D11" s="163" t="n"/>
      <c r="E11" s="12" t="n"/>
      <c r="F11" s="139">
        <f t="array" ref="F11">IF($C11="","",IFERROR(INDEX('03_포지션'!$B$51:$B$65,MATCH($C11,'03_포지션'!$A$51:$A$65,0)),"지표명 확인"))</f>
        <v/>
      </c>
      <c r="G11" s="10">
        <f>IF(OR($C11="",$E11="",$F11=""),"⚪ 미설정",IF($D11="이하",IF($F11&lt;=$E11,"🟢 유지","🔴 발동"),IF($D11="이상",IF($F11&gt;=$E11,"🟢 유지","🔴 발동"),"⚪ 방향 확인")))</f>
        <v/>
      </c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99" t="n"/>
      <c r="B12" s="25" t="inlineStr">
        <is>
          <t>발동 건수</t>
        </is>
      </c>
      <c r="C12" s="99" t="n"/>
      <c r="D12" s="99" t="n"/>
      <c r="E12" s="99" t="n"/>
      <c r="F12" s="99" t="n"/>
      <c r="G12" s="142">
        <f>COUNTIF(G9:G11,"🔴*")</f>
        <v/>
      </c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288" t="inlineStr">
        <is>
          <t>연동 지표는 드롭다운에서 고르면 03_포지션의 현재값을 자동으로 물어옵니다. 수동 조건이면 지표는 비우고 설명만 적으세요.</t>
        </is>
      </c>
      <c r="B13" s="279" t="n"/>
      <c r="C13" s="279" t="n"/>
      <c r="D13" s="279" t="n"/>
      <c r="E13" s="279" t="n"/>
      <c r="F13" s="279" t="n"/>
      <c r="G13" s="27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181" t="inlineStr">
        <is>
          <t>Ⅲ. 주간 뷰 기록  —  출처 1명당 한 줄 (매주 최소 3명)</t>
        </is>
      </c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5" t="inlineStr">
        <is>
          <t>점수: -2 강한 비관 · -1 비관 · 0 중립 · +1 낙관 · +2 강한 낙관</t>
        </is>
      </c>
      <c r="B15" s="99" t="n"/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9" t="inlineStr">
        <is>
          <t>주차 시작(월)</t>
        </is>
      </c>
      <c r="B16" s="9" t="inlineStr">
        <is>
          <t>기록일</t>
        </is>
      </c>
      <c r="C16" s="9" t="inlineStr">
        <is>
          <t>출처</t>
        </is>
      </c>
      <c r="D16" s="9" t="inlineStr">
        <is>
          <t>시장 코멘트 (반도체 위주)</t>
        </is>
      </c>
      <c r="E16" s="9" t="inlineStr">
        <is>
          <t>점수</t>
        </is>
      </c>
      <c r="F16" s="9" t="inlineStr">
        <is>
          <t>레버리지 시사점</t>
        </is>
      </c>
      <c r="G16" s="9" t="inlineStr">
        <is>
          <t>추후 검증</t>
        </is>
      </c>
      <c r="H16" s="99" t="n"/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 ht="27.75" customHeight="1" s="179">
      <c r="A17" s="143" t="n"/>
      <c r="B17" s="143" t="n"/>
      <c r="C17" s="144" t="n"/>
      <c r="D17" s="145" t="n"/>
      <c r="E17" s="146" t="n"/>
      <c r="F17" s="144" t="n"/>
      <c r="G17" s="144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 ht="27.75" customHeight="1" s="179">
      <c r="A18" s="143" t="n"/>
      <c r="B18" s="143" t="n"/>
      <c r="C18" s="144" t="n"/>
      <c r="D18" s="145" t="n"/>
      <c r="E18" s="146" t="n"/>
      <c r="F18" s="144" t="n"/>
      <c r="G18" s="144" t="n"/>
      <c r="H18" s="99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162" t="n"/>
      <c r="B19" s="162" t="n"/>
      <c r="C19" s="163" t="n"/>
      <c r="D19" s="96" t="n"/>
      <c r="E19" s="68" t="n"/>
      <c r="F19" s="163" t="n"/>
      <c r="G19" s="163" t="n"/>
      <c r="H19" s="99" t="n"/>
      <c r="I19" s="99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162" t="n"/>
      <c r="B20" s="162" t="n"/>
      <c r="C20" s="163" t="n"/>
      <c r="D20" s="96" t="n"/>
      <c r="E20" s="68" t="n"/>
      <c r="F20" s="163" t="n"/>
      <c r="G20" s="163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162" t="n"/>
      <c r="B21" s="162" t="n"/>
      <c r="C21" s="163" t="n"/>
      <c r="D21" s="96" t="n"/>
      <c r="E21" s="68" t="n"/>
      <c r="F21" s="163" t="n"/>
      <c r="G21" s="163" t="n"/>
      <c r="H21" s="99" t="n"/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162" t="n"/>
      <c r="B22" s="162" t="n"/>
      <c r="C22" s="163" t="n"/>
      <c r="D22" s="96" t="n"/>
      <c r="E22" s="68" t="n"/>
      <c r="F22" s="163" t="n"/>
      <c r="G22" s="163" t="n"/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162" t="n"/>
      <c r="B23" s="162" t="n"/>
      <c r="C23" s="163" t="n"/>
      <c r="D23" s="96" t="n"/>
      <c r="E23" s="68" t="n"/>
      <c r="F23" s="163" t="n"/>
      <c r="G23" s="163" t="n"/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162" t="n"/>
      <c r="B24" s="162" t="n"/>
      <c r="C24" s="163" t="n"/>
      <c r="D24" s="96" t="n"/>
      <c r="E24" s="68" t="n"/>
      <c r="F24" s="163" t="n"/>
      <c r="G24" s="163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162" t="n"/>
      <c r="B25" s="162" t="n"/>
      <c r="C25" s="163" t="n"/>
      <c r="D25" s="96" t="n"/>
      <c r="E25" s="68" t="n"/>
      <c r="F25" s="163" t="n"/>
      <c r="G25" s="163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231" t="inlineStr">
        <is>
          <t>Ⅳ. 주차별 종합 (자동)  —  '제안'은 참고값일 뿐, 결정은 내가 한다</t>
        </is>
      </c>
      <c r="B26" s="232" t="n"/>
      <c r="C26" s="232" t="n"/>
      <c r="D26" s="232" t="n"/>
      <c r="E26" s="232" t="n"/>
      <c r="F26" s="233" t="n"/>
      <c r="G26" s="163" t="n"/>
      <c r="H26" s="99" t="n"/>
      <c r="I26" s="99" t="n"/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150" t="inlineStr">
        <is>
          <t>주차 시작(월)</t>
        </is>
      </c>
      <c r="B27" s="150" t="inlineStr">
        <is>
          <t>기록 출처 수</t>
        </is>
      </c>
      <c r="C27" s="9" t="inlineStr">
        <is>
          <t>평균 점수</t>
        </is>
      </c>
      <c r="D27" s="9" t="inlineStr">
        <is>
          <t>참고 제안</t>
        </is>
      </c>
      <c r="E27" s="151" t="inlineStr">
        <is>
          <t>내 결정</t>
        </is>
      </c>
      <c r="F27" s="9" t="inlineStr">
        <is>
          <t>실제 실행 여부</t>
        </is>
      </c>
      <c r="G27" s="163" t="n"/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143" t="n">
        <v>46230</v>
      </c>
      <c r="B28" s="152">
        <f>IF($A28="","",COUNTIF($A$17:$A$216,$A28))</f>
        <v/>
      </c>
      <c r="C28" s="153">
        <f>IF($A28="","",IFERROR(AVERAGEIF($A$17:$A$216,$A28,$E$17:$E$216),""))</f>
        <v/>
      </c>
      <c r="D28" s="154">
        <f>G28</f>
        <v/>
      </c>
      <c r="E28" s="68" t="n"/>
      <c r="F28" s="163" t="n"/>
      <c r="G28" s="155">
        <f>IF($A28="","",IF(B28&lt;3,"⚪ 단일소스 — 판단 보류",IF(C28&lt;=-1,"🔴 디레버리징",IF(C28&gt;=1,"🟢 레버리징 여지","🟡 중립"))))</f>
        <v/>
      </c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162" t="n"/>
      <c r="B29" s="152">
        <f>IF($A29="","",COUNTIF($A$17:$A$216,$A29))</f>
        <v/>
      </c>
      <c r="C29" s="153">
        <f>IF($A29="","",IFERROR(AVERAGEIF($A$17:$A$216,$A29,$E$17:$E$216),""))</f>
        <v/>
      </c>
      <c r="D29" s="154">
        <f>G29</f>
        <v/>
      </c>
      <c r="E29" s="68" t="n"/>
      <c r="F29" s="163" t="n"/>
      <c r="G29" s="155">
        <f>IF($A29="","",IF(B29&lt;3,"⚪ 단일소스 — 판단 보류",IF(C29&lt;=-1,"🔴 디레버리징",IF(C29&gt;=1,"🟢 레버리징 여지","🟡 중립"))))</f>
        <v/>
      </c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162" t="n"/>
      <c r="B30" s="152">
        <f>IF($A30="","",COUNTIF($A$17:$A$216,$A30))</f>
        <v/>
      </c>
      <c r="C30" s="153">
        <f>IF($A30="","",IFERROR(AVERAGEIF($A$17:$A$216,$A30,$E$17:$E$216),""))</f>
        <v/>
      </c>
      <c r="D30" s="154">
        <f>G30</f>
        <v/>
      </c>
      <c r="E30" s="68" t="n"/>
      <c r="F30" s="163" t="n"/>
      <c r="G30" s="155">
        <f>IF($A30="","",IF(B30&lt;3,"⚪ 단일소스 — 판단 보류",IF(C30&lt;=-1,"🔴 디레버리징",IF(C30&gt;=1,"🟢 레버리징 여지","🟡 중립"))))</f>
        <v/>
      </c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162" t="n"/>
      <c r="B31" s="152">
        <f>IF($A31="","",COUNTIF($A$17:$A$216,$A31))</f>
        <v/>
      </c>
      <c r="C31" s="153">
        <f>IF($A31="","",IFERROR(AVERAGEIF($A$17:$A$216,$A31,$E$17:$E$216),""))</f>
        <v/>
      </c>
      <c r="D31" s="154">
        <f>G31</f>
        <v/>
      </c>
      <c r="E31" s="68" t="n"/>
      <c r="F31" s="163" t="n"/>
      <c r="G31" s="155">
        <f>IF($A31="","",IF(B31&lt;3,"⚪ 단일소스 — 판단 보류",IF(C31&lt;=-1,"🔴 디레버리징",IF(C31&gt;=1,"🟢 레버리징 여지","🟡 중립"))))</f>
        <v/>
      </c>
      <c r="H31" s="99" t="n"/>
      <c r="I31" s="99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162" t="n"/>
      <c r="B32" s="152">
        <f>IF($A32="","",COUNTIF($A$17:$A$216,$A32))</f>
        <v/>
      </c>
      <c r="C32" s="153">
        <f>IF($A32="","",IFERROR(AVERAGEIF($A$17:$A$216,$A32,$E$17:$E$216),""))</f>
        <v/>
      </c>
      <c r="D32" s="154">
        <f>G32</f>
        <v/>
      </c>
      <c r="E32" s="68" t="n"/>
      <c r="F32" s="163" t="n"/>
      <c r="G32" s="155">
        <f>IF($A32="","",IF(B32&lt;3,"⚪ 단일소스 — 판단 보류",IF(C32&lt;=-1,"🔴 디레버리징",IF(C32&gt;=1,"🟢 레버리징 여지","🟡 중립"))))</f>
        <v/>
      </c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162" t="n"/>
      <c r="B33" s="152">
        <f>IF($A33="","",COUNTIF($A$17:$A$216,$A33))</f>
        <v/>
      </c>
      <c r="C33" s="153">
        <f>IF($A33="","",IFERROR(AVERAGEIF($A$17:$A$216,$A33,$E$17:$E$216),""))</f>
        <v/>
      </c>
      <c r="D33" s="154">
        <f>G33</f>
        <v/>
      </c>
      <c r="E33" s="68" t="n"/>
      <c r="F33" s="163" t="n"/>
      <c r="G33" s="155">
        <f>IF($A33="","",IF(B33&lt;3,"⚪ 단일소스 — 판단 보류",IF(C33&lt;=-1,"🔴 디레버리징",IF(C33&gt;=1,"🟢 레버리징 여지","🟡 중립"))))</f>
        <v/>
      </c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162" t="n"/>
      <c r="B34" s="152">
        <f>IF($A34="","",COUNTIF($A$17:$A$216,$A34))</f>
        <v/>
      </c>
      <c r="C34" s="153">
        <f>IF($A34="","",IFERROR(AVERAGEIF($A$17:$A$216,$A34,$E$17:$E$216),""))</f>
        <v/>
      </c>
      <c r="D34" s="154">
        <f>G34</f>
        <v/>
      </c>
      <c r="E34" s="68" t="n"/>
      <c r="F34" s="163" t="n"/>
      <c r="G34" s="155">
        <f>IF($A34="","",IF(B34&lt;3,"⚪ 단일소스 — 판단 보류",IF(C34&lt;=-1,"🔴 디레버리징",IF(C34&gt;=1,"🟢 레버리징 여지","🟡 중립"))))</f>
        <v/>
      </c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162" t="n"/>
      <c r="B35" s="152">
        <f>IF($A35="","",COUNTIF($A$17:$A$216,$A35))</f>
        <v/>
      </c>
      <c r="C35" s="153">
        <f>IF($A35="","",IFERROR(AVERAGEIF($A$17:$A$216,$A35,$E$17:$E$216),""))</f>
        <v/>
      </c>
      <c r="D35" s="154">
        <f>G35</f>
        <v/>
      </c>
      <c r="E35" s="68" t="n"/>
      <c r="F35" s="163" t="n"/>
      <c r="G35" s="155">
        <f>IF($A35="","",IF(B35&lt;3,"⚪ 단일소스 — 판단 보류",IF(C35&lt;=-1,"🔴 디레버리징",IF(C35&gt;=1,"🟢 레버리징 여지","🟡 중립"))))</f>
        <v/>
      </c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162" t="n"/>
      <c r="B36" s="152">
        <f>IF($A36="","",COUNTIF($A$17:$A$216,$A36))</f>
        <v/>
      </c>
      <c r="C36" s="153">
        <f>IF($A36="","",IFERROR(AVERAGEIF($A$17:$A$216,$A36,$E$17:$E$216),""))</f>
        <v/>
      </c>
      <c r="D36" s="154">
        <f>G36</f>
        <v/>
      </c>
      <c r="E36" s="68" t="n"/>
      <c r="F36" s="163" t="n"/>
      <c r="G36" s="155">
        <f>IF($A36="","",IF(B36&lt;3,"⚪ 단일소스 — 판단 보류",IF(C36&lt;=-1,"🔴 디레버리징",IF(C36&gt;=1,"🟢 레버리징 여지","🟡 중립"))))</f>
        <v/>
      </c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162" t="n"/>
      <c r="B37" s="152">
        <f>IF($A37="","",COUNTIF($A$17:$A$216,$A37))</f>
        <v/>
      </c>
      <c r="C37" s="153">
        <f>IF($A37="","",IFERROR(AVERAGEIF($A$17:$A$216,$A37,$E$17:$E$216),""))</f>
        <v/>
      </c>
      <c r="D37" s="154">
        <f>G37</f>
        <v/>
      </c>
      <c r="E37" s="68" t="n"/>
      <c r="F37" s="163" t="n"/>
      <c r="G37" s="155">
        <f>IF($A37="","",IF(B37&lt;3,"⚪ 단일소스 — 판단 보류",IF(C37&lt;=-1,"🔴 디레버리징",IF(C37&gt;=1,"🟢 레버리징 여지","🟡 중립"))))</f>
        <v/>
      </c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162" t="n"/>
      <c r="B38" s="152">
        <f>IF($A38="","",COUNTIF($A$17:$A$216,$A38))</f>
        <v/>
      </c>
      <c r="C38" s="153">
        <f>IF($A38="","",IFERROR(AVERAGEIF($A$17:$A$216,$A38,$E$17:$E$216),""))</f>
        <v/>
      </c>
      <c r="D38" s="154">
        <f>G38</f>
        <v/>
      </c>
      <c r="E38" s="68" t="n"/>
      <c r="F38" s="163" t="n"/>
      <c r="G38" s="155">
        <f>IF($A38="","",IF(B38&lt;3,"⚪ 단일소스 — 판단 보류",IF(C38&lt;=-1,"🔴 디레버리징",IF(C38&gt;=1,"🟢 레버리징 여지","🟡 중립"))))</f>
        <v/>
      </c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162" t="n"/>
      <c r="B39" s="152">
        <f>IF($A39="","",COUNTIF($A$17:$A$216,$A39))</f>
        <v/>
      </c>
      <c r="C39" s="153">
        <f>IF($A39="","",IFERROR(AVERAGEIF($A$17:$A$216,$A39,$E$17:$E$216),""))</f>
        <v/>
      </c>
      <c r="D39" s="154">
        <f>G39</f>
        <v/>
      </c>
      <c r="E39" s="68" t="n"/>
      <c r="F39" s="163" t="n"/>
      <c r="G39" s="155">
        <f>IF($A39="","",IF(B39&lt;3,"⚪ 단일소스 — 판단 보류",IF(C39&lt;=-1,"🔴 디레버리징",IF(C39&gt;=1,"🟢 레버리징 여지","🟡 중립"))))</f>
        <v/>
      </c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162" t="n"/>
      <c r="B40" s="152">
        <f>IF($A40="","",COUNTIF($A$17:$A$216,$A40))</f>
        <v/>
      </c>
      <c r="C40" s="153">
        <f>IF($A40="","",IFERROR(AVERAGEIF($A$17:$A$216,$A40,$E$17:$E$216),""))</f>
        <v/>
      </c>
      <c r="D40" s="154">
        <f>G40</f>
        <v/>
      </c>
      <c r="E40" s="68" t="n"/>
      <c r="F40" s="163" t="n"/>
      <c r="G40" s="155">
        <f>IF($A40="","",IF(B40&lt;3,"⚪ 단일소스 — 판단 보류",IF(C40&lt;=-1,"🔴 디레버리징",IF(C40&gt;=1,"🟢 레버리징 여지","🟡 중립"))))</f>
        <v/>
      </c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162" t="n"/>
      <c r="B41" s="152">
        <f>IF($A41="","",COUNTIF($A$17:$A$216,$A41))</f>
        <v/>
      </c>
      <c r="C41" s="153">
        <f>IF($A41="","",IFERROR(AVERAGEIF($A$17:$A$216,$A41,$E$17:$E$216),""))</f>
        <v/>
      </c>
      <c r="D41" s="154">
        <f>G41</f>
        <v/>
      </c>
      <c r="E41" s="68" t="n"/>
      <c r="F41" s="163" t="n"/>
      <c r="G41" s="155">
        <f>IF($A41="","",IF(B41&lt;3,"⚪ 단일소스 — 판단 보류",IF(C41&lt;=-1,"🔴 디레버리징",IF(C41&gt;=1,"🟢 레버리징 여지","🟡 중립"))))</f>
        <v/>
      </c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162" t="n"/>
      <c r="B42" s="152">
        <f>IF($A42="","",COUNTIF($A$17:$A$216,$A42))</f>
        <v/>
      </c>
      <c r="C42" s="153">
        <f>IF($A42="","",IFERROR(AVERAGEIF($A$17:$A$216,$A42,$E$17:$E$216),""))</f>
        <v/>
      </c>
      <c r="D42" s="154">
        <f>G42</f>
        <v/>
      </c>
      <c r="E42" s="68" t="n"/>
      <c r="F42" s="163" t="n"/>
      <c r="G42" s="155">
        <f>IF($A42="","",IF(B42&lt;3,"⚪ 단일소스 — 판단 보류",IF(C42&lt;=-1,"🔴 디레버리징",IF(C42&gt;=1,"🟢 레버리징 여지","🟡 중립"))))</f>
        <v/>
      </c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162" t="n"/>
      <c r="B43" s="152">
        <f>IF($A43="","",COUNTIF($A$17:$A$216,$A43))</f>
        <v/>
      </c>
      <c r="C43" s="153">
        <f>IF($A43="","",IFERROR(AVERAGEIF($A$17:$A$216,$A43,$E$17:$E$216),""))</f>
        <v/>
      </c>
      <c r="D43" s="154">
        <f>G43</f>
        <v/>
      </c>
      <c r="E43" s="68" t="n"/>
      <c r="F43" s="163" t="n"/>
      <c r="G43" s="155">
        <f>IF($A43="","",IF(B43&lt;3,"⚪ 단일소스 — 판단 보류",IF(C43&lt;=-1,"🔴 디레버리징",IF(C43&gt;=1,"🟢 레버리징 여지","🟡 중립"))))</f>
        <v/>
      </c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162" t="n"/>
      <c r="B44" s="152">
        <f>IF($A44="","",COUNTIF($A$17:$A$216,$A44))</f>
        <v/>
      </c>
      <c r="C44" s="153">
        <f>IF($A44="","",IFERROR(AVERAGEIF($A$17:$A$216,$A44,$E$17:$E$216),""))</f>
        <v/>
      </c>
      <c r="D44" s="154">
        <f>G44</f>
        <v/>
      </c>
      <c r="E44" s="68" t="n"/>
      <c r="F44" s="163" t="n"/>
      <c r="G44" s="155">
        <f>IF($A44="","",IF(B44&lt;3,"⚪ 단일소스 — 판단 보류",IF(C44&lt;=-1,"🔴 디레버리징",IF(C44&gt;=1,"🟢 레버리징 여지","🟡 중립"))))</f>
        <v/>
      </c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162" t="n"/>
      <c r="B45" s="152">
        <f>IF($A45="","",COUNTIF($A$17:$A$216,$A45))</f>
        <v/>
      </c>
      <c r="C45" s="153">
        <f>IF($A45="","",IFERROR(AVERAGEIF($A$17:$A$216,$A45,$E$17:$E$216),""))</f>
        <v/>
      </c>
      <c r="D45" s="154">
        <f>G45</f>
        <v/>
      </c>
      <c r="E45" s="68" t="n"/>
      <c r="F45" s="163" t="n"/>
      <c r="G45" s="155">
        <f>IF($A45="","",IF(B45&lt;3,"⚪ 단일소스 — 판단 보류",IF(C45&lt;=-1,"🔴 디레버리징",IF(C45&gt;=1,"🟢 레버리징 여지","🟡 중립"))))</f>
        <v/>
      </c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162" t="n"/>
      <c r="B46" s="152">
        <f>IF($A46="","",COUNTIF($A$17:$A$216,$A46))</f>
        <v/>
      </c>
      <c r="C46" s="153">
        <f>IF($A46="","",IFERROR(AVERAGEIF($A$17:$A$216,$A46,$E$17:$E$216),""))</f>
        <v/>
      </c>
      <c r="D46" s="154">
        <f>G46</f>
        <v/>
      </c>
      <c r="E46" s="68" t="n"/>
      <c r="F46" s="163" t="n"/>
      <c r="G46" s="155">
        <f>IF($A46="","",IF(B46&lt;3,"⚪ 단일소스 — 판단 보류",IF(C46&lt;=-1,"🔴 디레버리징",IF(C46&gt;=1,"🟢 레버리징 여지","🟡 중립"))))</f>
        <v/>
      </c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162" t="n"/>
      <c r="B47" s="152">
        <f>IF($A47="","",COUNTIF($A$17:$A$216,$A47))</f>
        <v/>
      </c>
      <c r="C47" s="153">
        <f>IF($A47="","",IFERROR(AVERAGEIF($A$17:$A$216,$A47,$E$17:$E$216),""))</f>
        <v/>
      </c>
      <c r="D47" s="154">
        <f>G47</f>
        <v/>
      </c>
      <c r="E47" s="68" t="n"/>
      <c r="F47" s="163" t="n"/>
      <c r="G47" s="155">
        <f>IF($A47="","",IF(B47&lt;3,"⚪ 단일소스 — 판단 보류",IF(C47&lt;=-1,"🔴 디레버리징",IF(C47&gt;=1,"🟢 레버리징 여지","🟡 중립"))))</f>
        <v/>
      </c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162" t="n"/>
      <c r="B48" s="152">
        <f>IF($A48="","",COUNTIF($A$17:$A$216,$A48))</f>
        <v/>
      </c>
      <c r="C48" s="153">
        <f>IF($A48="","",IFERROR(AVERAGEIF($A$17:$A$216,$A48,$E$17:$E$216),""))</f>
        <v/>
      </c>
      <c r="D48" s="154">
        <f>G48</f>
        <v/>
      </c>
      <c r="E48" s="68" t="n"/>
      <c r="F48" s="163" t="n"/>
      <c r="G48" s="155">
        <f>IF($A48="","",IF(B48&lt;3,"⚪ 단일소스 — 판단 보류",IF(C48&lt;=-1,"🔴 디레버리징",IF(C48&gt;=1,"🟢 레버리징 여지","🟡 중립"))))</f>
        <v/>
      </c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162" t="n"/>
      <c r="B49" s="152">
        <f>IF($A49="","",COUNTIF($A$17:$A$216,$A49))</f>
        <v/>
      </c>
      <c r="C49" s="153">
        <f>IF($A49="","",IFERROR(AVERAGEIF($A$17:$A$216,$A49,$E$17:$E$216),""))</f>
        <v/>
      </c>
      <c r="D49" s="154">
        <f>G49</f>
        <v/>
      </c>
      <c r="E49" s="68" t="n"/>
      <c r="F49" s="163" t="n"/>
      <c r="G49" s="155">
        <f>IF($A49="","",IF(B49&lt;3,"⚪ 단일소스 — 판단 보류",IF(C49&lt;=-1,"🔴 디레버리징",IF(C49&gt;=1,"🟢 레버리징 여지","🟡 중립"))))</f>
        <v/>
      </c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162" t="n"/>
      <c r="B50" s="152">
        <f>IF($A50="","",COUNTIF($A$17:$A$216,$A50))</f>
        <v/>
      </c>
      <c r="C50" s="153">
        <f>IF($A50="","",IFERROR(AVERAGEIF($A$17:$A$216,$A50,$E$17:$E$216),""))</f>
        <v/>
      </c>
      <c r="D50" s="154">
        <f>G50</f>
        <v/>
      </c>
      <c r="E50" s="68" t="n"/>
      <c r="F50" s="163" t="n"/>
      <c r="G50" s="155">
        <f>IF($A50="","",IF(B50&lt;3,"⚪ 단일소스 — 판단 보류",IF(C50&lt;=-1,"🔴 디레버리징",IF(C50&gt;=1,"🟢 레버리징 여지","🟡 중립"))))</f>
        <v/>
      </c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162" t="n"/>
      <c r="B51" s="152">
        <f>IF($A51="","",COUNTIF($A$17:$A$216,$A51))</f>
        <v/>
      </c>
      <c r="C51" s="153">
        <f>IF($A51="","",IFERROR(AVERAGEIF($A$17:$A$216,$A51,$E$17:$E$216),""))</f>
        <v/>
      </c>
      <c r="D51" s="154">
        <f>G51</f>
        <v/>
      </c>
      <c r="E51" s="68" t="n"/>
      <c r="F51" s="163" t="n"/>
      <c r="G51" s="155">
        <f>IF($A51="","",IF(B51&lt;3,"⚪ 단일소스 — 판단 보류",IF(C51&lt;=-1,"🔴 디레버리징",IF(C51&gt;=1,"🟢 레버리징 여지","🟡 중립"))))</f>
        <v/>
      </c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162" t="n"/>
      <c r="B52" s="152">
        <f>IF($A52="","",COUNTIF($A$17:$A$216,$A52))</f>
        <v/>
      </c>
      <c r="C52" s="153">
        <f>IF($A52="","",IFERROR(AVERAGEIF($A$17:$A$216,$A52,$E$17:$E$216),""))</f>
        <v/>
      </c>
      <c r="D52" s="154">
        <f>G52</f>
        <v/>
      </c>
      <c r="E52" s="68" t="n"/>
      <c r="F52" s="163" t="n"/>
      <c r="G52" s="155">
        <f>IF($A52="","",IF(B52&lt;3,"⚪ 단일소스 — 판단 보류",IF(C52&lt;=-1,"🔴 디레버리징",IF(C52&gt;=1,"🟢 레버리징 여지","🟡 중립"))))</f>
        <v/>
      </c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162" t="n"/>
      <c r="B53" s="152">
        <f>IF($A53="","",COUNTIF($A$17:$A$216,$A53))</f>
        <v/>
      </c>
      <c r="C53" s="153">
        <f>IF($A53="","",IFERROR(AVERAGEIF($A$17:$A$216,$A53,$E$17:$E$216),""))</f>
        <v/>
      </c>
      <c r="D53" s="154">
        <f>G53</f>
        <v/>
      </c>
      <c r="E53" s="68" t="n"/>
      <c r="F53" s="163" t="n"/>
      <c r="G53" s="155">
        <f>IF($A53="","",IF(B53&lt;3,"⚪ 단일소스 — 판단 보류",IF(C53&lt;=-1,"🔴 디레버리징",IF(C53&gt;=1,"🟢 레버리징 여지","🟡 중립"))))</f>
        <v/>
      </c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162" t="n"/>
      <c r="B54" s="152">
        <f>IF($A54="","",COUNTIF($A$17:$A$216,$A54))</f>
        <v/>
      </c>
      <c r="C54" s="153">
        <f>IF($A54="","",IFERROR(AVERAGEIF($A$17:$A$216,$A54,$E$17:$E$216),""))</f>
        <v/>
      </c>
      <c r="D54" s="154">
        <f>G54</f>
        <v/>
      </c>
      <c r="E54" s="68" t="n"/>
      <c r="F54" s="163" t="n"/>
      <c r="G54" s="155">
        <f>IF($A54="","",IF(B54&lt;3,"⚪ 단일소스 — 판단 보류",IF(C54&lt;=-1,"🔴 디레버리징",IF(C54&gt;=1,"🟢 레버리징 여지","🟡 중립"))))</f>
        <v/>
      </c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162" t="n"/>
      <c r="B55" s="152">
        <f>IF($A55="","",COUNTIF($A$17:$A$216,$A55))</f>
        <v/>
      </c>
      <c r="C55" s="153">
        <f>IF($A55="","",IFERROR(AVERAGEIF($A$17:$A$216,$A55,$E$17:$E$216),""))</f>
        <v/>
      </c>
      <c r="D55" s="154">
        <f>G55</f>
        <v/>
      </c>
      <c r="E55" s="68" t="n"/>
      <c r="F55" s="163" t="n"/>
      <c r="G55" s="155">
        <f>IF($A55="","",IF(B55&lt;3,"⚪ 단일소스 — 판단 보류",IF(C55&lt;=-1,"🔴 디레버리징",IF(C55&gt;=1,"🟢 레버리징 여지","🟡 중립"))))</f>
        <v/>
      </c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162" t="n"/>
      <c r="B56" s="152">
        <f>IF($A56="","",COUNTIF($A$17:$A$216,$A56))</f>
        <v/>
      </c>
      <c r="C56" s="153">
        <f>IF($A56="","",IFERROR(AVERAGEIF($A$17:$A$216,$A56,$E$17:$E$216),""))</f>
        <v/>
      </c>
      <c r="D56" s="154">
        <f>G56</f>
        <v/>
      </c>
      <c r="E56" s="68" t="n"/>
      <c r="F56" s="163" t="n"/>
      <c r="G56" s="155">
        <f>IF($A56="","",IF(B56&lt;3,"⚪ 단일소스 — 판단 보류",IF(C56&lt;=-1,"🔴 디레버리징",IF(C56&gt;=1,"🟢 레버리징 여지","🟡 중립"))))</f>
        <v/>
      </c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162" t="n"/>
      <c r="B57" s="152">
        <f>IF($A57="","",COUNTIF($A$17:$A$216,$A57))</f>
        <v/>
      </c>
      <c r="C57" s="153">
        <f>IF($A57="","",IFERROR(AVERAGEIF($A$17:$A$216,$A57,$E$17:$E$216),""))</f>
        <v/>
      </c>
      <c r="D57" s="154">
        <f>G57</f>
        <v/>
      </c>
      <c r="E57" s="68" t="n"/>
      <c r="F57" s="163" t="n"/>
      <c r="G57" s="155">
        <f>IF($A57="","",IF(B57&lt;3,"⚪ 단일소스 — 판단 보류",IF(C57&lt;=-1,"🔴 디레버리징",IF(C57&gt;=1,"🟢 레버리징 여지","🟡 중립"))))</f>
        <v/>
      </c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162" t="n"/>
      <c r="B58" s="162" t="n"/>
      <c r="C58" s="163" t="n"/>
      <c r="D58" s="96" t="n"/>
      <c r="E58" s="68" t="n"/>
      <c r="F58" s="163" t="n"/>
      <c r="G58" s="163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162" t="n"/>
      <c r="B59" s="162" t="n"/>
      <c r="C59" s="163" t="n"/>
      <c r="D59" s="96" t="n"/>
      <c r="E59" s="68" t="n"/>
      <c r="F59" s="163" t="n"/>
      <c r="G59" s="163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231" t="inlineStr">
        <is>
          <t>Ⅴ. 출처별 통계 (자동)  —  '누구 말이 실제로 맞았는가'가 쌓입니다</t>
        </is>
      </c>
      <c r="B60" s="232" t="n"/>
      <c r="C60" s="232" t="n"/>
      <c r="D60" s="232" t="n"/>
      <c r="E60" s="232" t="n"/>
      <c r="F60" s="233" t="n"/>
      <c r="G60" s="163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150" t="inlineStr">
        <is>
          <t>출처</t>
        </is>
      </c>
      <c r="B61" s="150" t="inlineStr">
        <is>
          <t>기록 건수</t>
        </is>
      </c>
      <c r="C61" s="9" t="inlineStr">
        <is>
          <t>평균 점수</t>
        </is>
      </c>
      <c r="D61" s="9" t="inlineStr">
        <is>
          <t>검증 O</t>
        </is>
      </c>
      <c r="E61" s="151" t="inlineStr">
        <is>
          <t>검증 X</t>
        </is>
      </c>
      <c r="F61" s="9" t="inlineStr">
        <is>
          <t>적중률</t>
        </is>
      </c>
      <c r="G61" s="163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156" t="inlineStr">
        <is>
          <t>서재형</t>
        </is>
      </c>
      <c r="B62" s="137">
        <f>COUNTIF($C$17:$C$216,A62)</f>
        <v/>
      </c>
      <c r="C62" s="157">
        <f>IFERROR(AVERAGEIF($C$17:$C$216,A62,$E$17:$E$216),"-")</f>
        <v/>
      </c>
      <c r="D62" s="137">
        <f>COUNTIFS($C$17:$C$216,A62,$G$17:$G$216,"O")</f>
        <v/>
      </c>
      <c r="E62" s="137">
        <f>COUNTIFS($C$17:$C$216,A62,$G$17:$G$216,"X")</f>
        <v/>
      </c>
      <c r="F62" s="83">
        <f>IFERROR(D62/(D62+E62),"-")</f>
        <v/>
      </c>
      <c r="G62" s="163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156" t="inlineStr">
        <is>
          <t>김기훈</t>
        </is>
      </c>
      <c r="B63" s="137">
        <f>COUNTIF($C$17:$C$216,A63)</f>
        <v/>
      </c>
      <c r="C63" s="157">
        <f>IFERROR(AVERAGEIF($C$17:$C$216,A63,$E$17:$E$216),"-")</f>
        <v/>
      </c>
      <c r="D63" s="137">
        <f>COUNTIFS($C$17:$C$216,A63,$G$17:$G$216,"O")</f>
        <v/>
      </c>
      <c r="E63" s="137">
        <f>COUNTIFS($C$17:$C$216,A63,$G$17:$G$216,"X")</f>
        <v/>
      </c>
      <c r="F63" s="83">
        <f>IFERROR(D63/(D63+E63),"-")</f>
        <v/>
      </c>
      <c r="G63" s="163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156" t="inlineStr">
        <is>
          <t>박종훈</t>
        </is>
      </c>
      <c r="B64" s="137">
        <f>COUNTIF($C$17:$C$216,A64)</f>
        <v/>
      </c>
      <c r="C64" s="157">
        <f>IFERROR(AVERAGEIF($C$17:$C$216,A64,$E$17:$E$216),"-")</f>
        <v/>
      </c>
      <c r="D64" s="137">
        <f>COUNTIFS($C$17:$C$216,A64,$G$17:$G$216,"O")</f>
        <v/>
      </c>
      <c r="E64" s="137">
        <f>COUNTIFS($C$17:$C$216,A64,$G$17:$G$216,"X")</f>
        <v/>
      </c>
      <c r="F64" s="83">
        <f>IFERROR(D64/(D64+E64),"-")</f>
        <v/>
      </c>
      <c r="G64" s="163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156" t="inlineStr">
        <is>
          <t>월가아재</t>
        </is>
      </c>
      <c r="B65" s="137">
        <f>COUNTIF($C$17:$C$216,A65)</f>
        <v/>
      </c>
      <c r="C65" s="157">
        <f>IFERROR(AVERAGEIF($C$17:$C$216,A65,$E$17:$E$216),"-")</f>
        <v/>
      </c>
      <c r="D65" s="137">
        <f>COUNTIFS($C$17:$C$216,A65,$G$17:$G$216,"O")</f>
        <v/>
      </c>
      <c r="E65" s="137">
        <f>COUNTIFS($C$17:$C$216,A65,$G$17:$G$216,"X")</f>
        <v/>
      </c>
      <c r="F65" s="83">
        <f>IFERROR(D65/(D65+E65),"-")</f>
        <v/>
      </c>
      <c r="G65" s="163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156" t="inlineStr">
        <is>
          <t>알상무</t>
        </is>
      </c>
      <c r="B66" s="137">
        <f>COUNTIF($C$17:$C$216,A66)</f>
        <v/>
      </c>
      <c r="C66" s="157">
        <f>IFERROR(AVERAGEIF($C$17:$C$216,A66,$E$17:$E$216),"-")</f>
        <v/>
      </c>
      <c r="D66" s="137">
        <f>COUNTIFS($C$17:$C$216,A66,$G$17:$G$216,"O")</f>
        <v/>
      </c>
      <c r="E66" s="137">
        <f>COUNTIFS($C$17:$C$216,A66,$G$17:$G$216,"X")</f>
        <v/>
      </c>
      <c r="F66" s="83">
        <f>IFERROR(D66/(D66+E66),"-")</f>
        <v/>
      </c>
      <c r="G66" s="163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156" t="inlineStr">
        <is>
          <t>기타</t>
        </is>
      </c>
      <c r="B67" s="137">
        <f>COUNTIF($C$17:$C$216,A67)</f>
        <v/>
      </c>
      <c r="C67" s="157">
        <f>IFERROR(AVERAGEIF($C$17:$C$216,A67,$E$17:$E$216),"-")</f>
        <v/>
      </c>
      <c r="D67" s="137">
        <f>COUNTIFS($C$17:$C$216,A67,$G$17:$G$216,"O")</f>
        <v/>
      </c>
      <c r="E67" s="137">
        <f>COUNTIFS($C$17:$C$216,A67,$G$17:$G$216,"X")</f>
        <v/>
      </c>
      <c r="F67" s="83">
        <f>IFERROR(D67/(D67+E67),"-")</f>
        <v/>
      </c>
      <c r="G67" s="163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162" t="n"/>
      <c r="B68" s="162" t="n"/>
      <c r="C68" s="163" t="n"/>
      <c r="D68" s="96" t="n"/>
      <c r="E68" s="68" t="n"/>
      <c r="F68" s="163" t="n"/>
      <c r="G68" s="163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162" t="n"/>
      <c r="B69" s="162" t="n"/>
      <c r="C69" s="163" t="n"/>
      <c r="D69" s="96" t="n"/>
      <c r="E69" s="68" t="n"/>
      <c r="F69" s="163" t="n"/>
      <c r="G69" s="163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162" t="n"/>
      <c r="B70" s="162" t="n"/>
      <c r="C70" s="163" t="n"/>
      <c r="D70" s="96" t="n"/>
      <c r="E70" s="68" t="n"/>
      <c r="F70" s="163" t="n"/>
      <c r="G70" s="163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162" t="n"/>
      <c r="B71" s="162" t="n"/>
      <c r="C71" s="163" t="n"/>
      <c r="D71" s="96" t="n"/>
      <c r="E71" s="68" t="n"/>
      <c r="F71" s="163" t="n"/>
      <c r="G71" s="163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162" t="n"/>
      <c r="B72" s="162" t="n"/>
      <c r="C72" s="163" t="n"/>
      <c r="D72" s="96" t="n"/>
      <c r="E72" s="68" t="n"/>
      <c r="F72" s="163" t="n"/>
      <c r="G72" s="163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162" t="n"/>
      <c r="B73" s="162" t="n"/>
      <c r="C73" s="163" t="n"/>
      <c r="D73" s="96" t="n"/>
      <c r="E73" s="68" t="n"/>
      <c r="F73" s="163" t="n"/>
      <c r="G73" s="163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162" t="n"/>
      <c r="B74" s="162" t="n"/>
      <c r="C74" s="163" t="n"/>
      <c r="D74" s="96" t="n"/>
      <c r="E74" s="68" t="n"/>
      <c r="F74" s="163" t="n"/>
      <c r="G74" s="163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162" t="n"/>
      <c r="B75" s="162" t="n"/>
      <c r="C75" s="163" t="n"/>
      <c r="D75" s="96" t="n"/>
      <c r="E75" s="68" t="n"/>
      <c r="F75" s="163" t="n"/>
      <c r="G75" s="163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162" t="n"/>
      <c r="B76" s="162" t="n"/>
      <c r="C76" s="163" t="n"/>
      <c r="D76" s="96" t="n"/>
      <c r="E76" s="68" t="n"/>
      <c r="F76" s="163" t="n"/>
      <c r="G76" s="163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162" t="n"/>
      <c r="B77" s="162" t="n"/>
      <c r="C77" s="163" t="n"/>
      <c r="D77" s="96" t="n"/>
      <c r="E77" s="68" t="n"/>
      <c r="F77" s="163" t="n"/>
      <c r="G77" s="163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162" t="n"/>
      <c r="B78" s="162" t="n"/>
      <c r="C78" s="163" t="n"/>
      <c r="D78" s="96" t="n"/>
      <c r="E78" s="68" t="n"/>
      <c r="F78" s="163" t="n"/>
      <c r="G78" s="163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162" t="n"/>
      <c r="B79" s="162" t="n"/>
      <c r="C79" s="163" t="n"/>
      <c r="D79" s="96" t="n"/>
      <c r="E79" s="68" t="n"/>
      <c r="F79" s="163" t="n"/>
      <c r="G79" s="163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162" t="n"/>
      <c r="B80" s="162" t="n"/>
      <c r="C80" s="163" t="n"/>
      <c r="D80" s="96" t="n"/>
      <c r="E80" s="68" t="n"/>
      <c r="F80" s="163" t="n"/>
      <c r="G80" s="163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162" t="n"/>
      <c r="B81" s="162" t="n"/>
      <c r="C81" s="163" t="n"/>
      <c r="D81" s="96" t="n"/>
      <c r="E81" s="68" t="n"/>
      <c r="F81" s="163" t="n"/>
      <c r="G81" s="163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162" t="n"/>
      <c r="B82" s="162" t="n"/>
      <c r="C82" s="163" t="n"/>
      <c r="D82" s="96" t="n"/>
      <c r="E82" s="68" t="n"/>
      <c r="F82" s="163" t="n"/>
      <c r="G82" s="163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162" t="n"/>
      <c r="B83" s="162" t="n"/>
      <c r="C83" s="163" t="n"/>
      <c r="D83" s="96" t="n"/>
      <c r="E83" s="68" t="n"/>
      <c r="F83" s="163" t="n"/>
      <c r="G83" s="163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162" t="n"/>
      <c r="B84" s="162" t="n"/>
      <c r="C84" s="163" t="n"/>
      <c r="D84" s="96" t="n"/>
      <c r="E84" s="68" t="n"/>
      <c r="F84" s="163" t="n"/>
      <c r="G84" s="163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162" t="n"/>
      <c r="B85" s="162" t="n"/>
      <c r="C85" s="163" t="n"/>
      <c r="D85" s="96" t="n"/>
      <c r="E85" s="68" t="n"/>
      <c r="F85" s="163" t="n"/>
      <c r="G85" s="163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162" t="n"/>
      <c r="B86" s="162" t="n"/>
      <c r="C86" s="163" t="n"/>
      <c r="D86" s="96" t="n"/>
      <c r="E86" s="68" t="n"/>
      <c r="F86" s="163" t="n"/>
      <c r="G86" s="163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162" t="n"/>
      <c r="B87" s="162" t="n"/>
      <c r="C87" s="163" t="n"/>
      <c r="D87" s="96" t="n"/>
      <c r="E87" s="68" t="n"/>
      <c r="F87" s="163" t="n"/>
      <c r="G87" s="163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162" t="n"/>
      <c r="B88" s="162" t="n"/>
      <c r="C88" s="163" t="n"/>
      <c r="D88" s="96" t="n"/>
      <c r="E88" s="68" t="n"/>
      <c r="F88" s="163" t="n"/>
      <c r="G88" s="163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162" t="n"/>
      <c r="B89" s="162" t="n"/>
      <c r="C89" s="163" t="n"/>
      <c r="D89" s="96" t="n"/>
      <c r="E89" s="68" t="n"/>
      <c r="F89" s="163" t="n"/>
      <c r="G89" s="163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162" t="n"/>
      <c r="B90" s="162" t="n"/>
      <c r="C90" s="163" t="n"/>
      <c r="D90" s="96" t="n"/>
      <c r="E90" s="68" t="n"/>
      <c r="F90" s="163" t="n"/>
      <c r="G90" s="163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162" t="n"/>
      <c r="B91" s="162" t="n"/>
      <c r="C91" s="163" t="n"/>
      <c r="D91" s="96" t="n"/>
      <c r="E91" s="68" t="n"/>
      <c r="F91" s="163" t="n"/>
      <c r="G91" s="163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162" t="n"/>
      <c r="B92" s="162" t="n"/>
      <c r="C92" s="163" t="n"/>
      <c r="D92" s="96" t="n"/>
      <c r="E92" s="68" t="n"/>
      <c r="F92" s="163" t="n"/>
      <c r="G92" s="163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162" t="n"/>
      <c r="B93" s="162" t="n"/>
      <c r="C93" s="163" t="n"/>
      <c r="D93" s="96" t="n"/>
      <c r="E93" s="68" t="n"/>
      <c r="F93" s="163" t="n"/>
      <c r="G93" s="163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162" t="n"/>
      <c r="B94" s="162" t="n"/>
      <c r="C94" s="163" t="n"/>
      <c r="D94" s="96" t="n"/>
      <c r="E94" s="68" t="n"/>
      <c r="F94" s="163" t="n"/>
      <c r="G94" s="163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162" t="n"/>
      <c r="B95" s="162" t="n"/>
      <c r="C95" s="163" t="n"/>
      <c r="D95" s="96" t="n"/>
      <c r="E95" s="68" t="n"/>
      <c r="F95" s="163" t="n"/>
      <c r="G95" s="163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162" t="n"/>
      <c r="B96" s="162" t="n"/>
      <c r="C96" s="163" t="n"/>
      <c r="D96" s="96" t="n"/>
      <c r="E96" s="68" t="n"/>
      <c r="F96" s="163" t="n"/>
      <c r="G96" s="163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162" t="n"/>
      <c r="B97" s="162" t="n"/>
      <c r="C97" s="163" t="n"/>
      <c r="D97" s="96" t="n"/>
      <c r="E97" s="68" t="n"/>
      <c r="F97" s="163" t="n"/>
      <c r="G97" s="163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162" t="n"/>
      <c r="B98" s="162" t="n"/>
      <c r="C98" s="163" t="n"/>
      <c r="D98" s="96" t="n"/>
      <c r="E98" s="68" t="n"/>
      <c r="F98" s="163" t="n"/>
      <c r="G98" s="163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162" t="n"/>
      <c r="B99" s="162" t="n"/>
      <c r="C99" s="163" t="n"/>
      <c r="D99" s="96" t="n"/>
      <c r="E99" s="68" t="n"/>
      <c r="F99" s="163" t="n"/>
      <c r="G99" s="163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162" t="n"/>
      <c r="B100" s="162" t="n"/>
      <c r="C100" s="163" t="n"/>
      <c r="D100" s="96" t="n"/>
      <c r="E100" s="68" t="n"/>
      <c r="F100" s="163" t="n"/>
      <c r="G100" s="163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162" t="n"/>
      <c r="B101" s="162" t="n"/>
      <c r="C101" s="163" t="n"/>
      <c r="D101" s="96" t="n"/>
      <c r="E101" s="68" t="n"/>
      <c r="F101" s="163" t="n"/>
      <c r="G101" s="163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162" t="n"/>
      <c r="B102" s="162" t="n"/>
      <c r="C102" s="163" t="n"/>
      <c r="D102" s="96" t="n"/>
      <c r="E102" s="68" t="n"/>
      <c r="F102" s="163" t="n"/>
      <c r="G102" s="163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162" t="n"/>
      <c r="B103" s="162" t="n"/>
      <c r="C103" s="163" t="n"/>
      <c r="D103" s="96" t="n"/>
      <c r="E103" s="68" t="n"/>
      <c r="F103" s="163" t="n"/>
      <c r="G103" s="163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162" t="n"/>
      <c r="B104" s="162" t="n"/>
      <c r="C104" s="163" t="n"/>
      <c r="D104" s="96" t="n"/>
      <c r="E104" s="68" t="n"/>
      <c r="F104" s="163" t="n"/>
      <c r="G104" s="163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162" t="n"/>
      <c r="B105" s="162" t="n"/>
      <c r="C105" s="163" t="n"/>
      <c r="D105" s="96" t="n"/>
      <c r="E105" s="68" t="n"/>
      <c r="F105" s="163" t="n"/>
      <c r="G105" s="163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162" t="n"/>
      <c r="B106" s="162" t="n"/>
      <c r="C106" s="163" t="n"/>
      <c r="D106" s="96" t="n"/>
      <c r="E106" s="68" t="n"/>
      <c r="F106" s="163" t="n"/>
      <c r="G106" s="163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162" t="n"/>
      <c r="B107" s="162" t="n"/>
      <c r="C107" s="163" t="n"/>
      <c r="D107" s="96" t="n"/>
      <c r="E107" s="68" t="n"/>
      <c r="F107" s="163" t="n"/>
      <c r="G107" s="163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162" t="n"/>
      <c r="B108" s="162" t="n"/>
      <c r="C108" s="163" t="n"/>
      <c r="D108" s="96" t="n"/>
      <c r="E108" s="68" t="n"/>
      <c r="F108" s="163" t="n"/>
      <c r="G108" s="163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162" t="n"/>
      <c r="B109" s="162" t="n"/>
      <c r="C109" s="163" t="n"/>
      <c r="D109" s="96" t="n"/>
      <c r="E109" s="68" t="n"/>
      <c r="F109" s="163" t="n"/>
      <c r="G109" s="163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162" t="n"/>
      <c r="B110" s="162" t="n"/>
      <c r="C110" s="163" t="n"/>
      <c r="D110" s="96" t="n"/>
      <c r="E110" s="68" t="n"/>
      <c r="F110" s="163" t="n"/>
      <c r="G110" s="163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162" t="n"/>
      <c r="B111" s="162" t="n"/>
      <c r="C111" s="163" t="n"/>
      <c r="D111" s="96" t="n"/>
      <c r="E111" s="68" t="n"/>
      <c r="F111" s="163" t="n"/>
      <c r="G111" s="163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162" t="n"/>
      <c r="B112" s="162" t="n"/>
      <c r="C112" s="163" t="n"/>
      <c r="D112" s="96" t="n"/>
      <c r="E112" s="68" t="n"/>
      <c r="F112" s="163" t="n"/>
      <c r="G112" s="163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162" t="n"/>
      <c r="B113" s="162" t="n"/>
      <c r="C113" s="163" t="n"/>
      <c r="D113" s="96" t="n"/>
      <c r="E113" s="68" t="n"/>
      <c r="F113" s="163" t="n"/>
      <c r="G113" s="163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162" t="n"/>
      <c r="B114" s="162" t="n"/>
      <c r="C114" s="163" t="n"/>
      <c r="D114" s="96" t="n"/>
      <c r="E114" s="68" t="n"/>
      <c r="F114" s="163" t="n"/>
      <c r="G114" s="163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162" t="n"/>
      <c r="B115" s="162" t="n"/>
      <c r="C115" s="163" t="n"/>
      <c r="D115" s="96" t="n"/>
      <c r="E115" s="68" t="n"/>
      <c r="F115" s="163" t="n"/>
      <c r="G115" s="163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162" t="n"/>
      <c r="B116" s="162" t="n"/>
      <c r="C116" s="163" t="n"/>
      <c r="D116" s="96" t="n"/>
      <c r="E116" s="68" t="n"/>
      <c r="F116" s="163" t="n"/>
      <c r="G116" s="163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162" t="n"/>
      <c r="B117" s="162" t="n"/>
      <c r="C117" s="163" t="n"/>
      <c r="D117" s="96" t="n"/>
      <c r="E117" s="68" t="n"/>
      <c r="F117" s="163" t="n"/>
      <c r="G117" s="163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162" t="n"/>
      <c r="B118" s="162" t="n"/>
      <c r="C118" s="163" t="n"/>
      <c r="D118" s="96" t="n"/>
      <c r="E118" s="68" t="n"/>
      <c r="F118" s="163" t="n"/>
      <c r="G118" s="163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162" t="n"/>
      <c r="B119" s="162" t="n"/>
      <c r="C119" s="163" t="n"/>
      <c r="D119" s="96" t="n"/>
      <c r="E119" s="68" t="n"/>
      <c r="F119" s="163" t="n"/>
      <c r="G119" s="163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162" t="n"/>
      <c r="B120" s="162" t="n"/>
      <c r="C120" s="163" t="n"/>
      <c r="D120" s="96" t="n"/>
      <c r="E120" s="68" t="n"/>
      <c r="F120" s="163" t="n"/>
      <c r="G120" s="163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162" t="n"/>
      <c r="B121" s="162" t="n"/>
      <c r="C121" s="163" t="n"/>
      <c r="D121" s="96" t="n"/>
      <c r="E121" s="68" t="n"/>
      <c r="F121" s="163" t="n"/>
      <c r="G121" s="163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162" t="n"/>
      <c r="B122" s="162" t="n"/>
      <c r="C122" s="163" t="n"/>
      <c r="D122" s="96" t="n"/>
      <c r="E122" s="68" t="n"/>
      <c r="F122" s="163" t="n"/>
      <c r="G122" s="163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162" t="n"/>
      <c r="B123" s="162" t="n"/>
      <c r="C123" s="163" t="n"/>
      <c r="D123" s="96" t="n"/>
      <c r="E123" s="68" t="n"/>
      <c r="F123" s="163" t="n"/>
      <c r="G123" s="163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162" t="n"/>
      <c r="B124" s="162" t="n"/>
      <c r="C124" s="163" t="n"/>
      <c r="D124" s="96" t="n"/>
      <c r="E124" s="68" t="n"/>
      <c r="F124" s="163" t="n"/>
      <c r="G124" s="163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162" t="n"/>
      <c r="B125" s="162" t="n"/>
      <c r="C125" s="163" t="n"/>
      <c r="D125" s="96" t="n"/>
      <c r="E125" s="68" t="n"/>
      <c r="F125" s="163" t="n"/>
      <c r="G125" s="163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162" t="n"/>
      <c r="B126" s="162" t="n"/>
      <c r="C126" s="163" t="n"/>
      <c r="D126" s="96" t="n"/>
      <c r="E126" s="68" t="n"/>
      <c r="F126" s="163" t="n"/>
      <c r="G126" s="163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162" t="n"/>
      <c r="B127" s="162" t="n"/>
      <c r="C127" s="163" t="n"/>
      <c r="D127" s="96" t="n"/>
      <c r="E127" s="68" t="n"/>
      <c r="F127" s="163" t="n"/>
      <c r="G127" s="163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162" t="n"/>
      <c r="B128" s="162" t="n"/>
      <c r="C128" s="163" t="n"/>
      <c r="D128" s="96" t="n"/>
      <c r="E128" s="68" t="n"/>
      <c r="F128" s="163" t="n"/>
      <c r="G128" s="163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162" t="n"/>
      <c r="B129" s="162" t="n"/>
      <c r="C129" s="163" t="n"/>
      <c r="D129" s="96" t="n"/>
      <c r="E129" s="68" t="n"/>
      <c r="F129" s="163" t="n"/>
      <c r="G129" s="163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162" t="n"/>
      <c r="B130" s="162" t="n"/>
      <c r="C130" s="163" t="n"/>
      <c r="D130" s="96" t="n"/>
      <c r="E130" s="68" t="n"/>
      <c r="F130" s="163" t="n"/>
      <c r="G130" s="163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162" t="n"/>
      <c r="B131" s="162" t="n"/>
      <c r="C131" s="163" t="n"/>
      <c r="D131" s="96" t="n"/>
      <c r="E131" s="68" t="n"/>
      <c r="F131" s="163" t="n"/>
      <c r="G131" s="163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162" t="n"/>
      <c r="B132" s="162" t="n"/>
      <c r="C132" s="163" t="n"/>
      <c r="D132" s="96" t="n"/>
      <c r="E132" s="68" t="n"/>
      <c r="F132" s="163" t="n"/>
      <c r="G132" s="163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162" t="n"/>
      <c r="B133" s="162" t="n"/>
      <c r="C133" s="163" t="n"/>
      <c r="D133" s="96" t="n"/>
      <c r="E133" s="68" t="n"/>
      <c r="F133" s="163" t="n"/>
      <c r="G133" s="163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162" t="n"/>
      <c r="B134" s="162" t="n"/>
      <c r="C134" s="163" t="n"/>
      <c r="D134" s="96" t="n"/>
      <c r="E134" s="68" t="n"/>
      <c r="F134" s="163" t="n"/>
      <c r="G134" s="163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162" t="n"/>
      <c r="B135" s="162" t="n"/>
      <c r="C135" s="163" t="n"/>
      <c r="D135" s="96" t="n"/>
      <c r="E135" s="68" t="n"/>
      <c r="F135" s="163" t="n"/>
      <c r="G135" s="163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162" t="n"/>
      <c r="B136" s="162" t="n"/>
      <c r="C136" s="163" t="n"/>
      <c r="D136" s="96" t="n"/>
      <c r="E136" s="68" t="n"/>
      <c r="F136" s="163" t="n"/>
      <c r="G136" s="163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162" t="n"/>
      <c r="B137" s="162" t="n"/>
      <c r="C137" s="163" t="n"/>
      <c r="D137" s="96" t="n"/>
      <c r="E137" s="68" t="n"/>
      <c r="F137" s="163" t="n"/>
      <c r="G137" s="163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162" t="n"/>
      <c r="B138" s="162" t="n"/>
      <c r="C138" s="163" t="n"/>
      <c r="D138" s="96" t="n"/>
      <c r="E138" s="68" t="n"/>
      <c r="F138" s="163" t="n"/>
      <c r="G138" s="163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162" t="n"/>
      <c r="B139" s="162" t="n"/>
      <c r="C139" s="163" t="n"/>
      <c r="D139" s="96" t="n"/>
      <c r="E139" s="68" t="n"/>
      <c r="F139" s="163" t="n"/>
      <c r="G139" s="163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162" t="n"/>
      <c r="B140" s="162" t="n"/>
      <c r="C140" s="163" t="n"/>
      <c r="D140" s="96" t="n"/>
      <c r="E140" s="68" t="n"/>
      <c r="F140" s="163" t="n"/>
      <c r="G140" s="163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162" t="n"/>
      <c r="B141" s="162" t="n"/>
      <c r="C141" s="163" t="n"/>
      <c r="D141" s="96" t="n"/>
      <c r="E141" s="68" t="n"/>
      <c r="F141" s="163" t="n"/>
      <c r="G141" s="163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162" t="n"/>
      <c r="B142" s="162" t="n"/>
      <c r="C142" s="163" t="n"/>
      <c r="D142" s="96" t="n"/>
      <c r="E142" s="68" t="n"/>
      <c r="F142" s="163" t="n"/>
      <c r="G142" s="163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162" t="n"/>
      <c r="B143" s="162" t="n"/>
      <c r="C143" s="163" t="n"/>
      <c r="D143" s="96" t="n"/>
      <c r="E143" s="68" t="n"/>
      <c r="F143" s="163" t="n"/>
      <c r="G143" s="163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162" t="n"/>
      <c r="B144" s="162" t="n"/>
      <c r="C144" s="163" t="n"/>
      <c r="D144" s="96" t="n"/>
      <c r="E144" s="68" t="n"/>
      <c r="F144" s="163" t="n"/>
      <c r="G144" s="163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162" t="n"/>
      <c r="B145" s="162" t="n"/>
      <c r="C145" s="163" t="n"/>
      <c r="D145" s="96" t="n"/>
      <c r="E145" s="68" t="n"/>
      <c r="F145" s="163" t="n"/>
      <c r="G145" s="163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162" t="n"/>
      <c r="B146" s="162" t="n"/>
      <c r="C146" s="163" t="n"/>
      <c r="D146" s="96" t="n"/>
      <c r="E146" s="68" t="n"/>
      <c r="F146" s="163" t="n"/>
      <c r="G146" s="163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162" t="n"/>
      <c r="B147" s="162" t="n"/>
      <c r="C147" s="163" t="n"/>
      <c r="D147" s="96" t="n"/>
      <c r="E147" s="68" t="n"/>
      <c r="F147" s="163" t="n"/>
      <c r="G147" s="163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162" t="n"/>
      <c r="B148" s="162" t="n"/>
      <c r="C148" s="163" t="n"/>
      <c r="D148" s="96" t="n"/>
      <c r="E148" s="68" t="n"/>
      <c r="F148" s="163" t="n"/>
      <c r="G148" s="163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162" t="n"/>
      <c r="B149" s="162" t="n"/>
      <c r="C149" s="163" t="n"/>
      <c r="D149" s="96" t="n"/>
      <c r="E149" s="68" t="n"/>
      <c r="F149" s="163" t="n"/>
      <c r="G149" s="163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162" t="n"/>
      <c r="B150" s="162" t="n"/>
      <c r="C150" s="163" t="n"/>
      <c r="D150" s="96" t="n"/>
      <c r="E150" s="68" t="n"/>
      <c r="F150" s="163" t="n"/>
      <c r="G150" s="163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162" t="n"/>
      <c r="B151" s="162" t="n"/>
      <c r="C151" s="163" t="n"/>
      <c r="D151" s="96" t="n"/>
      <c r="E151" s="68" t="n"/>
      <c r="F151" s="163" t="n"/>
      <c r="G151" s="163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162" t="n"/>
      <c r="B152" s="162" t="n"/>
      <c r="C152" s="163" t="n"/>
      <c r="D152" s="96" t="n"/>
      <c r="E152" s="68" t="n"/>
      <c r="F152" s="163" t="n"/>
      <c r="G152" s="163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162" t="n"/>
      <c r="B153" s="162" t="n"/>
      <c r="C153" s="163" t="n"/>
      <c r="D153" s="96" t="n"/>
      <c r="E153" s="68" t="n"/>
      <c r="F153" s="163" t="n"/>
      <c r="G153" s="163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162" t="n"/>
      <c r="B154" s="162" t="n"/>
      <c r="C154" s="163" t="n"/>
      <c r="D154" s="96" t="n"/>
      <c r="E154" s="68" t="n"/>
      <c r="F154" s="163" t="n"/>
      <c r="G154" s="163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162" t="n"/>
      <c r="B155" s="162" t="n"/>
      <c r="C155" s="163" t="n"/>
      <c r="D155" s="96" t="n"/>
      <c r="E155" s="68" t="n"/>
      <c r="F155" s="163" t="n"/>
      <c r="G155" s="163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162" t="n"/>
      <c r="B156" s="162" t="n"/>
      <c r="C156" s="163" t="n"/>
      <c r="D156" s="96" t="n"/>
      <c r="E156" s="68" t="n"/>
      <c r="F156" s="163" t="n"/>
      <c r="G156" s="163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162" t="n"/>
      <c r="B157" s="162" t="n"/>
      <c r="C157" s="163" t="n"/>
      <c r="D157" s="96" t="n"/>
      <c r="E157" s="68" t="n"/>
      <c r="F157" s="163" t="n"/>
      <c r="G157" s="163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162" t="n"/>
      <c r="B158" s="162" t="n"/>
      <c r="C158" s="163" t="n"/>
      <c r="D158" s="96" t="n"/>
      <c r="E158" s="68" t="n"/>
      <c r="F158" s="163" t="n"/>
      <c r="G158" s="163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162" t="n"/>
      <c r="B159" s="162" t="n"/>
      <c r="C159" s="163" t="n"/>
      <c r="D159" s="96" t="n"/>
      <c r="E159" s="68" t="n"/>
      <c r="F159" s="163" t="n"/>
      <c r="G159" s="163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162" t="n"/>
      <c r="B160" s="162" t="n"/>
      <c r="C160" s="163" t="n"/>
      <c r="D160" s="96" t="n"/>
      <c r="E160" s="68" t="n"/>
      <c r="F160" s="163" t="n"/>
      <c r="G160" s="163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162" t="n"/>
      <c r="B161" s="162" t="n"/>
      <c r="C161" s="163" t="n"/>
      <c r="D161" s="96" t="n"/>
      <c r="E161" s="68" t="n"/>
      <c r="F161" s="163" t="n"/>
      <c r="G161" s="163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162" t="n"/>
      <c r="B162" s="162" t="n"/>
      <c r="C162" s="163" t="n"/>
      <c r="D162" s="96" t="n"/>
      <c r="E162" s="68" t="n"/>
      <c r="F162" s="163" t="n"/>
      <c r="G162" s="163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162" t="n"/>
      <c r="B163" s="162" t="n"/>
      <c r="C163" s="163" t="n"/>
      <c r="D163" s="96" t="n"/>
      <c r="E163" s="68" t="n"/>
      <c r="F163" s="163" t="n"/>
      <c r="G163" s="163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162" t="n"/>
      <c r="B164" s="162" t="n"/>
      <c r="C164" s="163" t="n"/>
      <c r="D164" s="96" t="n"/>
      <c r="E164" s="68" t="n"/>
      <c r="F164" s="163" t="n"/>
      <c r="G164" s="163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162" t="n"/>
      <c r="B165" s="162" t="n"/>
      <c r="C165" s="163" t="n"/>
      <c r="D165" s="96" t="n"/>
      <c r="E165" s="68" t="n"/>
      <c r="F165" s="163" t="n"/>
      <c r="G165" s="163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162" t="n"/>
      <c r="B166" s="162" t="n"/>
      <c r="C166" s="163" t="n"/>
      <c r="D166" s="96" t="n"/>
      <c r="E166" s="68" t="n"/>
      <c r="F166" s="163" t="n"/>
      <c r="G166" s="163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162" t="n"/>
      <c r="B167" s="162" t="n"/>
      <c r="C167" s="163" t="n"/>
      <c r="D167" s="96" t="n"/>
      <c r="E167" s="68" t="n"/>
      <c r="F167" s="163" t="n"/>
      <c r="G167" s="163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162" t="n"/>
      <c r="B168" s="162" t="n"/>
      <c r="C168" s="163" t="n"/>
      <c r="D168" s="96" t="n"/>
      <c r="E168" s="68" t="n"/>
      <c r="F168" s="163" t="n"/>
      <c r="G168" s="163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162" t="n"/>
      <c r="B169" s="162" t="n"/>
      <c r="C169" s="163" t="n"/>
      <c r="D169" s="96" t="n"/>
      <c r="E169" s="68" t="n"/>
      <c r="F169" s="163" t="n"/>
      <c r="G169" s="163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162" t="n"/>
      <c r="B170" s="162" t="n"/>
      <c r="C170" s="163" t="n"/>
      <c r="D170" s="96" t="n"/>
      <c r="E170" s="68" t="n"/>
      <c r="F170" s="163" t="n"/>
      <c r="G170" s="163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162" t="n"/>
      <c r="B171" s="162" t="n"/>
      <c r="C171" s="163" t="n"/>
      <c r="D171" s="96" t="n"/>
      <c r="E171" s="68" t="n"/>
      <c r="F171" s="163" t="n"/>
      <c r="G171" s="163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162" t="n"/>
      <c r="B172" s="162" t="n"/>
      <c r="C172" s="163" t="n"/>
      <c r="D172" s="96" t="n"/>
      <c r="E172" s="68" t="n"/>
      <c r="F172" s="163" t="n"/>
      <c r="G172" s="163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162" t="n"/>
      <c r="B173" s="162" t="n"/>
      <c r="C173" s="163" t="n"/>
      <c r="D173" s="96" t="n"/>
      <c r="E173" s="68" t="n"/>
      <c r="F173" s="163" t="n"/>
      <c r="G173" s="163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162" t="n"/>
      <c r="B174" s="162" t="n"/>
      <c r="C174" s="163" t="n"/>
      <c r="D174" s="96" t="n"/>
      <c r="E174" s="68" t="n"/>
      <c r="F174" s="163" t="n"/>
      <c r="G174" s="163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162" t="n"/>
      <c r="B175" s="162" t="n"/>
      <c r="C175" s="163" t="n"/>
      <c r="D175" s="96" t="n"/>
      <c r="E175" s="68" t="n"/>
      <c r="F175" s="163" t="n"/>
      <c r="G175" s="163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162" t="n"/>
      <c r="B176" s="162" t="n"/>
      <c r="C176" s="163" t="n"/>
      <c r="D176" s="96" t="n"/>
      <c r="E176" s="68" t="n"/>
      <c r="F176" s="163" t="n"/>
      <c r="G176" s="163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162" t="n"/>
      <c r="B177" s="162" t="n"/>
      <c r="C177" s="163" t="n"/>
      <c r="D177" s="96" t="n"/>
      <c r="E177" s="68" t="n"/>
      <c r="F177" s="163" t="n"/>
      <c r="G177" s="163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162" t="n"/>
      <c r="B178" s="162" t="n"/>
      <c r="C178" s="163" t="n"/>
      <c r="D178" s="96" t="n"/>
      <c r="E178" s="68" t="n"/>
      <c r="F178" s="163" t="n"/>
      <c r="G178" s="163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162" t="n"/>
      <c r="B179" s="162" t="n"/>
      <c r="C179" s="163" t="n"/>
      <c r="D179" s="96" t="n"/>
      <c r="E179" s="68" t="n"/>
      <c r="F179" s="163" t="n"/>
      <c r="G179" s="163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162" t="n"/>
      <c r="B180" s="162" t="n"/>
      <c r="C180" s="163" t="n"/>
      <c r="D180" s="96" t="n"/>
      <c r="E180" s="68" t="n"/>
      <c r="F180" s="163" t="n"/>
      <c r="G180" s="163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162" t="n"/>
      <c r="B181" s="162" t="n"/>
      <c r="C181" s="163" t="n"/>
      <c r="D181" s="96" t="n"/>
      <c r="E181" s="68" t="n"/>
      <c r="F181" s="163" t="n"/>
      <c r="G181" s="163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162" t="n"/>
      <c r="B182" s="162" t="n"/>
      <c r="C182" s="163" t="n"/>
      <c r="D182" s="96" t="n"/>
      <c r="E182" s="68" t="n"/>
      <c r="F182" s="163" t="n"/>
      <c r="G182" s="163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162" t="n"/>
      <c r="B183" s="162" t="n"/>
      <c r="C183" s="163" t="n"/>
      <c r="D183" s="96" t="n"/>
      <c r="E183" s="68" t="n"/>
      <c r="F183" s="163" t="n"/>
      <c r="G183" s="163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162" t="n"/>
      <c r="B184" s="162" t="n"/>
      <c r="C184" s="163" t="n"/>
      <c r="D184" s="96" t="n"/>
      <c r="E184" s="68" t="n"/>
      <c r="F184" s="163" t="n"/>
      <c r="G184" s="163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162" t="n"/>
      <c r="B185" s="162" t="n"/>
      <c r="C185" s="163" t="n"/>
      <c r="D185" s="96" t="n"/>
      <c r="E185" s="68" t="n"/>
      <c r="F185" s="163" t="n"/>
      <c r="G185" s="163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162" t="n"/>
      <c r="B186" s="162" t="n"/>
      <c r="C186" s="163" t="n"/>
      <c r="D186" s="96" t="n"/>
      <c r="E186" s="68" t="n"/>
      <c r="F186" s="163" t="n"/>
      <c r="G186" s="163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162" t="n"/>
      <c r="B187" s="162" t="n"/>
      <c r="C187" s="163" t="n"/>
      <c r="D187" s="96" t="n"/>
      <c r="E187" s="68" t="n"/>
      <c r="F187" s="163" t="n"/>
      <c r="G187" s="163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162" t="n"/>
      <c r="B188" s="162" t="n"/>
      <c r="C188" s="163" t="n"/>
      <c r="D188" s="96" t="n"/>
      <c r="E188" s="68" t="n"/>
      <c r="F188" s="163" t="n"/>
      <c r="G188" s="163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162" t="n"/>
      <c r="B189" s="162" t="n"/>
      <c r="C189" s="163" t="n"/>
      <c r="D189" s="96" t="n"/>
      <c r="E189" s="68" t="n"/>
      <c r="F189" s="163" t="n"/>
      <c r="G189" s="163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162" t="n"/>
      <c r="B190" s="162" t="n"/>
      <c r="C190" s="163" t="n"/>
      <c r="D190" s="96" t="n"/>
      <c r="E190" s="68" t="n"/>
      <c r="F190" s="163" t="n"/>
      <c r="G190" s="163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162" t="n"/>
      <c r="B191" s="162" t="n"/>
      <c r="C191" s="163" t="n"/>
      <c r="D191" s="96" t="n"/>
      <c r="E191" s="68" t="n"/>
      <c r="F191" s="163" t="n"/>
      <c r="G191" s="163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162" t="n"/>
      <c r="B192" s="162" t="n"/>
      <c r="C192" s="163" t="n"/>
      <c r="D192" s="96" t="n"/>
      <c r="E192" s="68" t="n"/>
      <c r="F192" s="163" t="n"/>
      <c r="G192" s="163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162" t="n"/>
      <c r="B193" s="162" t="n"/>
      <c r="C193" s="163" t="n"/>
      <c r="D193" s="96" t="n"/>
      <c r="E193" s="68" t="n"/>
      <c r="F193" s="163" t="n"/>
      <c r="G193" s="163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162" t="n"/>
      <c r="B194" s="162" t="n"/>
      <c r="C194" s="163" t="n"/>
      <c r="D194" s="96" t="n"/>
      <c r="E194" s="68" t="n"/>
      <c r="F194" s="163" t="n"/>
      <c r="G194" s="163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162" t="n"/>
      <c r="B195" s="162" t="n"/>
      <c r="C195" s="163" t="n"/>
      <c r="D195" s="96" t="n"/>
      <c r="E195" s="68" t="n"/>
      <c r="F195" s="163" t="n"/>
      <c r="G195" s="163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162" t="n"/>
      <c r="B196" s="162" t="n"/>
      <c r="C196" s="163" t="n"/>
      <c r="D196" s="96" t="n"/>
      <c r="E196" s="68" t="n"/>
      <c r="F196" s="163" t="n"/>
      <c r="G196" s="163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162" t="n"/>
      <c r="B197" s="162" t="n"/>
      <c r="C197" s="163" t="n"/>
      <c r="D197" s="96" t="n"/>
      <c r="E197" s="68" t="n"/>
      <c r="F197" s="163" t="n"/>
      <c r="G197" s="163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162" t="n"/>
      <c r="B198" s="162" t="n"/>
      <c r="C198" s="163" t="n"/>
      <c r="D198" s="96" t="n"/>
      <c r="E198" s="68" t="n"/>
      <c r="F198" s="163" t="n"/>
      <c r="G198" s="163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162" t="n"/>
      <c r="B199" s="162" t="n"/>
      <c r="C199" s="163" t="n"/>
      <c r="D199" s="96" t="n"/>
      <c r="E199" s="68" t="n"/>
      <c r="F199" s="163" t="n"/>
      <c r="G199" s="163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162" t="n"/>
      <c r="B200" s="162" t="n"/>
      <c r="C200" s="163" t="n"/>
      <c r="D200" s="96" t="n"/>
      <c r="E200" s="68" t="n"/>
      <c r="F200" s="163" t="n"/>
      <c r="G200" s="163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162" t="n"/>
      <c r="B201" s="162" t="n"/>
      <c r="C201" s="163" t="n"/>
      <c r="D201" s="96" t="n"/>
      <c r="E201" s="68" t="n"/>
      <c r="F201" s="163" t="n"/>
      <c r="G201" s="163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162" t="n"/>
      <c r="B202" s="162" t="n"/>
      <c r="C202" s="163" t="n"/>
      <c r="D202" s="96" t="n"/>
      <c r="E202" s="68" t="n"/>
      <c r="F202" s="163" t="n"/>
      <c r="G202" s="163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162" t="n"/>
      <c r="B203" s="162" t="n"/>
      <c r="C203" s="163" t="n"/>
      <c r="D203" s="96" t="n"/>
      <c r="E203" s="68" t="n"/>
      <c r="F203" s="163" t="n"/>
      <c r="G203" s="163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162" t="n"/>
      <c r="B204" s="162" t="n"/>
      <c r="C204" s="163" t="n"/>
      <c r="D204" s="96" t="n"/>
      <c r="E204" s="68" t="n"/>
      <c r="F204" s="163" t="n"/>
      <c r="G204" s="163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162" t="n"/>
      <c r="B205" s="162" t="n"/>
      <c r="C205" s="163" t="n"/>
      <c r="D205" s="96" t="n"/>
      <c r="E205" s="68" t="n"/>
      <c r="F205" s="163" t="n"/>
      <c r="G205" s="163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162" t="n"/>
      <c r="B206" s="162" t="n"/>
      <c r="C206" s="163" t="n"/>
      <c r="D206" s="96" t="n"/>
      <c r="E206" s="68" t="n"/>
      <c r="F206" s="163" t="n"/>
      <c r="G206" s="163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162" t="n"/>
      <c r="B207" s="162" t="n"/>
      <c r="C207" s="163" t="n"/>
      <c r="D207" s="96" t="n"/>
      <c r="E207" s="68" t="n"/>
      <c r="F207" s="163" t="n"/>
      <c r="G207" s="163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162" t="n"/>
      <c r="B208" s="162" t="n"/>
      <c r="C208" s="163" t="n"/>
      <c r="D208" s="96" t="n"/>
      <c r="E208" s="68" t="n"/>
      <c r="F208" s="163" t="n"/>
      <c r="G208" s="163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162" t="n"/>
      <c r="B209" s="162" t="n"/>
      <c r="C209" s="163" t="n"/>
      <c r="D209" s="96" t="n"/>
      <c r="E209" s="68" t="n"/>
      <c r="F209" s="163" t="n"/>
      <c r="G209" s="163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162" t="n"/>
      <c r="B210" s="162" t="n"/>
      <c r="C210" s="163" t="n"/>
      <c r="D210" s="96" t="n"/>
      <c r="E210" s="68" t="n"/>
      <c r="F210" s="163" t="n"/>
      <c r="G210" s="163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162" t="n"/>
      <c r="B211" s="162" t="n"/>
      <c r="C211" s="163" t="n"/>
      <c r="D211" s="96" t="n"/>
      <c r="E211" s="68" t="n"/>
      <c r="F211" s="163" t="n"/>
      <c r="G211" s="163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162" t="n"/>
      <c r="B212" s="162" t="n"/>
      <c r="C212" s="163" t="n"/>
      <c r="D212" s="96" t="n"/>
      <c r="E212" s="68" t="n"/>
      <c r="F212" s="163" t="n"/>
      <c r="G212" s="163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162" t="n"/>
      <c r="B213" s="162" t="n"/>
      <c r="C213" s="163" t="n"/>
      <c r="D213" s="96" t="n"/>
      <c r="E213" s="68" t="n"/>
      <c r="F213" s="163" t="n"/>
      <c r="G213" s="163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162" t="n"/>
      <c r="B214" s="162" t="n"/>
      <c r="C214" s="163" t="n"/>
      <c r="D214" s="96" t="n"/>
      <c r="E214" s="68" t="n"/>
      <c r="F214" s="163" t="n"/>
      <c r="G214" s="163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162" t="n"/>
      <c r="B215" s="162" t="n"/>
      <c r="C215" s="163" t="n"/>
      <c r="D215" s="96" t="n"/>
      <c r="E215" s="68" t="n"/>
      <c r="F215" s="163" t="n"/>
      <c r="G215" s="163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162" t="n"/>
      <c r="B216" s="162" t="n"/>
      <c r="C216" s="163" t="n"/>
      <c r="D216" s="96" t="n"/>
      <c r="E216" s="68" t="n"/>
      <c r="F216" s="163" t="n"/>
      <c r="G216" s="163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7">
    <mergeCell ref="A13:G13"/>
    <mergeCell ref="A14:G14"/>
    <mergeCell ref="A3:H3"/>
    <mergeCell ref="A60:F60"/>
    <mergeCell ref="A1:H1"/>
    <mergeCell ref="A26:F26"/>
    <mergeCell ref="A7:F7"/>
  </mergeCells>
  <dataValidations count="6">
    <dataValidation sqref="G17:G216" showDropDown="0" showInputMessage="0" showErrorMessage="0" allowBlank="1" type="list">
      <formula1>"O,X,판단보류"</formula1>
    </dataValidation>
    <dataValidation sqref="C17:C25 C27:C59 C61:C216" showDropDown="0" showInputMessage="0" showErrorMessage="0" allowBlank="1" type="list">
      <formula1>"서재형,김기훈,박종훈,월가아재,알상무,기타"</formula1>
    </dataValidation>
    <dataValidation sqref="F5 F17:F25 F27:F59 F61:F216" showDropDown="0" showInputMessage="0" showErrorMessage="0" allowBlank="1" type="list">
      <formula1>"확대,유지,축소"</formula1>
    </dataValidation>
    <dataValidation sqref="C9:C11" showDropDown="0" showInputMessage="0" showErrorMessage="0" allowBlank="1" type="list">
      <formula1>"담보비율 (국장,명목),청산선까지 남은 하락여력,계좌 레버리지 배수,★ 실질 레버리지 배수,차입 비중,현금 비중,보유 종목 수,단일 종목 최대 비중,단일 섹터 최대 비중,손절가 미입력 종목 수"</formula1>
    </dataValidation>
    <dataValidation sqref="D9:D11" showDropDown="0" showInputMessage="0" showErrorMessage="0" allowBlank="1" type="list">
      <formula1>"이상,이하"</formula1>
    </dataValidation>
    <dataValidation sqref="E17:E25 E27:E59 E61:E216" showDropDown="0" showInputMessage="0" showErrorMessage="0" allowBlank="1" type="list">
      <formula1>"-2,-1,0,1,2"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1" customWidth="1" style="179" min="1" max="1"/>
    <col width="15" customWidth="1" style="179" min="2" max="4"/>
    <col width="10" customWidth="1" style="179" min="5" max="8"/>
    <col width="11" customWidth="1" style="179" min="9" max="9"/>
    <col width="15" customWidth="1" style="179" min="10" max="12"/>
    <col width="14" customWidth="1" style="179" min="13" max="14"/>
    <col width="17" customWidth="1" style="179" min="15" max="15"/>
    <col width="9" customWidth="1" style="179" min="16" max="16"/>
    <col width="10" customWidth="1" style="179" min="17" max="18"/>
    <col width="40" customWidth="1" style="179" min="19" max="19"/>
  </cols>
  <sheetData>
    <row r="1">
      <c r="A1" s="180" t="inlineStr">
        <is>
          <t>⑥ 월간 결산  —  자동 집계</t>
        </is>
      </c>
      <c r="T1" s="99" t="n"/>
      <c r="U1" s="99" t="n"/>
      <c r="V1" s="99" t="n"/>
      <c r="W1" s="99" t="n"/>
      <c r="X1" s="99" t="n"/>
      <c r="Y1" s="99" t="n"/>
      <c r="Z1" s="99" t="n"/>
    </row>
    <row r="2">
      <c r="A2" s="99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9" t="inlineStr">
        <is>
          <t>월</t>
        </is>
      </c>
      <c r="B4" s="9" t="inlineStr">
        <is>
          <t>월초
순자산</t>
        </is>
      </c>
      <c r="C4" s="9" t="inlineStr">
        <is>
          <t>월말
순자산</t>
        </is>
      </c>
      <c r="D4" s="9" t="inlineStr">
        <is>
          <t>월 손익</t>
        </is>
      </c>
      <c r="E4" s="9" t="inlineStr">
        <is>
          <t>월 수익률</t>
        </is>
      </c>
      <c r="F4" s="9" t="inlineStr">
        <is>
          <t>월중 최저
MDD</t>
        </is>
      </c>
      <c r="G4" s="9" t="inlineStr">
        <is>
          <t>평균
현금비중</t>
        </is>
      </c>
      <c r="H4" s="9" t="inlineStr">
        <is>
          <t>평균
차입비중</t>
        </is>
      </c>
      <c r="I4" s="9" t="inlineStr">
        <is>
          <t>평균
차입÷연봉</t>
        </is>
      </c>
      <c r="J4" s="9" t="inlineStr">
        <is>
          <t>국장
월말손익</t>
        </is>
      </c>
      <c r="K4" s="9" t="inlineStr">
        <is>
          <t>미장
월말손익</t>
        </is>
      </c>
      <c r="L4" s="9" t="inlineStr">
        <is>
          <t>ISA
월말손익</t>
        </is>
      </c>
      <c r="M4" s="9" t="inlineStr">
        <is>
          <t>신용·대출
이자</t>
        </is>
      </c>
      <c r="N4" s="9" t="inlineStr">
        <is>
          <t>해외주식
예상세액</t>
        </is>
      </c>
      <c r="O4" s="9" t="inlineStr">
        <is>
          <t>이자·세금 차감
후 월손익</t>
        </is>
      </c>
      <c r="P4" s="9" t="inlineStr">
        <is>
          <t>기록
일수</t>
        </is>
      </c>
      <c r="Q4" s="9" t="inlineStr">
        <is>
          <t>규칙위반
일수</t>
        </is>
      </c>
      <c r="R4" s="9" t="inlineStr">
        <is>
          <t>규칙
준수율</t>
        </is>
      </c>
      <c r="S4" s="9" t="inlineStr">
        <is>
          <t>월간 리뷰 (1줄)</t>
        </is>
      </c>
      <c r="T4" s="99" t="n"/>
      <c r="U4" s="99" t="n"/>
      <c r="V4" s="99" t="n"/>
      <c r="W4" s="99" t="n"/>
      <c r="X4" s="99" t="n"/>
      <c r="Y4" s="99" t="n"/>
      <c r="Z4" s="99" t="n"/>
    </row>
    <row r="5">
      <c r="A5" s="158" t="n">
        <v>45931</v>
      </c>
      <c r="B5" s="51" t="n"/>
      <c r="C5" s="51">
        <f>IFERROR(LOOKUP(2,1/(('01_일별로그'!$AJ$5:$AJ$276=YEAR($A5)*100+MONTH($A5))*('01_일별로그'!$B$5:$B$276&lt;&gt;"")),'01_일별로그'!$B$5:$B$276),"")</f>
        <v/>
      </c>
      <c r="D5" s="81">
        <f>IFERROR(SUMIFS('01_일별로그'!$C$5:$C$276,'01_일별로그'!$AJ$5:$AJ$276,YEAR($A5)*100+MONTH($A5)),"")</f>
        <v/>
      </c>
      <c r="E5" s="53">
        <f>IFERROR(D5/B5,"")</f>
        <v/>
      </c>
      <c r="F5" s="53">
        <f>IFERROR(MINIFS('01_일별로그'!$E$5:$E$276,'01_일별로그'!$AJ$5:$AJ$276,YEAR($A5)*100+MONTH($A5)),"")</f>
        <v/>
      </c>
      <c r="G5" s="53">
        <f>IFERROR(AVERAGEIFS('01_일별로그'!$I$5:$I$276,'01_일별로그'!$AJ$5:$AJ$276,YEAR($A5)*100+MONTH($A5)),"")</f>
        <v/>
      </c>
      <c r="H5" s="53">
        <f>IFERROR(AVERAGEIFS('01_일별로그'!$H$5:$H$276,'01_일별로그'!$AJ$5:$AJ$276,YEAR($A5)*100+MONTH($A5)),"")</f>
        <v/>
      </c>
      <c r="I5" s="159">
        <f>IFERROR(AVERAGEIFS('01_일별로그'!$G$5:$G$276,'01_일별로그'!$AJ$5:$AJ$276,YEAR($A5)*100+MONTH($A5)),"")</f>
        <v/>
      </c>
      <c r="J5" s="51">
        <f>IFERROR(LOOKUP(2,1/(('01_일별로그'!$AJ$5:$AJ$276=YEAR($A5)*100+MONTH($A5))*('01_일별로그'!$J$5:$J$276&lt;&gt;"")),'01_일별로그'!$J$5:$J$276),"")</f>
        <v/>
      </c>
      <c r="K5" s="51">
        <f>IFERROR(LOOKUP(2,1/(('01_일별로그'!$AJ$5:$AJ$276=YEAR($A5)*100+MONTH($A5))*('01_일별로그'!$K$5:$K$276&lt;&gt;"")),'01_일별로그'!$K$5:$K$276),"")</f>
        <v/>
      </c>
      <c r="L5" s="51">
        <f>IFERROR(LOOKUP(2,1/(('01_일별로그'!$AJ$5:$AJ$276=YEAR($A5)*100+MONTH($A5))*('01_일별로그'!$L$5:$L$276&lt;&gt;"")),'01_일별로그'!$L$5:$L$276),"")</f>
        <v/>
      </c>
      <c r="M5" s="160">
        <f>IFERROR(SUMPRODUCT(('09_CF_원금'!$A$113:$A$126=$A5)*'09_CF_원금'!$E$113:$E$126),0)</f>
        <v/>
      </c>
      <c r="N5" s="160">
        <f>IF(MONTH($A5)=12,IFERROR(SUMPRODUCT(('09_CF_원금'!$A$133:$A$134=YEAR($A5))*'09_CF_원금'!$F$133:$F$134),0),0)</f>
        <v/>
      </c>
      <c r="O5" s="81">
        <f>IF(D5="","",D5-M5-N5)</f>
        <v/>
      </c>
      <c r="P5" s="72">
        <f>COUNTIFS('01_일별로그'!$AJ$5:$AJ$276,YEAR($A5)*100+MONTH($A5))</f>
        <v/>
      </c>
      <c r="Q5" s="161">
        <f>SUMIFS('01_일별로그'!$AK$5:$AK$276,'01_일별로그'!$AJ$5:$AJ$276,YEAR($A5)*100+MONTH($A5))</f>
        <v/>
      </c>
      <c r="R5" s="83">
        <f>IFERROR(1-Q5/P5,"")</f>
        <v/>
      </c>
      <c r="S5" s="164" t="n"/>
      <c r="T5" s="99" t="n"/>
      <c r="U5" s="99" t="n"/>
      <c r="V5" s="99" t="n"/>
      <c r="W5" s="99" t="n"/>
      <c r="X5" s="99" t="n"/>
      <c r="Y5" s="99" t="n"/>
      <c r="Z5" s="99" t="n"/>
    </row>
    <row r="6">
      <c r="A6" s="158" t="n">
        <v>45962</v>
      </c>
      <c r="B6" s="51">
        <f>IFERROR(C5,"")</f>
        <v/>
      </c>
      <c r="C6" s="51">
        <f>IFERROR(LOOKUP(2,1/(('01_일별로그'!$AJ$5:$AJ$276=YEAR($A6)*100+MONTH($A6))*('01_일별로그'!$B$5:$B$276&lt;&gt;"")),'01_일별로그'!$B$5:$B$276),"")</f>
        <v/>
      </c>
      <c r="D6" s="81">
        <f>IFERROR(SUMIFS('01_일별로그'!$C$5:$C$276,'01_일별로그'!$AJ$5:$AJ$276,YEAR($A6)*100+MONTH($A6)),"")</f>
        <v/>
      </c>
      <c r="E6" s="53">
        <f>IFERROR(D6/B6,"")</f>
        <v/>
      </c>
      <c r="F6" s="53">
        <f>IFERROR(MINIFS('01_일별로그'!$E$5:$E$276,'01_일별로그'!$AJ$5:$AJ$276,YEAR($A6)*100+MONTH($A6)),"")</f>
        <v/>
      </c>
      <c r="G6" s="53">
        <f>IFERROR(AVERAGEIFS('01_일별로그'!$I$5:$I$276,'01_일별로그'!$AJ$5:$AJ$276,YEAR($A6)*100+MONTH($A6)),"")</f>
        <v/>
      </c>
      <c r="H6" s="53">
        <f>IFERROR(AVERAGEIFS('01_일별로그'!$H$5:$H$276,'01_일별로그'!$AJ$5:$AJ$276,YEAR($A6)*100+MONTH($A6)),"")</f>
        <v/>
      </c>
      <c r="I6" s="159">
        <f>IFERROR(AVERAGEIFS('01_일별로그'!$G$5:$G$276,'01_일별로그'!$AJ$5:$AJ$276,YEAR($A6)*100+MONTH($A6)),"")</f>
        <v/>
      </c>
      <c r="J6" s="51">
        <f>IFERROR(LOOKUP(2,1/(('01_일별로그'!$AJ$5:$AJ$276=YEAR($A6)*100+MONTH($A6))*('01_일별로그'!$J$5:$J$276&lt;&gt;"")),'01_일별로그'!$J$5:$J$276),"")</f>
        <v/>
      </c>
      <c r="K6" s="51">
        <f>IFERROR(LOOKUP(2,1/(('01_일별로그'!$AJ$5:$AJ$276=YEAR($A6)*100+MONTH($A6))*('01_일별로그'!$K$5:$K$276&lt;&gt;"")),'01_일별로그'!$K$5:$K$276),"")</f>
        <v/>
      </c>
      <c r="L6" s="51">
        <f>IFERROR(LOOKUP(2,1/(('01_일별로그'!$AJ$5:$AJ$276=YEAR($A6)*100+MONTH($A6))*('01_일별로그'!$L$5:$L$276&lt;&gt;"")),'01_일별로그'!$L$5:$L$276),"")</f>
        <v/>
      </c>
      <c r="M6" s="160">
        <f>IFERROR(SUMPRODUCT(('09_CF_원금'!$A$113:$A$126=$A6)*'09_CF_원금'!$E$113:$E$126),0)</f>
        <v/>
      </c>
      <c r="N6" s="160">
        <f>IF(MONTH($A6)=12,IFERROR(SUMPRODUCT(('09_CF_원금'!$A$133:$A$134=YEAR($A6))*'09_CF_원금'!$F$133:$F$134),0),0)</f>
        <v/>
      </c>
      <c r="O6" s="81">
        <f>IF(D6="","",D6-M6-N6)</f>
        <v/>
      </c>
      <c r="P6" s="72">
        <f>COUNTIFS('01_일별로그'!$AJ$5:$AJ$276,YEAR($A6)*100+MONTH($A6))</f>
        <v/>
      </c>
      <c r="Q6" s="161">
        <f>SUMIFS('01_일별로그'!$AK$5:$AK$276,'01_일별로그'!$AJ$5:$AJ$276,YEAR($A6)*100+MONTH($A6))</f>
        <v/>
      </c>
      <c r="R6" s="83">
        <f>IFERROR(1-Q6/P6,"")</f>
        <v/>
      </c>
      <c r="S6" s="164" t="n"/>
      <c r="T6" s="99" t="n"/>
      <c r="U6" s="99" t="n"/>
      <c r="V6" s="99" t="n"/>
      <c r="W6" s="99" t="n"/>
      <c r="X6" s="99" t="n"/>
      <c r="Y6" s="99" t="n"/>
      <c r="Z6" s="99" t="n"/>
    </row>
    <row r="7">
      <c r="A7" s="158" t="n">
        <v>45992</v>
      </c>
      <c r="B7" s="51">
        <f>IFERROR(C6,"")</f>
        <v/>
      </c>
      <c r="C7" s="51">
        <f>IFERROR(LOOKUP(2,1/(('01_일별로그'!$AJ$5:$AJ$276=YEAR($A7)*100+MONTH($A7))*('01_일별로그'!$B$5:$B$276&lt;&gt;"")),'01_일별로그'!$B$5:$B$276),"")</f>
        <v/>
      </c>
      <c r="D7" s="81">
        <f>IFERROR(SUMIFS('01_일별로그'!$C$5:$C$276,'01_일별로그'!$AJ$5:$AJ$276,YEAR($A7)*100+MONTH($A7)),"")</f>
        <v/>
      </c>
      <c r="E7" s="53">
        <f>IFERROR(D7/B7,"")</f>
        <v/>
      </c>
      <c r="F7" s="53">
        <f>IFERROR(MINIFS('01_일별로그'!$E$5:$E$276,'01_일별로그'!$AJ$5:$AJ$276,YEAR($A7)*100+MONTH($A7)),"")</f>
        <v/>
      </c>
      <c r="G7" s="53">
        <f>IFERROR(AVERAGEIFS('01_일별로그'!$I$5:$I$276,'01_일별로그'!$AJ$5:$AJ$276,YEAR($A7)*100+MONTH($A7)),"")</f>
        <v/>
      </c>
      <c r="H7" s="53">
        <f>IFERROR(AVERAGEIFS('01_일별로그'!$H$5:$H$276,'01_일별로그'!$AJ$5:$AJ$276,YEAR($A7)*100+MONTH($A7)),"")</f>
        <v/>
      </c>
      <c r="I7" s="159">
        <f>IFERROR(AVERAGEIFS('01_일별로그'!$G$5:$G$276,'01_일별로그'!$AJ$5:$AJ$276,YEAR($A7)*100+MONTH($A7)),"")</f>
        <v/>
      </c>
      <c r="J7" s="51">
        <f>IFERROR(LOOKUP(2,1/(('01_일별로그'!$AJ$5:$AJ$276=YEAR($A7)*100+MONTH($A7))*('01_일별로그'!$J$5:$J$276&lt;&gt;"")),'01_일별로그'!$J$5:$J$276),"")</f>
        <v/>
      </c>
      <c r="K7" s="51">
        <f>IFERROR(LOOKUP(2,1/(('01_일별로그'!$AJ$5:$AJ$276=YEAR($A7)*100+MONTH($A7))*('01_일별로그'!$K$5:$K$276&lt;&gt;"")),'01_일별로그'!$K$5:$K$276),"")</f>
        <v/>
      </c>
      <c r="L7" s="51">
        <f>IFERROR(LOOKUP(2,1/(('01_일별로그'!$AJ$5:$AJ$276=YEAR($A7)*100+MONTH($A7))*('01_일별로그'!$L$5:$L$276&lt;&gt;"")),'01_일별로그'!$L$5:$L$276),"")</f>
        <v/>
      </c>
      <c r="M7" s="160">
        <f>IFERROR(SUMPRODUCT(('09_CF_원금'!$A$113:$A$126=$A7)*'09_CF_원금'!$E$113:$E$126),0)</f>
        <v/>
      </c>
      <c r="N7" s="160">
        <f>IF(MONTH($A7)=12,IFERROR(SUMPRODUCT(('09_CF_원금'!$A$133:$A$134=YEAR($A7))*'09_CF_원금'!$F$133:$F$134),0),0)</f>
        <v/>
      </c>
      <c r="O7" s="81">
        <f>IF(D7="","",D7-M7-N7)</f>
        <v/>
      </c>
      <c r="P7" s="72">
        <f>COUNTIFS('01_일별로그'!$AJ$5:$AJ$276,YEAR($A7)*100+MONTH($A7))</f>
        <v/>
      </c>
      <c r="Q7" s="161">
        <f>SUMIFS('01_일별로그'!$AK$5:$AK$276,'01_일별로그'!$AJ$5:$AJ$276,YEAR($A7)*100+MONTH($A7))</f>
        <v/>
      </c>
      <c r="R7" s="83">
        <f>IFERROR(1-Q7/P7,"")</f>
        <v/>
      </c>
      <c r="S7" s="164" t="n"/>
      <c r="T7" s="99" t="n"/>
      <c r="U7" s="99" t="n"/>
      <c r="V7" s="99" t="n"/>
      <c r="W7" s="99" t="n"/>
      <c r="X7" s="99" t="n"/>
      <c r="Y7" s="99" t="n"/>
      <c r="Z7" s="99" t="n"/>
    </row>
    <row r="8">
      <c r="A8" s="158" t="n">
        <v>46023</v>
      </c>
      <c r="B8" s="51">
        <f>IFERROR(C7,"")</f>
        <v/>
      </c>
      <c r="C8" s="51">
        <f>IFERROR(LOOKUP(2,1/(('01_일별로그'!$AJ$5:$AJ$276=YEAR($A8)*100+MONTH($A8))*('01_일별로그'!$B$5:$B$276&lt;&gt;"")),'01_일별로그'!$B$5:$B$276),"")</f>
        <v/>
      </c>
      <c r="D8" s="81">
        <f>IFERROR(SUMIFS('01_일별로그'!$C$5:$C$276,'01_일별로그'!$AJ$5:$AJ$276,YEAR($A8)*100+MONTH($A8)),"")</f>
        <v/>
      </c>
      <c r="E8" s="53">
        <f>IFERROR(D8/B8,"")</f>
        <v/>
      </c>
      <c r="F8" s="53">
        <f>IFERROR(MINIFS('01_일별로그'!$E$5:$E$276,'01_일별로그'!$AJ$5:$AJ$276,YEAR($A8)*100+MONTH($A8)),"")</f>
        <v/>
      </c>
      <c r="G8" s="53">
        <f>IFERROR(AVERAGEIFS('01_일별로그'!$I$5:$I$276,'01_일별로그'!$AJ$5:$AJ$276,YEAR($A8)*100+MONTH($A8)),"")</f>
        <v/>
      </c>
      <c r="H8" s="53">
        <f>IFERROR(AVERAGEIFS('01_일별로그'!$H$5:$H$276,'01_일별로그'!$AJ$5:$AJ$276,YEAR($A8)*100+MONTH($A8)),"")</f>
        <v/>
      </c>
      <c r="I8" s="159">
        <f>IFERROR(AVERAGEIFS('01_일별로그'!$G$5:$G$276,'01_일별로그'!$AJ$5:$AJ$276,YEAR($A8)*100+MONTH($A8)),"")</f>
        <v/>
      </c>
      <c r="J8" s="51">
        <f>IFERROR(LOOKUP(2,1/(('01_일별로그'!$AJ$5:$AJ$276=YEAR($A8)*100+MONTH($A8))*('01_일별로그'!$J$5:$J$276&lt;&gt;"")),'01_일별로그'!$J$5:$J$276),"")</f>
        <v/>
      </c>
      <c r="K8" s="51">
        <f>IFERROR(LOOKUP(2,1/(('01_일별로그'!$AJ$5:$AJ$276=YEAR($A8)*100+MONTH($A8))*('01_일별로그'!$K$5:$K$276&lt;&gt;"")),'01_일별로그'!$K$5:$K$276),"")</f>
        <v/>
      </c>
      <c r="L8" s="51">
        <f>IFERROR(LOOKUP(2,1/(('01_일별로그'!$AJ$5:$AJ$276=YEAR($A8)*100+MONTH($A8))*('01_일별로그'!$L$5:$L$276&lt;&gt;"")),'01_일별로그'!$L$5:$L$276),"")</f>
        <v/>
      </c>
      <c r="M8" s="160">
        <f>IFERROR(SUMPRODUCT(('09_CF_원금'!$A$113:$A$126=$A8)*'09_CF_원금'!$E$113:$E$126),0)</f>
        <v/>
      </c>
      <c r="N8" s="160">
        <f>IF(MONTH($A8)=12,IFERROR(SUMPRODUCT(('09_CF_원금'!$A$133:$A$134=YEAR($A8))*'09_CF_원금'!$F$133:$F$134),0),0)</f>
        <v/>
      </c>
      <c r="O8" s="81">
        <f>IF(D8="","",D8-M8-N8)</f>
        <v/>
      </c>
      <c r="P8" s="72">
        <f>COUNTIFS('01_일별로그'!$AJ$5:$AJ$276,YEAR($A8)*100+MONTH($A8))</f>
        <v/>
      </c>
      <c r="Q8" s="161">
        <f>SUMIFS('01_일별로그'!$AK$5:$AK$276,'01_일별로그'!$AJ$5:$AJ$276,YEAR($A8)*100+MONTH($A8))</f>
        <v/>
      </c>
      <c r="R8" s="83">
        <f>IFERROR(1-Q8/P8,"")</f>
        <v/>
      </c>
      <c r="S8" s="164" t="n"/>
      <c r="T8" s="99" t="n"/>
      <c r="U8" s="99" t="n"/>
      <c r="V8" s="99" t="n"/>
      <c r="W8" s="99" t="n"/>
      <c r="X8" s="99" t="n"/>
      <c r="Y8" s="99" t="n"/>
      <c r="Z8" s="99" t="n"/>
    </row>
    <row r="9">
      <c r="A9" s="158" t="n">
        <v>46054</v>
      </c>
      <c r="B9" s="51">
        <f>IFERROR(C8,"")</f>
        <v/>
      </c>
      <c r="C9" s="51">
        <f>IFERROR(LOOKUP(2,1/(('01_일별로그'!$AJ$5:$AJ$276=YEAR($A9)*100+MONTH($A9))*('01_일별로그'!$B$5:$B$276&lt;&gt;"")),'01_일별로그'!$B$5:$B$276),"")</f>
        <v/>
      </c>
      <c r="D9" s="81">
        <f>IFERROR(SUMIFS('01_일별로그'!$C$5:$C$276,'01_일별로그'!$AJ$5:$AJ$276,YEAR($A9)*100+MONTH($A9)),"")</f>
        <v/>
      </c>
      <c r="E9" s="53">
        <f>IFERROR(D9/B9,"")</f>
        <v/>
      </c>
      <c r="F9" s="53">
        <f>IFERROR(MINIFS('01_일별로그'!$E$5:$E$276,'01_일별로그'!$AJ$5:$AJ$276,YEAR($A9)*100+MONTH($A9)),"")</f>
        <v/>
      </c>
      <c r="G9" s="53">
        <f>IFERROR(AVERAGEIFS('01_일별로그'!$I$5:$I$276,'01_일별로그'!$AJ$5:$AJ$276,YEAR($A9)*100+MONTH($A9)),"")</f>
        <v/>
      </c>
      <c r="H9" s="53">
        <f>IFERROR(AVERAGEIFS('01_일별로그'!$H$5:$H$276,'01_일별로그'!$AJ$5:$AJ$276,YEAR($A9)*100+MONTH($A9)),"")</f>
        <v/>
      </c>
      <c r="I9" s="159">
        <f>IFERROR(AVERAGEIFS('01_일별로그'!$G$5:$G$276,'01_일별로그'!$AJ$5:$AJ$276,YEAR($A9)*100+MONTH($A9)),"")</f>
        <v/>
      </c>
      <c r="J9" s="51">
        <f>IFERROR(LOOKUP(2,1/(('01_일별로그'!$AJ$5:$AJ$276=YEAR($A9)*100+MONTH($A9))*('01_일별로그'!$J$5:$J$276&lt;&gt;"")),'01_일별로그'!$J$5:$J$276),"")</f>
        <v/>
      </c>
      <c r="K9" s="51">
        <f>IFERROR(LOOKUP(2,1/(('01_일별로그'!$AJ$5:$AJ$276=YEAR($A9)*100+MONTH($A9))*('01_일별로그'!$K$5:$K$276&lt;&gt;"")),'01_일별로그'!$K$5:$K$276),"")</f>
        <v/>
      </c>
      <c r="L9" s="51">
        <f>IFERROR(LOOKUP(2,1/(('01_일별로그'!$AJ$5:$AJ$276=YEAR($A9)*100+MONTH($A9))*('01_일별로그'!$L$5:$L$276&lt;&gt;"")),'01_일별로그'!$L$5:$L$276),"")</f>
        <v/>
      </c>
      <c r="M9" s="160">
        <f>IFERROR(SUMPRODUCT(('09_CF_원금'!$A$113:$A$126=$A9)*'09_CF_원금'!$E$113:$E$126),0)</f>
        <v/>
      </c>
      <c r="N9" s="160">
        <f>IF(MONTH($A9)=12,IFERROR(SUMPRODUCT(('09_CF_원금'!$A$133:$A$134=YEAR($A9))*'09_CF_원금'!$F$133:$F$134),0),0)</f>
        <v/>
      </c>
      <c r="O9" s="81">
        <f>IF(D9="","",D9-M9-N9)</f>
        <v/>
      </c>
      <c r="P9" s="72">
        <f>COUNTIFS('01_일별로그'!$AJ$5:$AJ$276,YEAR($A9)*100+MONTH($A9))</f>
        <v/>
      </c>
      <c r="Q9" s="161">
        <f>SUMIFS('01_일별로그'!$AK$5:$AK$276,'01_일별로그'!$AJ$5:$AJ$276,YEAR($A9)*100+MONTH($A9))</f>
        <v/>
      </c>
      <c r="R9" s="83">
        <f>IFERROR(1-Q9/P9,"")</f>
        <v/>
      </c>
      <c r="S9" s="164" t="n"/>
      <c r="T9" s="99" t="n"/>
      <c r="U9" s="99" t="n"/>
      <c r="V9" s="99" t="n"/>
      <c r="W9" s="99" t="n"/>
      <c r="X9" s="99" t="n"/>
      <c r="Y9" s="99" t="n"/>
      <c r="Z9" s="99" t="n"/>
    </row>
    <row r="10">
      <c r="A10" s="158" t="n">
        <v>46082</v>
      </c>
      <c r="B10" s="51">
        <f>IFERROR(C9,"")</f>
        <v/>
      </c>
      <c r="C10" s="51">
        <f>IFERROR(LOOKUP(2,1/(('01_일별로그'!$AJ$5:$AJ$276=YEAR($A10)*100+MONTH($A10))*('01_일별로그'!$B$5:$B$276&lt;&gt;"")),'01_일별로그'!$B$5:$B$276),"")</f>
        <v/>
      </c>
      <c r="D10" s="81">
        <f>IFERROR(SUMIFS('01_일별로그'!$C$5:$C$276,'01_일별로그'!$AJ$5:$AJ$276,YEAR($A10)*100+MONTH($A10)),"")</f>
        <v/>
      </c>
      <c r="E10" s="53">
        <f>IFERROR(D10/B10,"")</f>
        <v/>
      </c>
      <c r="F10" s="53">
        <f>IFERROR(MINIFS('01_일별로그'!$E$5:$E$276,'01_일별로그'!$AJ$5:$AJ$276,YEAR($A10)*100+MONTH($A10)),"")</f>
        <v/>
      </c>
      <c r="G10" s="53">
        <f>IFERROR(AVERAGEIFS('01_일별로그'!$I$5:$I$276,'01_일별로그'!$AJ$5:$AJ$276,YEAR($A10)*100+MONTH($A10)),"")</f>
        <v/>
      </c>
      <c r="H10" s="53">
        <f>IFERROR(AVERAGEIFS('01_일별로그'!$H$5:$H$276,'01_일별로그'!$AJ$5:$AJ$276,YEAR($A10)*100+MONTH($A10)),"")</f>
        <v/>
      </c>
      <c r="I10" s="159">
        <f>IFERROR(AVERAGEIFS('01_일별로그'!$G$5:$G$276,'01_일별로그'!$AJ$5:$AJ$276,YEAR($A10)*100+MONTH($A10)),"")</f>
        <v/>
      </c>
      <c r="J10" s="51">
        <f>IFERROR(LOOKUP(2,1/(('01_일별로그'!$AJ$5:$AJ$276=YEAR($A10)*100+MONTH($A10))*('01_일별로그'!$J$5:$J$276&lt;&gt;"")),'01_일별로그'!$J$5:$J$276),"")</f>
        <v/>
      </c>
      <c r="K10" s="51">
        <f>IFERROR(LOOKUP(2,1/(('01_일별로그'!$AJ$5:$AJ$276=YEAR($A10)*100+MONTH($A10))*('01_일별로그'!$K$5:$K$276&lt;&gt;"")),'01_일별로그'!$K$5:$K$276),"")</f>
        <v/>
      </c>
      <c r="L10" s="51">
        <f>IFERROR(LOOKUP(2,1/(('01_일별로그'!$AJ$5:$AJ$276=YEAR($A10)*100+MONTH($A10))*('01_일별로그'!$L$5:$L$276&lt;&gt;"")),'01_일별로그'!$L$5:$L$276),"")</f>
        <v/>
      </c>
      <c r="M10" s="160">
        <f>IFERROR(SUMPRODUCT(('09_CF_원금'!$A$113:$A$126=$A10)*'09_CF_원금'!$E$113:$E$126),0)</f>
        <v/>
      </c>
      <c r="N10" s="160">
        <f>IF(MONTH($A10)=12,IFERROR(SUMPRODUCT(('09_CF_원금'!$A$133:$A$134=YEAR($A10))*'09_CF_원금'!$F$133:$F$134),0),0)</f>
        <v/>
      </c>
      <c r="O10" s="81">
        <f>IF(D10="","",D10-M10-N10)</f>
        <v/>
      </c>
      <c r="P10" s="72">
        <f>COUNTIFS('01_일별로그'!$AJ$5:$AJ$276,YEAR($A10)*100+MONTH($A10))</f>
        <v/>
      </c>
      <c r="Q10" s="161">
        <f>SUMIFS('01_일별로그'!$AK$5:$AK$276,'01_일별로그'!$AJ$5:$AJ$276,YEAR($A10)*100+MONTH($A10))</f>
        <v/>
      </c>
      <c r="R10" s="83">
        <f>IFERROR(1-Q10/P10,"")</f>
        <v/>
      </c>
      <c r="S10" s="164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158" t="n">
        <v>46113</v>
      </c>
      <c r="B11" s="51">
        <f>IFERROR(C10,"")</f>
        <v/>
      </c>
      <c r="C11" s="51">
        <f>IFERROR(LOOKUP(2,1/(('01_일별로그'!$AJ$5:$AJ$276=YEAR($A11)*100+MONTH($A11))*('01_일별로그'!$B$5:$B$276&lt;&gt;"")),'01_일별로그'!$B$5:$B$276),"")</f>
        <v/>
      </c>
      <c r="D11" s="81">
        <f>IFERROR(SUMIFS('01_일별로그'!$C$5:$C$276,'01_일별로그'!$AJ$5:$AJ$276,YEAR($A11)*100+MONTH($A11)),"")</f>
        <v/>
      </c>
      <c r="E11" s="53">
        <f>IFERROR(D11/B11,"")</f>
        <v/>
      </c>
      <c r="F11" s="53">
        <f>IFERROR(MINIFS('01_일별로그'!$E$5:$E$276,'01_일별로그'!$AJ$5:$AJ$276,YEAR($A11)*100+MONTH($A11)),"")</f>
        <v/>
      </c>
      <c r="G11" s="53">
        <f>IFERROR(AVERAGEIFS('01_일별로그'!$I$5:$I$276,'01_일별로그'!$AJ$5:$AJ$276,YEAR($A11)*100+MONTH($A11)),"")</f>
        <v/>
      </c>
      <c r="H11" s="53">
        <f>IFERROR(AVERAGEIFS('01_일별로그'!$H$5:$H$276,'01_일별로그'!$AJ$5:$AJ$276,YEAR($A11)*100+MONTH($A11)),"")</f>
        <v/>
      </c>
      <c r="I11" s="159">
        <f>IFERROR(AVERAGEIFS('01_일별로그'!$G$5:$G$276,'01_일별로그'!$AJ$5:$AJ$276,YEAR($A11)*100+MONTH($A11)),"")</f>
        <v/>
      </c>
      <c r="J11" s="51">
        <f>IFERROR(LOOKUP(2,1/(('01_일별로그'!$AJ$5:$AJ$276=YEAR($A11)*100+MONTH($A11))*('01_일별로그'!$J$5:$J$276&lt;&gt;"")),'01_일별로그'!$J$5:$J$276),"")</f>
        <v/>
      </c>
      <c r="K11" s="51">
        <f>IFERROR(LOOKUP(2,1/(('01_일별로그'!$AJ$5:$AJ$276=YEAR($A11)*100+MONTH($A11))*('01_일별로그'!$K$5:$K$276&lt;&gt;"")),'01_일별로그'!$K$5:$K$276),"")</f>
        <v/>
      </c>
      <c r="L11" s="51">
        <f>IFERROR(LOOKUP(2,1/(('01_일별로그'!$AJ$5:$AJ$276=YEAR($A11)*100+MONTH($A11))*('01_일별로그'!$L$5:$L$276&lt;&gt;"")),'01_일별로그'!$L$5:$L$276),"")</f>
        <v/>
      </c>
      <c r="M11" s="160">
        <f>IFERROR(SUMPRODUCT(('09_CF_원금'!$A$113:$A$126=$A11)*'09_CF_원금'!$E$113:$E$126),0)</f>
        <v/>
      </c>
      <c r="N11" s="160">
        <f>IF(MONTH($A11)=12,IFERROR(SUMPRODUCT(('09_CF_원금'!$A$133:$A$134=YEAR($A11))*'09_CF_원금'!$F$133:$F$134),0),0)</f>
        <v/>
      </c>
      <c r="O11" s="81">
        <f>IF(D11="","",D11-M11-N11)</f>
        <v/>
      </c>
      <c r="P11" s="72">
        <f>COUNTIFS('01_일별로그'!$AJ$5:$AJ$276,YEAR($A11)*100+MONTH($A11))</f>
        <v/>
      </c>
      <c r="Q11" s="161">
        <f>SUMIFS('01_일별로그'!$AK$5:$AK$276,'01_일별로그'!$AJ$5:$AJ$276,YEAR($A11)*100+MONTH($A11))</f>
        <v/>
      </c>
      <c r="R11" s="83">
        <f>IFERROR(1-Q11/P11,"")</f>
        <v/>
      </c>
      <c r="S11" s="164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158" t="n">
        <v>46143</v>
      </c>
      <c r="B12" s="51">
        <f>IFERROR(C11,"")</f>
        <v/>
      </c>
      <c r="C12" s="51">
        <f>IFERROR(LOOKUP(2,1/(('01_일별로그'!$AJ$5:$AJ$276=YEAR($A12)*100+MONTH($A12))*('01_일별로그'!$B$5:$B$276&lt;&gt;"")),'01_일별로그'!$B$5:$B$276),"")</f>
        <v/>
      </c>
      <c r="D12" s="81">
        <f>IFERROR(SUMIFS('01_일별로그'!$C$5:$C$276,'01_일별로그'!$AJ$5:$AJ$276,YEAR($A12)*100+MONTH($A12)),"")</f>
        <v/>
      </c>
      <c r="E12" s="53">
        <f>IFERROR(D12/B12,"")</f>
        <v/>
      </c>
      <c r="F12" s="53">
        <f>IFERROR(MINIFS('01_일별로그'!$E$5:$E$276,'01_일별로그'!$AJ$5:$AJ$276,YEAR($A12)*100+MONTH($A12)),"")</f>
        <v/>
      </c>
      <c r="G12" s="53">
        <f>IFERROR(AVERAGEIFS('01_일별로그'!$I$5:$I$276,'01_일별로그'!$AJ$5:$AJ$276,YEAR($A12)*100+MONTH($A12)),"")</f>
        <v/>
      </c>
      <c r="H12" s="53">
        <f>IFERROR(AVERAGEIFS('01_일별로그'!$H$5:$H$276,'01_일별로그'!$AJ$5:$AJ$276,YEAR($A12)*100+MONTH($A12)),"")</f>
        <v/>
      </c>
      <c r="I12" s="159">
        <f>IFERROR(AVERAGEIFS('01_일별로그'!$G$5:$G$276,'01_일별로그'!$AJ$5:$AJ$276,YEAR($A12)*100+MONTH($A12)),"")</f>
        <v/>
      </c>
      <c r="J12" s="51">
        <f>IFERROR(LOOKUP(2,1/(('01_일별로그'!$AJ$5:$AJ$276=YEAR($A12)*100+MONTH($A12))*('01_일별로그'!$J$5:$J$276&lt;&gt;"")),'01_일별로그'!$J$5:$J$276),"")</f>
        <v/>
      </c>
      <c r="K12" s="51">
        <f>IFERROR(LOOKUP(2,1/(('01_일별로그'!$AJ$5:$AJ$276=YEAR($A12)*100+MONTH($A12))*('01_일별로그'!$K$5:$K$276&lt;&gt;"")),'01_일별로그'!$K$5:$K$276),"")</f>
        <v/>
      </c>
      <c r="L12" s="51">
        <f>IFERROR(LOOKUP(2,1/(('01_일별로그'!$AJ$5:$AJ$276=YEAR($A12)*100+MONTH($A12))*('01_일별로그'!$L$5:$L$276&lt;&gt;"")),'01_일별로그'!$L$5:$L$276),"")</f>
        <v/>
      </c>
      <c r="M12" s="160">
        <f>IFERROR(SUMPRODUCT(('09_CF_원금'!$A$113:$A$126=$A12)*'09_CF_원금'!$E$113:$E$126),0)</f>
        <v/>
      </c>
      <c r="N12" s="160">
        <f>IF(MONTH($A12)=12,IFERROR(SUMPRODUCT(('09_CF_원금'!$A$133:$A$134=YEAR($A12))*'09_CF_원금'!$F$133:$F$134),0),0)</f>
        <v/>
      </c>
      <c r="O12" s="81">
        <f>IF(D12="","",D12-M12-N12)</f>
        <v/>
      </c>
      <c r="P12" s="72">
        <f>COUNTIFS('01_일별로그'!$AJ$5:$AJ$276,YEAR($A12)*100+MONTH($A12))</f>
        <v/>
      </c>
      <c r="Q12" s="161">
        <f>SUMIFS('01_일별로그'!$AK$5:$AK$276,'01_일별로그'!$AJ$5:$AJ$276,YEAR($A12)*100+MONTH($A12))</f>
        <v/>
      </c>
      <c r="R12" s="83">
        <f>IFERROR(1-Q12/P12,"")</f>
        <v/>
      </c>
      <c r="S12" s="164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158" t="n">
        <v>46174</v>
      </c>
      <c r="B13" s="51">
        <f>IFERROR(C12,"")</f>
        <v/>
      </c>
      <c r="C13" s="51">
        <f>IFERROR(LOOKUP(2,1/(('01_일별로그'!$AJ$5:$AJ$276=YEAR($A13)*100+MONTH($A13))*('01_일별로그'!$B$5:$B$276&lt;&gt;"")),'01_일별로그'!$B$5:$B$276),"")</f>
        <v/>
      </c>
      <c r="D13" s="81">
        <f>IFERROR(SUMIFS('01_일별로그'!$C$5:$C$276,'01_일별로그'!$AJ$5:$AJ$276,YEAR($A13)*100+MONTH($A13)),"")</f>
        <v/>
      </c>
      <c r="E13" s="53">
        <f>IFERROR(D13/B13,"")</f>
        <v/>
      </c>
      <c r="F13" s="53">
        <f>IFERROR(MINIFS('01_일별로그'!$E$5:$E$276,'01_일별로그'!$AJ$5:$AJ$276,YEAR($A13)*100+MONTH($A13)),"")</f>
        <v/>
      </c>
      <c r="G13" s="53">
        <f>IFERROR(AVERAGEIFS('01_일별로그'!$I$5:$I$276,'01_일별로그'!$AJ$5:$AJ$276,YEAR($A13)*100+MONTH($A13)),"")</f>
        <v/>
      </c>
      <c r="H13" s="53">
        <f>IFERROR(AVERAGEIFS('01_일별로그'!$H$5:$H$276,'01_일별로그'!$AJ$5:$AJ$276,YEAR($A13)*100+MONTH($A13)),"")</f>
        <v/>
      </c>
      <c r="I13" s="159">
        <f>IFERROR(AVERAGEIFS('01_일별로그'!$G$5:$G$276,'01_일별로그'!$AJ$5:$AJ$276,YEAR($A13)*100+MONTH($A13)),"")</f>
        <v/>
      </c>
      <c r="J13" s="51">
        <f>IFERROR(LOOKUP(2,1/(('01_일별로그'!$AJ$5:$AJ$276=YEAR($A13)*100+MONTH($A13))*('01_일별로그'!$J$5:$J$276&lt;&gt;"")),'01_일별로그'!$J$5:$J$276),"")</f>
        <v/>
      </c>
      <c r="K13" s="51">
        <f>IFERROR(LOOKUP(2,1/(('01_일별로그'!$AJ$5:$AJ$276=YEAR($A13)*100+MONTH($A13))*('01_일별로그'!$K$5:$K$276&lt;&gt;"")),'01_일별로그'!$K$5:$K$276),"")</f>
        <v/>
      </c>
      <c r="L13" s="51">
        <f>IFERROR(LOOKUP(2,1/(('01_일별로그'!$AJ$5:$AJ$276=YEAR($A13)*100+MONTH($A13))*('01_일별로그'!$L$5:$L$276&lt;&gt;"")),'01_일별로그'!$L$5:$L$276),"")</f>
        <v/>
      </c>
      <c r="M13" s="160">
        <f>IFERROR(SUMPRODUCT(('09_CF_원금'!$A$113:$A$126=$A13)*'09_CF_원금'!$E$113:$E$126),0)</f>
        <v/>
      </c>
      <c r="N13" s="160">
        <f>IF(MONTH($A13)=12,IFERROR(SUMPRODUCT(('09_CF_원금'!$A$133:$A$134=YEAR($A13))*'09_CF_원금'!$F$133:$F$134),0),0)</f>
        <v/>
      </c>
      <c r="O13" s="81">
        <f>IF(D13="","",D13-M13-N13)</f>
        <v/>
      </c>
      <c r="P13" s="72">
        <f>COUNTIFS('01_일별로그'!$AJ$5:$AJ$276,YEAR($A13)*100+MONTH($A13))</f>
        <v/>
      </c>
      <c r="Q13" s="161">
        <f>SUMIFS('01_일별로그'!$AK$5:$AK$276,'01_일별로그'!$AJ$5:$AJ$276,YEAR($A13)*100+MONTH($A13))</f>
        <v/>
      </c>
      <c r="R13" s="83">
        <f>IFERROR(1-Q13/P13,"")</f>
        <v/>
      </c>
      <c r="S13" s="164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158" t="n">
        <v>46204</v>
      </c>
      <c r="B14" s="51">
        <f>IFERROR(C13,"")</f>
        <v/>
      </c>
      <c r="C14" s="51">
        <f>IFERROR(LOOKUP(2,1/(('01_일별로그'!$AJ$5:$AJ$276=YEAR($A14)*100+MONTH($A14))*('01_일별로그'!$B$5:$B$276&lt;&gt;"")),'01_일별로그'!$B$5:$B$276),"")</f>
        <v/>
      </c>
      <c r="D14" s="81">
        <f>IFERROR(SUMIFS('01_일별로그'!$C$5:$C$276,'01_일별로그'!$AJ$5:$AJ$276,YEAR($A14)*100+MONTH($A14)),"")</f>
        <v/>
      </c>
      <c r="E14" s="53">
        <f>IFERROR(D14/B14,"")</f>
        <v/>
      </c>
      <c r="F14" s="53">
        <f>IFERROR(MINIFS('01_일별로그'!$E$5:$E$276,'01_일별로그'!$AJ$5:$AJ$276,YEAR($A14)*100+MONTH($A14)),"")</f>
        <v/>
      </c>
      <c r="G14" s="53">
        <f>IFERROR(AVERAGEIFS('01_일별로그'!$I$5:$I$276,'01_일별로그'!$AJ$5:$AJ$276,YEAR($A14)*100+MONTH($A14)),"")</f>
        <v/>
      </c>
      <c r="H14" s="53">
        <f>IFERROR(AVERAGEIFS('01_일별로그'!$H$5:$H$276,'01_일별로그'!$AJ$5:$AJ$276,YEAR($A14)*100+MONTH($A14)),"")</f>
        <v/>
      </c>
      <c r="I14" s="159">
        <f>IFERROR(AVERAGEIFS('01_일별로그'!$G$5:$G$276,'01_일별로그'!$AJ$5:$AJ$276,YEAR($A14)*100+MONTH($A14)),"")</f>
        <v/>
      </c>
      <c r="J14" s="51">
        <f>IFERROR(LOOKUP(2,1/(('01_일별로그'!$AJ$5:$AJ$276=YEAR($A14)*100+MONTH($A14))*('01_일별로그'!$J$5:$J$276&lt;&gt;"")),'01_일별로그'!$J$5:$J$276),"")</f>
        <v/>
      </c>
      <c r="K14" s="51">
        <f>IFERROR(LOOKUP(2,1/(('01_일별로그'!$AJ$5:$AJ$276=YEAR($A14)*100+MONTH($A14))*('01_일별로그'!$K$5:$K$276&lt;&gt;"")),'01_일별로그'!$K$5:$K$276),"")</f>
        <v/>
      </c>
      <c r="L14" s="51">
        <f>IFERROR(LOOKUP(2,1/(('01_일별로그'!$AJ$5:$AJ$276=YEAR($A14)*100+MONTH($A14))*('01_일별로그'!$L$5:$L$276&lt;&gt;"")),'01_일별로그'!$L$5:$L$276),"")</f>
        <v/>
      </c>
      <c r="M14" s="160">
        <f>IFERROR(SUMPRODUCT(('09_CF_원금'!$A$113:$A$126=$A14)*'09_CF_원금'!$E$113:$E$126),0)</f>
        <v/>
      </c>
      <c r="N14" s="160">
        <f>IF(MONTH($A14)=12,IFERROR(SUMPRODUCT(('09_CF_원금'!$A$133:$A$134=YEAR($A14))*'09_CF_원금'!$F$133:$F$134),0),0)</f>
        <v/>
      </c>
      <c r="O14" s="81">
        <f>IF(D14="","",D14-M14-N14)</f>
        <v/>
      </c>
      <c r="P14" s="72">
        <f>COUNTIFS('01_일별로그'!$AJ$5:$AJ$276,YEAR($A14)*100+MONTH($A14))</f>
        <v/>
      </c>
      <c r="Q14" s="161">
        <f>SUMIFS('01_일별로그'!$AK$5:$AK$276,'01_일별로그'!$AJ$5:$AJ$276,YEAR($A14)*100+MONTH($A14))</f>
        <v/>
      </c>
      <c r="R14" s="83">
        <f>IFERROR(1-Q14/P14,"")</f>
        <v/>
      </c>
      <c r="S14" s="164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158" t="n">
        <v>46235</v>
      </c>
      <c r="B15" s="51">
        <f>IFERROR(C14,"")</f>
        <v/>
      </c>
      <c r="C15" s="51">
        <f>IFERROR(LOOKUP(2,1/(('01_일별로그'!$AJ$5:$AJ$276=YEAR($A15)*100+MONTH($A15))*('01_일별로그'!$B$5:$B$276&lt;&gt;"")),'01_일별로그'!$B$5:$B$276),"")</f>
        <v/>
      </c>
      <c r="D15" s="81">
        <f>IFERROR(SUMIFS('01_일별로그'!$C$5:$C$276,'01_일별로그'!$AJ$5:$AJ$276,YEAR($A15)*100+MONTH($A15)),"")</f>
        <v/>
      </c>
      <c r="E15" s="53">
        <f>IFERROR(D15/B15,"")</f>
        <v/>
      </c>
      <c r="F15" s="53">
        <f>IFERROR(MINIFS('01_일별로그'!$E$5:$E$276,'01_일별로그'!$AJ$5:$AJ$276,YEAR($A15)*100+MONTH($A15)),"")</f>
        <v/>
      </c>
      <c r="G15" s="53">
        <f>IFERROR(AVERAGEIFS('01_일별로그'!$I$5:$I$276,'01_일별로그'!$AJ$5:$AJ$276,YEAR($A15)*100+MONTH($A15)),"")</f>
        <v/>
      </c>
      <c r="H15" s="53">
        <f>IFERROR(AVERAGEIFS('01_일별로그'!$H$5:$H$276,'01_일별로그'!$AJ$5:$AJ$276,YEAR($A15)*100+MONTH($A15)),"")</f>
        <v/>
      </c>
      <c r="I15" s="159">
        <f>IFERROR(AVERAGEIFS('01_일별로그'!$G$5:$G$276,'01_일별로그'!$AJ$5:$AJ$276,YEAR($A15)*100+MONTH($A15)),"")</f>
        <v/>
      </c>
      <c r="J15" s="51">
        <f>IFERROR(LOOKUP(2,1/(('01_일별로그'!$AJ$5:$AJ$276=YEAR($A15)*100+MONTH($A15))*('01_일별로그'!$J$5:$J$276&lt;&gt;"")),'01_일별로그'!$J$5:$J$276),"")</f>
        <v/>
      </c>
      <c r="K15" s="51">
        <f>IFERROR(LOOKUP(2,1/(('01_일별로그'!$AJ$5:$AJ$276=YEAR($A15)*100+MONTH($A15))*('01_일별로그'!$K$5:$K$276&lt;&gt;"")),'01_일별로그'!$K$5:$K$276),"")</f>
        <v/>
      </c>
      <c r="L15" s="51">
        <f>IFERROR(LOOKUP(2,1/(('01_일별로그'!$AJ$5:$AJ$276=YEAR($A15)*100+MONTH($A15))*('01_일별로그'!$L$5:$L$276&lt;&gt;"")),'01_일별로그'!$L$5:$L$276),"")</f>
        <v/>
      </c>
      <c r="M15" s="160">
        <f>IFERROR(SUMPRODUCT(('09_CF_원금'!$A$113:$A$126=$A15)*'09_CF_원금'!$E$113:$E$126),0)</f>
        <v/>
      </c>
      <c r="N15" s="160">
        <f>IF(MONTH($A15)=12,IFERROR(SUMPRODUCT(('09_CF_원금'!$A$133:$A$134=YEAR($A15))*'09_CF_원금'!$F$133:$F$134),0),0)</f>
        <v/>
      </c>
      <c r="O15" s="81">
        <f>IF(D15="","",D15-M15-N15)</f>
        <v/>
      </c>
      <c r="P15" s="72">
        <f>COUNTIFS('01_일별로그'!$AJ$5:$AJ$276,YEAR($A15)*100+MONTH($A15))</f>
        <v/>
      </c>
      <c r="Q15" s="161">
        <f>SUMIFS('01_일별로그'!$AK$5:$AK$276,'01_일별로그'!$AJ$5:$AJ$276,YEAR($A15)*100+MONTH($A15))</f>
        <v/>
      </c>
      <c r="R15" s="83">
        <f>IFERROR(1-Q15/P15,"")</f>
        <v/>
      </c>
      <c r="S15" s="164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158" t="n">
        <v>46266</v>
      </c>
      <c r="B16" s="51">
        <f>IFERROR(C15,"")</f>
        <v/>
      </c>
      <c r="C16" s="51">
        <f>IFERROR(LOOKUP(2,1/(('01_일별로그'!$AJ$5:$AJ$276=YEAR($A16)*100+MONTH($A16))*('01_일별로그'!$B$5:$B$276&lt;&gt;"")),'01_일별로그'!$B$5:$B$276),"")</f>
        <v/>
      </c>
      <c r="D16" s="81">
        <f>IFERROR(SUMIFS('01_일별로그'!$C$5:$C$276,'01_일별로그'!$AJ$5:$AJ$276,YEAR($A16)*100+MONTH($A16)),"")</f>
        <v/>
      </c>
      <c r="E16" s="53">
        <f>IFERROR(D16/B16,"")</f>
        <v/>
      </c>
      <c r="F16" s="53">
        <f>IFERROR(MINIFS('01_일별로그'!$E$5:$E$276,'01_일별로그'!$AJ$5:$AJ$276,YEAR($A16)*100+MONTH($A16)),"")</f>
        <v/>
      </c>
      <c r="G16" s="53">
        <f>IFERROR(AVERAGEIFS('01_일별로그'!$I$5:$I$276,'01_일별로그'!$AJ$5:$AJ$276,YEAR($A16)*100+MONTH($A16)),"")</f>
        <v/>
      </c>
      <c r="H16" s="53">
        <f>IFERROR(AVERAGEIFS('01_일별로그'!$H$5:$H$276,'01_일별로그'!$AJ$5:$AJ$276,YEAR($A16)*100+MONTH($A16)),"")</f>
        <v/>
      </c>
      <c r="I16" s="159">
        <f>IFERROR(AVERAGEIFS('01_일별로그'!$G$5:$G$276,'01_일별로그'!$AJ$5:$AJ$276,YEAR($A16)*100+MONTH($A16)),"")</f>
        <v/>
      </c>
      <c r="J16" s="51">
        <f>IFERROR(LOOKUP(2,1/(('01_일별로그'!$AJ$5:$AJ$276=YEAR($A16)*100+MONTH($A16))*('01_일별로그'!$J$5:$J$276&lt;&gt;"")),'01_일별로그'!$J$5:$J$276),"")</f>
        <v/>
      </c>
      <c r="K16" s="51">
        <f>IFERROR(LOOKUP(2,1/(('01_일별로그'!$AJ$5:$AJ$276=YEAR($A16)*100+MONTH($A16))*('01_일별로그'!$K$5:$K$276&lt;&gt;"")),'01_일별로그'!$K$5:$K$276),"")</f>
        <v/>
      </c>
      <c r="L16" s="51">
        <f>IFERROR(LOOKUP(2,1/(('01_일별로그'!$AJ$5:$AJ$276=YEAR($A16)*100+MONTH($A16))*('01_일별로그'!$L$5:$L$276&lt;&gt;"")),'01_일별로그'!$L$5:$L$276),"")</f>
        <v/>
      </c>
      <c r="M16" s="160">
        <f>IFERROR(SUMPRODUCT(('09_CF_원금'!$A$113:$A$126=$A16)*'09_CF_원금'!$E$113:$E$126),0)</f>
        <v/>
      </c>
      <c r="N16" s="160">
        <f>IF(MONTH($A16)=12,IFERROR(SUMPRODUCT(('09_CF_원금'!$A$133:$A$134=YEAR($A16))*'09_CF_원금'!$F$133:$F$134),0),0)</f>
        <v/>
      </c>
      <c r="O16" s="81">
        <f>IF(D16="","",D16-M16-N16)</f>
        <v/>
      </c>
      <c r="P16" s="72">
        <f>COUNTIFS('01_일별로그'!$AJ$5:$AJ$276,YEAR($A16)*100+MONTH($A16))</f>
        <v/>
      </c>
      <c r="Q16" s="161">
        <f>SUMIFS('01_일별로그'!$AK$5:$AK$276,'01_일별로그'!$AJ$5:$AJ$276,YEAR($A16)*100+MONTH($A16))</f>
        <v/>
      </c>
      <c r="R16" s="83">
        <f>IFERROR(1-Q16/P16,"")</f>
        <v/>
      </c>
      <c r="S16" s="164" t="n"/>
      <c r="T16" s="99" t="n"/>
      <c r="U16" s="99" t="n"/>
      <c r="V16" s="99" t="n"/>
      <c r="W16" s="99" t="n"/>
      <c r="X16" s="99" t="n"/>
      <c r="Y16" s="99" t="n"/>
      <c r="Z16" s="99" t="n"/>
    </row>
    <row r="17">
      <c r="A17" s="158" t="n">
        <v>46296</v>
      </c>
      <c r="B17" s="51">
        <f>IFERROR(C16,"")</f>
        <v/>
      </c>
      <c r="C17" s="51">
        <f>IFERROR(LOOKUP(2,1/(('01_일별로그'!$AJ$5:$AJ$276=YEAR($A17)*100+MONTH($A17))*('01_일별로그'!$B$5:$B$276&lt;&gt;"")),'01_일별로그'!$B$5:$B$276),"")</f>
        <v/>
      </c>
      <c r="D17" s="81">
        <f>IFERROR(SUMIFS('01_일별로그'!$C$5:$C$276,'01_일별로그'!$AJ$5:$AJ$276,YEAR($A17)*100+MONTH($A17)),"")</f>
        <v/>
      </c>
      <c r="E17" s="53">
        <f>IFERROR(D17/B17,"")</f>
        <v/>
      </c>
      <c r="F17" s="53">
        <f>IFERROR(MINIFS('01_일별로그'!$E$5:$E$276,'01_일별로그'!$AJ$5:$AJ$276,YEAR($A17)*100+MONTH($A17)),"")</f>
        <v/>
      </c>
      <c r="G17" s="53">
        <f>IFERROR(AVERAGEIFS('01_일별로그'!$I$5:$I$276,'01_일별로그'!$AJ$5:$AJ$276,YEAR($A17)*100+MONTH($A17)),"")</f>
        <v/>
      </c>
      <c r="H17" s="53">
        <f>IFERROR(AVERAGEIFS('01_일별로그'!$H$5:$H$276,'01_일별로그'!$AJ$5:$AJ$276,YEAR($A17)*100+MONTH($A17)),"")</f>
        <v/>
      </c>
      <c r="I17" s="159">
        <f>IFERROR(AVERAGEIFS('01_일별로그'!$G$5:$G$276,'01_일별로그'!$AJ$5:$AJ$276,YEAR($A17)*100+MONTH($A17)),"")</f>
        <v/>
      </c>
      <c r="J17" s="51">
        <f>IFERROR(LOOKUP(2,1/(('01_일별로그'!$AJ$5:$AJ$276=YEAR($A17)*100+MONTH($A17))*('01_일별로그'!$J$5:$J$276&lt;&gt;"")),'01_일별로그'!$J$5:$J$276),"")</f>
        <v/>
      </c>
      <c r="K17" s="51">
        <f>IFERROR(LOOKUP(2,1/(('01_일별로그'!$AJ$5:$AJ$276=YEAR($A17)*100+MONTH($A17))*('01_일별로그'!$K$5:$K$276&lt;&gt;"")),'01_일별로그'!$K$5:$K$276),"")</f>
        <v/>
      </c>
      <c r="L17" s="51">
        <f>IFERROR(LOOKUP(2,1/(('01_일별로그'!$AJ$5:$AJ$276=YEAR($A17)*100+MONTH($A17))*('01_일별로그'!$L$5:$L$276&lt;&gt;"")),'01_일별로그'!$L$5:$L$276),"")</f>
        <v/>
      </c>
      <c r="M17" s="160">
        <f>IFERROR(SUMPRODUCT(('09_CF_원금'!$A$113:$A$126=$A17)*'09_CF_원금'!$E$113:$E$126),0)</f>
        <v/>
      </c>
      <c r="N17" s="160">
        <f>IF(MONTH($A17)=12,IFERROR(SUMPRODUCT(('09_CF_원금'!$A$133:$A$134=YEAR($A17))*'09_CF_원금'!$F$133:$F$134),0),0)</f>
        <v/>
      </c>
      <c r="O17" s="81">
        <f>IF(D17="","",D17-M17-N17)</f>
        <v/>
      </c>
      <c r="P17" s="72">
        <f>COUNTIFS('01_일별로그'!$AJ$5:$AJ$276,YEAR($A17)*100+MONTH($A17))</f>
        <v/>
      </c>
      <c r="Q17" s="161">
        <f>SUMIFS('01_일별로그'!$AK$5:$AK$276,'01_일별로그'!$AJ$5:$AJ$276,YEAR($A17)*100+MONTH($A17))</f>
        <v/>
      </c>
      <c r="R17" s="83">
        <f>IFERROR(1-Q17/P17,"")</f>
        <v/>
      </c>
      <c r="S17" s="164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158" t="n">
        <v>46327</v>
      </c>
      <c r="B18" s="51">
        <f>IFERROR(C17,"")</f>
        <v/>
      </c>
      <c r="C18" s="51">
        <f>IFERROR(LOOKUP(2,1/(('01_일별로그'!$AJ$5:$AJ$276=YEAR($A18)*100+MONTH($A18))*('01_일별로그'!$B$5:$B$276&lt;&gt;"")),'01_일별로그'!$B$5:$B$276),"")</f>
        <v/>
      </c>
      <c r="D18" s="81">
        <f>IFERROR(SUMIFS('01_일별로그'!$C$5:$C$276,'01_일별로그'!$AJ$5:$AJ$276,YEAR($A18)*100+MONTH($A18)),"")</f>
        <v/>
      </c>
      <c r="E18" s="53">
        <f>IFERROR(D18/B18,"")</f>
        <v/>
      </c>
      <c r="F18" s="53">
        <f>IFERROR(MINIFS('01_일별로그'!$E$5:$E$276,'01_일별로그'!$AJ$5:$AJ$276,YEAR($A18)*100+MONTH($A18)),"")</f>
        <v/>
      </c>
      <c r="G18" s="53">
        <f>IFERROR(AVERAGEIFS('01_일별로그'!$I$5:$I$276,'01_일별로그'!$AJ$5:$AJ$276,YEAR($A18)*100+MONTH($A18)),"")</f>
        <v/>
      </c>
      <c r="H18" s="53">
        <f>IFERROR(AVERAGEIFS('01_일별로그'!$H$5:$H$276,'01_일별로그'!$AJ$5:$AJ$276,YEAR($A18)*100+MONTH($A18)),"")</f>
        <v/>
      </c>
      <c r="I18" s="159">
        <f>IFERROR(AVERAGEIFS('01_일별로그'!$G$5:$G$276,'01_일별로그'!$AJ$5:$AJ$276,YEAR($A18)*100+MONTH($A18)),"")</f>
        <v/>
      </c>
      <c r="J18" s="51">
        <f>IFERROR(LOOKUP(2,1/(('01_일별로그'!$AJ$5:$AJ$276=YEAR($A18)*100+MONTH($A18))*('01_일별로그'!$J$5:$J$276&lt;&gt;"")),'01_일별로그'!$J$5:$J$276),"")</f>
        <v/>
      </c>
      <c r="K18" s="51">
        <f>IFERROR(LOOKUP(2,1/(('01_일별로그'!$AJ$5:$AJ$276=YEAR($A18)*100+MONTH($A18))*('01_일별로그'!$K$5:$K$276&lt;&gt;"")),'01_일별로그'!$K$5:$K$276),"")</f>
        <v/>
      </c>
      <c r="L18" s="51">
        <f>IFERROR(LOOKUP(2,1/(('01_일별로그'!$AJ$5:$AJ$276=YEAR($A18)*100+MONTH($A18))*('01_일별로그'!$L$5:$L$276&lt;&gt;"")),'01_일별로그'!$L$5:$L$276),"")</f>
        <v/>
      </c>
      <c r="M18" s="160">
        <f>IFERROR(SUMPRODUCT(('09_CF_원금'!$A$113:$A$126=$A18)*'09_CF_원금'!$E$113:$E$126),0)</f>
        <v/>
      </c>
      <c r="N18" s="160">
        <f>IF(MONTH($A18)=12,IFERROR(SUMPRODUCT(('09_CF_원금'!$A$133:$A$134=YEAR($A18))*'09_CF_원금'!$F$133:$F$134),0),0)</f>
        <v/>
      </c>
      <c r="O18" s="81">
        <f>IF(D18="","",D18-M18-N18)</f>
        <v/>
      </c>
      <c r="P18" s="72">
        <f>COUNTIFS('01_일별로그'!$AJ$5:$AJ$276,YEAR($A18)*100+MONTH($A18))</f>
        <v/>
      </c>
      <c r="Q18" s="161">
        <f>SUMIFS('01_일별로그'!$AK$5:$AK$276,'01_일별로그'!$AJ$5:$AJ$276,YEAR($A18)*100+MONTH($A18))</f>
        <v/>
      </c>
      <c r="R18" s="83">
        <f>IFERROR(1-Q18/P18,"")</f>
        <v/>
      </c>
      <c r="S18" s="164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158" t="n">
        <v>46357</v>
      </c>
      <c r="B19" s="51">
        <f>IFERROR(C18,"")</f>
        <v/>
      </c>
      <c r="C19" s="51">
        <f>IFERROR(LOOKUP(2,1/(('01_일별로그'!$AJ$5:$AJ$276=YEAR($A19)*100+MONTH($A19))*('01_일별로그'!$B$5:$B$276&lt;&gt;"")),'01_일별로그'!$B$5:$B$276),"")</f>
        <v/>
      </c>
      <c r="D19" s="81">
        <f>IFERROR(SUMIFS('01_일별로그'!$C$5:$C$276,'01_일별로그'!$AJ$5:$AJ$276,YEAR($A19)*100+MONTH($A19)),"")</f>
        <v/>
      </c>
      <c r="E19" s="53">
        <f>IFERROR(D19/B19,"")</f>
        <v/>
      </c>
      <c r="F19" s="53">
        <f>IFERROR(MINIFS('01_일별로그'!$E$5:$E$276,'01_일별로그'!$AJ$5:$AJ$276,YEAR($A19)*100+MONTH($A19)),"")</f>
        <v/>
      </c>
      <c r="G19" s="53">
        <f>IFERROR(AVERAGEIFS('01_일별로그'!$I$5:$I$276,'01_일별로그'!$AJ$5:$AJ$276,YEAR($A19)*100+MONTH($A19)),"")</f>
        <v/>
      </c>
      <c r="H19" s="53">
        <f>IFERROR(AVERAGEIFS('01_일별로그'!$H$5:$H$276,'01_일별로그'!$AJ$5:$AJ$276,YEAR($A19)*100+MONTH($A19)),"")</f>
        <v/>
      </c>
      <c r="I19" s="159">
        <f>IFERROR(AVERAGEIFS('01_일별로그'!$G$5:$G$276,'01_일별로그'!$AJ$5:$AJ$276,YEAR($A19)*100+MONTH($A19)),"")</f>
        <v/>
      </c>
      <c r="J19" s="51">
        <f>IFERROR(LOOKUP(2,1/(('01_일별로그'!$AJ$5:$AJ$276=YEAR($A19)*100+MONTH($A19))*('01_일별로그'!$J$5:$J$276&lt;&gt;"")),'01_일별로그'!$J$5:$J$276),"")</f>
        <v/>
      </c>
      <c r="K19" s="51">
        <f>IFERROR(LOOKUP(2,1/(('01_일별로그'!$AJ$5:$AJ$276=YEAR($A19)*100+MONTH($A19))*('01_일별로그'!$K$5:$K$276&lt;&gt;"")),'01_일별로그'!$K$5:$K$276),"")</f>
        <v/>
      </c>
      <c r="L19" s="51">
        <f>IFERROR(LOOKUP(2,1/(('01_일별로그'!$AJ$5:$AJ$276=YEAR($A19)*100+MONTH($A19))*('01_일별로그'!$L$5:$L$276&lt;&gt;"")),'01_일별로그'!$L$5:$L$276),"")</f>
        <v/>
      </c>
      <c r="M19" s="160">
        <f>IFERROR(SUMPRODUCT(('09_CF_원금'!$A$113:$A$126=$A19)*'09_CF_원금'!$E$113:$E$126),0)</f>
        <v/>
      </c>
      <c r="N19" s="160">
        <f>IF(MONTH($A19)=12,IFERROR(SUMPRODUCT(('09_CF_원금'!$A$133:$A$134=YEAR($A19))*'09_CF_원금'!$F$133:$F$134),0),0)</f>
        <v/>
      </c>
      <c r="O19" s="81">
        <f>IF(D19="","",D19-M19-N19)</f>
        <v/>
      </c>
      <c r="P19" s="72">
        <f>COUNTIFS('01_일별로그'!$AJ$5:$AJ$276,YEAR($A19)*100+MONTH($A19))</f>
        <v/>
      </c>
      <c r="Q19" s="161">
        <f>SUMIFS('01_일별로그'!$AK$5:$AK$276,'01_일별로그'!$AJ$5:$AJ$276,YEAR($A19)*100+MONTH($A19))</f>
        <v/>
      </c>
      <c r="R19" s="83">
        <f>IFERROR(1-Q19/P19,"")</f>
        <v/>
      </c>
      <c r="S19" s="164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99" t="n"/>
      <c r="B20" s="99" t="n"/>
      <c r="C20" s="99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99" t="n"/>
      <c r="B21" s="99" t="n"/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99" t="n"/>
      <c r="B22" s="99" t="n"/>
      <c r="C22" s="99" t="n"/>
      <c r="D22" s="99" t="n"/>
      <c r="E22" s="99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99" t="n"/>
      <c r="B23" s="99" t="n"/>
      <c r="C23" s="99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99" t="n"/>
      <c r="B24" s="99" t="n"/>
      <c r="C24" s="99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99" t="n"/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99" t="n"/>
      <c r="B26" s="99" t="n"/>
      <c r="C26" s="99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99" t="n"/>
      <c r="B27" s="99" t="n"/>
      <c r="C27" s="99" t="n"/>
      <c r="D27" s="99" t="n"/>
      <c r="E27" s="99" t="n"/>
      <c r="F27" s="99" t="n"/>
      <c r="G27" s="99" t="n"/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99" t="n"/>
      <c r="B28" s="99" t="n"/>
      <c r="C28" s="99" t="n"/>
      <c r="D28" s="99" t="n"/>
      <c r="E28" s="99" t="n"/>
      <c r="F28" s="99" t="n"/>
      <c r="G28" s="99" t="n"/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99" t="n"/>
      <c r="B29" s="99" t="n"/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99" t="n"/>
      <c r="B30" s="99" t="n"/>
      <c r="C30" s="99" t="n"/>
      <c r="D30" s="99" t="n"/>
      <c r="E30" s="99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99" t="n"/>
      <c r="B31" s="99" t="n"/>
      <c r="C31" s="99" t="n"/>
      <c r="D31" s="99" t="n"/>
      <c r="E31" s="99" t="n"/>
      <c r="F31" s="99" t="n"/>
      <c r="G31" s="99" t="n"/>
      <c r="H31" s="99" t="n"/>
      <c r="I31" s="99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99" t="n"/>
      <c r="B32" s="99" t="n"/>
      <c r="C32" s="99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99" t="n"/>
      <c r="B33" s="99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99" t="n"/>
      <c r="B34" s="99" t="n"/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99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99" t="n"/>
      <c r="B36" s="99" t="n"/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99" t="n"/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99" t="n"/>
      <c r="B39" s="99" t="n"/>
      <c r="C39" s="99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99" t="n"/>
      <c r="B40" s="99" t="n"/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99" t="n"/>
      <c r="B41" s="99" t="n"/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99" t="n"/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99" t="n"/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9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9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9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9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9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9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9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9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9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9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9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9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9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9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9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9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9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9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1">
    <mergeCell ref="A1:S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9" min="1" max="6"/>
  </cols>
  <sheetData>
    <row r="1">
      <c r="A1" s="180" t="inlineStr">
        <is>
          <t>⑧ 추이 차트</t>
        </is>
      </c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99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99" t="n"/>
      <c r="B4" s="99" t="n"/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>
      <c r="A5" s="99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>
      <c r="A6" s="99" t="n"/>
      <c r="B6" s="99" t="n"/>
      <c r="C6" s="99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99" t="n"/>
      <c r="B7" s="99" t="n"/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99" t="n"/>
      <c r="B8" s="99" t="n"/>
      <c r="C8" s="99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99" t="n"/>
      <c r="B9" s="99" t="n"/>
      <c r="C9" s="99" t="n"/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99" t="n"/>
      <c r="B10" s="99" t="n"/>
      <c r="C10" s="99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99" t="n"/>
      <c r="B11" s="99" t="n"/>
      <c r="C11" s="99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99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99" t="n"/>
      <c r="B13" s="99" t="n"/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99" t="n"/>
      <c r="B14" s="99" t="n"/>
      <c r="C14" s="99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99" t="n"/>
      <c r="B15" s="99" t="n"/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99" t="n"/>
      <c r="B16" s="99" t="n"/>
      <c r="C16" s="99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>
      <c r="A17" s="99" t="n"/>
      <c r="B17" s="99" t="n"/>
      <c r="C17" s="99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99" t="n"/>
      <c r="B18" s="99" t="n"/>
      <c r="C18" s="99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99" t="n"/>
      <c r="B19" s="99" t="n"/>
      <c r="C19" s="99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99" t="n"/>
      <c r="B20" s="99" t="n"/>
      <c r="C20" s="99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99" t="n"/>
      <c r="B21" s="99" t="n"/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99" t="n"/>
      <c r="B22" s="99" t="n"/>
      <c r="C22" s="99" t="n"/>
      <c r="D22" s="99" t="n"/>
      <c r="E22" s="99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99" t="n"/>
      <c r="B23" s="99" t="n"/>
      <c r="C23" s="99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99" t="n"/>
      <c r="B24" s="99" t="n"/>
      <c r="C24" s="99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99" t="n"/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99" t="n"/>
      <c r="B26" s="99" t="n"/>
      <c r="C26" s="99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99" t="n"/>
      <c r="B27" s="99" t="n"/>
      <c r="C27" s="99" t="n"/>
      <c r="D27" s="99" t="n"/>
      <c r="E27" s="99" t="n"/>
      <c r="F27" s="99" t="n"/>
      <c r="G27" s="99" t="n"/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99" t="n"/>
      <c r="B28" s="99" t="n"/>
      <c r="C28" s="99" t="n"/>
      <c r="D28" s="99" t="n"/>
      <c r="E28" s="99" t="n"/>
      <c r="F28" s="99" t="n"/>
      <c r="G28" s="99" t="n"/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99" t="n"/>
      <c r="B29" s="99" t="n"/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99" t="n"/>
      <c r="B30" s="99" t="n"/>
      <c r="C30" s="99" t="n"/>
      <c r="D30" s="99" t="n"/>
      <c r="E30" s="99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99" t="n"/>
      <c r="B31" s="99" t="n"/>
      <c r="C31" s="99" t="n"/>
      <c r="D31" s="99" t="n"/>
      <c r="E31" s="99" t="n"/>
      <c r="F31" s="99" t="n"/>
      <c r="G31" s="99" t="n"/>
      <c r="H31" s="99" t="n"/>
      <c r="I31" s="99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99" t="n"/>
      <c r="B32" s="99" t="n"/>
      <c r="C32" s="99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99" t="n"/>
      <c r="B33" s="99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99" t="n"/>
      <c r="B34" s="99" t="n"/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99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99" t="n"/>
      <c r="B36" s="99" t="n"/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99" t="n"/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99" t="n"/>
      <c r="B39" s="99" t="n"/>
      <c r="C39" s="99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99" t="n"/>
      <c r="B40" s="99" t="n"/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99" t="n"/>
      <c r="B41" s="99" t="n"/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99" t="n"/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99" t="n"/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9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9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9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9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9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9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9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9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9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9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9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9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9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9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9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9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9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9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1">
    <mergeCell ref="A1:F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6" customWidth="1" style="179" min="1" max="1"/>
    <col width="18" customWidth="1" style="179" min="2" max="2"/>
    <col width="16" customWidth="1" style="179" min="3" max="6"/>
    <col width="46" customWidth="1" style="179" min="7" max="7"/>
    <col width="16" customWidth="1" style="179" min="8" max="12"/>
  </cols>
  <sheetData>
    <row r="1">
      <c r="A1" s="180" t="inlineStr">
        <is>
          <t>⑤ 현금흐름 &amp; 계좌별 원금</t>
        </is>
      </c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5" t="inlineStr">
        <is>
          <t>계좌 간 이체는 '손익'이 아니라 '원금 이동'입니다. H~K열은 그 시점까지의 누적 순투입 원금입니다 (평가잔고가 아님).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>
      <c r="A4" s="181" t="inlineStr">
        <is>
          <t>Ⅰ. 거래 원장  +  계좌별 누적 순투입 원금 추이</t>
        </is>
      </c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>
      <c r="A5" s="9" t="inlineStr">
        <is>
          <t>거래일</t>
        </is>
      </c>
      <c r="B5" s="9" t="inlineStr">
        <is>
          <t>유형</t>
        </is>
      </c>
      <c r="C5" s="9" t="inlineStr">
        <is>
          <t>출금 계좌</t>
        </is>
      </c>
      <c r="D5" s="9" t="inlineStr">
        <is>
          <t>입금 계좌</t>
        </is>
      </c>
      <c r="E5" s="9" t="inlineStr">
        <is>
          <t>금액</t>
        </is>
      </c>
      <c r="F5" s="9" t="inlineStr">
        <is>
          <t>자금 성격</t>
        </is>
      </c>
      <c r="G5" s="9" t="inlineStr">
        <is>
          <t>메모</t>
        </is>
      </c>
      <c r="H5" s="9" t="inlineStr">
        <is>
          <t>국장
누적원금</t>
        </is>
      </c>
      <c r="I5" s="9" t="inlineStr">
        <is>
          <t>미장
누적원금</t>
        </is>
      </c>
      <c r="J5" s="9" t="inlineStr">
        <is>
          <t>ISA
누적원금</t>
        </is>
      </c>
      <c r="K5" s="9" t="inlineStr">
        <is>
          <t>기타
누적원금</t>
        </is>
      </c>
      <c r="L5" s="9" t="inlineStr">
        <is>
          <t>합산</t>
        </is>
      </c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>
      <c r="A6" s="162" t="n">
        <v>45979</v>
      </c>
      <c r="B6" s="163" t="inlineStr">
        <is>
          <t>개시잔액</t>
        </is>
      </c>
      <c r="C6" s="163" t="n"/>
      <c r="D6" s="163" t="inlineStr">
        <is>
          <t>미장</t>
        </is>
      </c>
      <c r="E6" s="19" t="n">
        <v>150000000</v>
      </c>
      <c r="F6" s="163" t="inlineStr">
        <is>
          <t>대출+자기자금</t>
        </is>
      </c>
      <c r="G6" s="164" t="inlineStr">
        <is>
          <t>'25.11.18 기준 개시 잔액</t>
        </is>
      </c>
      <c r="H6" s="51">
        <f>IF($A6="","",SUMIFS($E$6:$E6,$D$6:$D6,"국장")-SUMIFS($E$6:$E6,$C$6:$C6,"국장"))</f>
        <v/>
      </c>
      <c r="I6" s="51">
        <f>IF($A6="","",SUMIFS($E$6:$E6,$D$6:$D6,"미장")-SUMIFS($E$6:$E6,$C$6:$C6,"미장"))</f>
        <v/>
      </c>
      <c r="J6" s="51">
        <f>IF($A6="","",SUMIFS($E$6:$E6,$D$6:$D6,"ISA")-SUMIFS($E$6:$E6,$C$6:$C6,"ISA"))</f>
        <v/>
      </c>
      <c r="K6" s="51">
        <f>IF($A6="","",SUMIFS($E$6:$E6,$D$6:$D6,"중국")-SUMIFS($E$6:$E6,$C$6:$C6,"중국")+SUMIFS($E$6:$E6,$D$6:$D6,"업비트")-SUMIFS($E$6:$E6,$C$6:$C6,"업비트"))</f>
        <v/>
      </c>
      <c r="L6" s="51">
        <f>sum(H6:K6)</f>
        <v/>
      </c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162" t="n">
        <v>45979</v>
      </c>
      <c r="B7" s="163" t="inlineStr">
        <is>
          <t>개시잔액</t>
        </is>
      </c>
      <c r="C7" s="163" t="n"/>
      <c r="D7" s="163" t="inlineStr">
        <is>
          <t>국장</t>
        </is>
      </c>
      <c r="E7" s="19" t="n">
        <v>80000000</v>
      </c>
      <c r="F7" s="163" t="inlineStr">
        <is>
          <t>대출+자기자금</t>
        </is>
      </c>
      <c r="G7" s="164" t="inlineStr">
        <is>
          <t>'25.11.18 기준 개시 잔액</t>
        </is>
      </c>
      <c r="H7" s="51">
        <f>IF($A7="","",SUMIFS($E$6:$E7,$D$6:$D7,"국장")-SUMIFS($E$6:$E7,$C$6:$C7,"국장"))</f>
        <v/>
      </c>
      <c r="I7" s="51">
        <f>IF($A7="","",SUMIFS($E$6:$E7,$D$6:$D7,"미장")-SUMIFS($E$6:$E7,$C$6:$C7,"미장"))</f>
        <v/>
      </c>
      <c r="J7" s="51">
        <f>IF($A7="","",SUMIFS($E$6:$E7,$D$6:$D7,"ISA")-SUMIFS($E$6:$E7,$C$6:$C7,"ISA"))</f>
        <v/>
      </c>
      <c r="K7" s="51">
        <f>IF($A7="","",SUMIFS($E$6:$E7,$D$6:$D7,"중국")-SUMIFS($E$6:$E7,$C$6:$C7,"중국")+SUMIFS($E$6:$E7,$D$6:$D7,"업비트")-SUMIFS($E$6:$E7,$C$6:$C7,"업비트"))</f>
        <v/>
      </c>
      <c r="L7" s="51">
        <f>sum(H7:K7)</f>
        <v/>
      </c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162" t="n">
        <v>45979</v>
      </c>
      <c r="B8" s="163" t="inlineStr">
        <is>
          <t>개시잔액</t>
        </is>
      </c>
      <c r="C8" s="163" t="n"/>
      <c r="D8" s="163" t="inlineStr">
        <is>
          <t>ISA</t>
        </is>
      </c>
      <c r="E8" s="19" t="n">
        <v>40000000</v>
      </c>
      <c r="F8" s="163" t="inlineStr">
        <is>
          <t>대출+자기자금</t>
        </is>
      </c>
      <c r="G8" s="164" t="inlineStr">
        <is>
          <t>'25.11.18 기준 개시 잔액</t>
        </is>
      </c>
      <c r="H8" s="51">
        <f>IF($A8="","",SUMIFS($E$6:$E8,$D$6:$D8,"국장")-SUMIFS($E$6:$E8,$C$6:$C8,"국장"))</f>
        <v/>
      </c>
      <c r="I8" s="51">
        <f>IF($A8="","",SUMIFS($E$6:$E8,$D$6:$D8,"미장")-SUMIFS($E$6:$E8,$C$6:$C8,"미장"))</f>
        <v/>
      </c>
      <c r="J8" s="51">
        <f>IF($A8="","",SUMIFS($E$6:$E8,$D$6:$D8,"ISA")-SUMIFS($E$6:$E8,$C$6:$C8,"ISA"))</f>
        <v/>
      </c>
      <c r="K8" s="51">
        <f>IF($A8="","",SUMIFS($E$6:$E8,$D$6:$D8,"중국")-SUMIFS($E$6:$E8,$C$6:$C8,"중국")+SUMIFS($E$6:$E8,$D$6:$D8,"업비트")-SUMIFS($E$6:$E8,$C$6:$C8,"업비트"))</f>
        <v/>
      </c>
      <c r="L8" s="51">
        <f>sum(H8:K8)</f>
        <v/>
      </c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>
      <c r="A9" s="162" t="n">
        <v>45979</v>
      </c>
      <c r="B9" s="163" t="inlineStr">
        <is>
          <t>개시잔액</t>
        </is>
      </c>
      <c r="C9" s="163" t="n"/>
      <c r="D9" s="163" t="inlineStr">
        <is>
          <t>중국</t>
        </is>
      </c>
      <c r="E9" s="19" t="n">
        <v>33000000</v>
      </c>
      <c r="F9" s="163" t="inlineStr">
        <is>
          <t>대출+자기자금</t>
        </is>
      </c>
      <c r="G9" s="164" t="inlineStr">
        <is>
          <t>'25.11.18 기준 개시 잔액</t>
        </is>
      </c>
      <c r="H9" s="51">
        <f>IF($A9="","",SUMIFS($E$6:$E9,$D$6:$D9,"국장")-SUMIFS($E$6:$E9,$C$6:$C9,"국장"))</f>
        <v/>
      </c>
      <c r="I9" s="51">
        <f>IF($A9="","",SUMIFS($E$6:$E9,$D$6:$D9,"미장")-SUMIFS($E$6:$E9,$C$6:$C9,"미장"))</f>
        <v/>
      </c>
      <c r="J9" s="51">
        <f>IF($A9="","",SUMIFS($E$6:$E9,$D$6:$D9,"ISA")-SUMIFS($E$6:$E9,$C$6:$C9,"ISA"))</f>
        <v/>
      </c>
      <c r="K9" s="51">
        <f>IF($A9="","",SUMIFS($E$6:$E9,$D$6:$D9,"중국")-SUMIFS($E$6:$E9,$C$6:$C9,"중국")+SUMIFS($E$6:$E9,$D$6:$D9,"업비트")-SUMIFS($E$6:$E9,$C$6:$C9,"업비트"))</f>
        <v/>
      </c>
      <c r="L9" s="51">
        <f>sum(H9:K9)</f>
        <v/>
      </c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>
      <c r="A10" s="162" t="n">
        <v>45986</v>
      </c>
      <c r="B10" s="163" t="inlineStr">
        <is>
          <t>외부입금</t>
        </is>
      </c>
      <c r="C10" s="163" t="n"/>
      <c r="D10" s="163" t="inlineStr">
        <is>
          <t>업비트</t>
        </is>
      </c>
      <c r="E10" s="19" t="n">
        <v>40000000</v>
      </c>
      <c r="F10" s="163" t="inlineStr">
        <is>
          <t>대출금</t>
        </is>
      </c>
      <c r="G10" s="164" t="inlineStr">
        <is>
          <t>생활안정자금 실행분 4천만원 입금 (11/25) 후 업비트 투입</t>
        </is>
      </c>
      <c r="H10" s="51">
        <f>IF($A10="","",SUMIFS($E$6:$E10,$D$6:$D10,"국장")-SUMIFS($E$6:$E10,$C$6:$C10,"국장"))</f>
        <v/>
      </c>
      <c r="I10" s="51">
        <f>IF($A10="","",SUMIFS($E$6:$E10,$D$6:$D10,"미장")-SUMIFS($E$6:$E10,$C$6:$C10,"미장"))</f>
        <v/>
      </c>
      <c r="J10" s="51">
        <f>IF($A10="","",SUMIFS($E$6:$E10,$D$6:$D10,"ISA")-SUMIFS($E$6:$E10,$C$6:$C10,"ISA"))</f>
        <v/>
      </c>
      <c r="K10" s="51">
        <f>IF($A10="","",SUMIFS($E$6:$E10,$D$6:$D10,"중국")-SUMIFS($E$6:$E10,$C$6:$C10,"중국")+SUMIFS($E$6:$E10,$D$6:$D10,"업비트")-SUMIFS($E$6:$E10,$C$6:$C10,"업비트"))</f>
        <v/>
      </c>
      <c r="L10" s="51">
        <f>sum(H10:K10)</f>
        <v/>
      </c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>
      <c r="A11" s="162" t="n">
        <v>45988</v>
      </c>
      <c r="B11" s="163" t="inlineStr">
        <is>
          <t>계좌간이체</t>
        </is>
      </c>
      <c r="C11" s="163" t="inlineStr">
        <is>
          <t>업비트</t>
        </is>
      </c>
      <c r="D11" s="163" t="inlineStr">
        <is>
          <t>국장</t>
        </is>
      </c>
      <c r="E11" s="19" t="n">
        <v>20000000</v>
      </c>
      <c r="F11" s="163" t="n"/>
      <c r="G11" s="164" t="inlineStr">
        <is>
          <t>생활안정자금 4천 중 총 2천 국장 바이오 투입</t>
        </is>
      </c>
      <c r="H11" s="51">
        <f>IF($A11="","",SUMIFS($E$6:$E11,$D$6:$D11,"국장")-SUMIFS($E$6:$E11,$C$6:$C11,"국장"))</f>
        <v/>
      </c>
      <c r="I11" s="51">
        <f>IF($A11="","",SUMIFS($E$6:$E11,$D$6:$D11,"미장")-SUMIFS($E$6:$E11,$C$6:$C11,"미장"))</f>
        <v/>
      </c>
      <c r="J11" s="51">
        <f>IF($A11="","",SUMIFS($E$6:$E11,$D$6:$D11,"ISA")-SUMIFS($E$6:$E11,$C$6:$C11,"ISA"))</f>
        <v/>
      </c>
      <c r="K11" s="51">
        <f>IF($A11="","",SUMIFS($E$6:$E11,$D$6:$D11,"중국")-SUMIFS($E$6:$E11,$C$6:$C11,"중국")+SUMIFS($E$6:$E11,$D$6:$D11,"업비트")-SUMIFS($E$6:$E11,$C$6:$C11,"업비트"))</f>
        <v/>
      </c>
      <c r="L11" s="51">
        <f>sum(H11:K11)</f>
        <v/>
      </c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>
      <c r="A12" s="162" t="n">
        <v>45989</v>
      </c>
      <c r="B12" s="163" t="inlineStr">
        <is>
          <t>계좌간이체</t>
        </is>
      </c>
      <c r="C12" s="163" t="inlineStr">
        <is>
          <t>업비트</t>
        </is>
      </c>
      <c r="D12" s="163" t="inlineStr">
        <is>
          <t>국장</t>
        </is>
      </c>
      <c r="E12" s="19" t="n">
        <v>10000000</v>
      </c>
      <c r="F12" s="163" t="n"/>
      <c r="G12" s="164" t="inlineStr">
        <is>
          <t>생활안정자금 4천 중 총 3천 국장 바이오 투입</t>
        </is>
      </c>
      <c r="H12" s="51">
        <f>IF($A12="","",SUMIFS($E$6:$E12,$D$6:$D12,"국장")-SUMIFS($E$6:$E12,$C$6:$C12,"국장"))</f>
        <v/>
      </c>
      <c r="I12" s="51">
        <f>IF($A12="","",SUMIFS($E$6:$E12,$D$6:$D12,"미장")-SUMIFS($E$6:$E12,$C$6:$C12,"미장"))</f>
        <v/>
      </c>
      <c r="J12" s="51">
        <f>IF($A12="","",SUMIFS($E$6:$E12,$D$6:$D12,"ISA")-SUMIFS($E$6:$E12,$C$6:$C12,"ISA"))</f>
        <v/>
      </c>
      <c r="K12" s="51">
        <f>IF($A12="","",SUMIFS($E$6:$E12,$D$6:$D12,"중국")-SUMIFS($E$6:$E12,$C$6:$C12,"중국")+SUMIFS($E$6:$E12,$D$6:$D12,"업비트")-SUMIFS($E$6:$E12,$C$6:$C12,"업비트"))</f>
        <v/>
      </c>
      <c r="L12" s="51">
        <f>sum(H12:K12)</f>
        <v/>
      </c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>
      <c r="A13" s="162" t="n">
        <v>45992</v>
      </c>
      <c r="B13" s="163" t="inlineStr">
        <is>
          <t>계좌간이체</t>
        </is>
      </c>
      <c r="C13" s="163" t="inlineStr">
        <is>
          <t>국장</t>
        </is>
      </c>
      <c r="D13" s="163" t="inlineStr">
        <is>
          <t>업비트</t>
        </is>
      </c>
      <c r="E13" s="19" t="n">
        <v>5000000</v>
      </c>
      <c r="F13" s="163" t="n"/>
      <c r="G13" s="164" t="n"/>
      <c r="H13" s="51">
        <f>IF($A13="","",SUMIFS($E$6:$E13,$D$6:$D13,"국장")-SUMIFS($E$6:$E13,$C$6:$C13,"국장"))</f>
        <v/>
      </c>
      <c r="I13" s="51">
        <f>IF($A13="","",SUMIFS($E$6:$E13,$D$6:$D13,"미장")-SUMIFS($E$6:$E13,$C$6:$C13,"미장"))</f>
        <v/>
      </c>
      <c r="J13" s="51">
        <f>IF($A13="","",SUMIFS($E$6:$E13,$D$6:$D13,"ISA")-SUMIFS($E$6:$E13,$C$6:$C13,"ISA"))</f>
        <v/>
      </c>
      <c r="K13" s="51">
        <f>IF($A13="","",SUMIFS($E$6:$E13,$D$6:$D13,"중국")-SUMIFS($E$6:$E13,$C$6:$C13,"중국")+SUMIFS($E$6:$E13,$D$6:$D13,"업비트")-SUMIFS($E$6:$E13,$C$6:$C13,"업비트"))</f>
        <v/>
      </c>
      <c r="L13" s="51">
        <f>sum(H13:K13)</f>
        <v/>
      </c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>
      <c r="A14" s="162" t="n">
        <v>45999</v>
      </c>
      <c r="B14" s="163" t="inlineStr">
        <is>
          <t>계좌간이체</t>
        </is>
      </c>
      <c r="C14" s="163" t="inlineStr">
        <is>
          <t>업비트</t>
        </is>
      </c>
      <c r="D14" s="163" t="inlineStr">
        <is>
          <t>국장</t>
        </is>
      </c>
      <c r="E14" s="19" t="n">
        <v>5000000</v>
      </c>
      <c r="F14" s="163" t="n"/>
      <c r="G14" s="164" t="inlineStr">
        <is>
          <t>국내바이오(디앤디) 매수 목적 업비트에서 국장으로 500 이동</t>
        </is>
      </c>
      <c r="H14" s="51">
        <f>IF($A14="","",SUMIFS($E$6:$E14,$D$6:$D14,"국장")-SUMIFS($E$6:$E14,$C$6:$C14,"국장"))</f>
        <v/>
      </c>
      <c r="I14" s="51">
        <f>IF($A14="","",SUMIFS($E$6:$E14,$D$6:$D14,"미장")-SUMIFS($E$6:$E14,$C$6:$C14,"미장"))</f>
        <v/>
      </c>
      <c r="J14" s="51">
        <f>IF($A14="","",SUMIFS($E$6:$E14,$D$6:$D14,"ISA")-SUMIFS($E$6:$E14,$C$6:$C14,"ISA"))</f>
        <v/>
      </c>
      <c r="K14" s="51">
        <f>IF($A14="","",SUMIFS($E$6:$E14,$D$6:$D14,"중국")-SUMIFS($E$6:$E14,$C$6:$C14,"중국")+SUMIFS($E$6:$E14,$D$6:$D14,"업비트")-SUMIFS($E$6:$E14,$C$6:$C14,"업비트"))</f>
        <v/>
      </c>
      <c r="L14" s="51">
        <f>sum(H14:K14)</f>
        <v/>
      </c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>
      <c r="A15" s="162" t="n">
        <v>46003</v>
      </c>
      <c r="B15" s="163" t="inlineStr">
        <is>
          <t>계좌간이체</t>
        </is>
      </c>
      <c r="C15" s="163" t="inlineStr">
        <is>
          <t>중국</t>
        </is>
      </c>
      <c r="D15" s="163" t="inlineStr">
        <is>
          <t>국장</t>
        </is>
      </c>
      <c r="E15" s="19" t="n">
        <v>10000000</v>
      </c>
      <c r="F15" s="163" t="n"/>
      <c r="G15" s="164" t="inlineStr">
        <is>
          <t>중국 투자 축소, 국장 바이오 투자 확대 목적</t>
        </is>
      </c>
      <c r="H15" s="51">
        <f>IF($A15="","",SUMIFS($E$6:$E15,$D$6:$D15,"국장")-SUMIFS($E$6:$E15,$C$6:$C15,"국장"))</f>
        <v/>
      </c>
      <c r="I15" s="51">
        <f>IF($A15="","",SUMIFS($E$6:$E15,$D$6:$D15,"미장")-SUMIFS($E$6:$E15,$C$6:$C15,"미장"))</f>
        <v/>
      </c>
      <c r="J15" s="51">
        <f>IF($A15="","",SUMIFS($E$6:$E15,$D$6:$D15,"ISA")-SUMIFS($E$6:$E15,$C$6:$C15,"ISA"))</f>
        <v/>
      </c>
      <c r="K15" s="51">
        <f>IF($A15="","",SUMIFS($E$6:$E15,$D$6:$D15,"중국")-SUMIFS($E$6:$E15,$C$6:$C15,"중국")+SUMIFS($E$6:$E15,$D$6:$D15,"업비트")-SUMIFS($E$6:$E15,$C$6:$C15,"업비트"))</f>
        <v/>
      </c>
      <c r="L15" s="51">
        <f>sum(H15:K15)</f>
        <v/>
      </c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>
      <c r="A16" s="162" t="n">
        <v>46007</v>
      </c>
      <c r="B16" s="163" t="inlineStr">
        <is>
          <t>계좌간이체</t>
        </is>
      </c>
      <c r="C16" s="163" t="inlineStr">
        <is>
          <t>업비트</t>
        </is>
      </c>
      <c r="D16" s="163" t="inlineStr">
        <is>
          <t>국장</t>
        </is>
      </c>
      <c r="E16" s="19" t="n">
        <v>10000000</v>
      </c>
      <c r="F16" s="163" t="n"/>
      <c r="G16" s="164" t="inlineStr">
        <is>
          <t>국장 현금 비상금 확보 대비 코인 전량 본절, 생활안정자금 4천 전량 국장 바이오로 투입</t>
        </is>
      </c>
      <c r="H16" s="51">
        <f>IF($A16="","",SUMIFS($E$6:$E16,$D$6:$D16,"국장")-SUMIFS($E$6:$E16,$C$6:$C16,"국장"))</f>
        <v/>
      </c>
      <c r="I16" s="51">
        <f>IF($A16="","",SUMIFS($E$6:$E16,$D$6:$D16,"미장")-SUMIFS($E$6:$E16,$C$6:$C16,"미장"))</f>
        <v/>
      </c>
      <c r="J16" s="51">
        <f>IF($A16="","",SUMIFS($E$6:$E16,$D$6:$D16,"ISA")-SUMIFS($E$6:$E16,$C$6:$C16,"ISA"))</f>
        <v/>
      </c>
      <c r="K16" s="51">
        <f>IF($A16="","",SUMIFS($E$6:$E16,$D$6:$D16,"중국")-SUMIFS($E$6:$E16,$C$6:$C16,"중국")+SUMIFS($E$6:$E16,$D$6:$D16,"업비트")-SUMIFS($E$6:$E16,$C$6:$C16,"업비트"))</f>
        <v/>
      </c>
      <c r="L16" s="51">
        <f>sum(H16:K16)</f>
        <v/>
      </c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>
      <c r="A17" s="162" t="n">
        <v>46013</v>
      </c>
      <c r="B17" s="163" t="inlineStr">
        <is>
          <t>계좌간이체</t>
        </is>
      </c>
      <c r="C17" s="163" t="inlineStr">
        <is>
          <t>중국</t>
        </is>
      </c>
      <c r="D17" s="163" t="inlineStr">
        <is>
          <t>업비트</t>
        </is>
      </c>
      <c r="E17" s="19" t="n">
        <v>3000000</v>
      </c>
      <c r="F17" s="163" t="n"/>
      <c r="G17" s="164" t="inlineStr">
        <is>
          <t>업비트 임시 거치. 해 바뀐 후 ISA로 옮겨 운용 예정</t>
        </is>
      </c>
      <c r="H17" s="51">
        <f>IF($A17="","",SUMIFS($E$6:$E17,$D$6:$D17,"국장")-SUMIFS($E$6:$E17,$C$6:$C17,"국장"))</f>
        <v/>
      </c>
      <c r="I17" s="51">
        <f>IF($A17="","",SUMIFS($E$6:$E17,$D$6:$D17,"미장")-SUMIFS($E$6:$E17,$C$6:$C17,"미장"))</f>
        <v/>
      </c>
      <c r="J17" s="51">
        <f>IF($A17="","",SUMIFS($E$6:$E17,$D$6:$D17,"ISA")-SUMIFS($E$6:$E17,$C$6:$C17,"ISA"))</f>
        <v/>
      </c>
      <c r="K17" s="51">
        <f>IF($A17="","",SUMIFS($E$6:$E17,$D$6:$D17,"중국")-SUMIFS($E$6:$E17,$C$6:$C17,"중국")+SUMIFS($E$6:$E17,$D$6:$D17,"업비트")-SUMIFS($E$6:$E17,$C$6:$C17,"업비트"))</f>
        <v/>
      </c>
      <c r="L17" s="51">
        <f>sum(H17:K17)</f>
        <v/>
      </c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>
      <c r="A18" s="162" t="n">
        <v>46024</v>
      </c>
      <c r="B18" s="163" t="inlineStr">
        <is>
          <t>외부입금</t>
        </is>
      </c>
      <c r="C18" s="163" t="n"/>
      <c r="D18" s="163" t="inlineStr">
        <is>
          <t>업비트</t>
        </is>
      </c>
      <c r="E18" s="19" t="n">
        <v>4000000</v>
      </c>
      <c r="F18" s="163" t="inlineStr">
        <is>
          <t>자기자금</t>
        </is>
      </c>
      <c r="G18" s="164" t="inlineStr">
        <is>
          <t>'24. 경영성과급 400만원 업비트 입금 完 (추후 ISA 이동 검토)</t>
        </is>
      </c>
      <c r="H18" s="51">
        <f>IF($A18="","",SUMIFS($E$6:$E18,$D$6:$D18,"국장")-SUMIFS($E$6:$E18,$C$6:$C18,"국장"))</f>
        <v/>
      </c>
      <c r="I18" s="51">
        <f>IF($A18="","",SUMIFS($E$6:$E18,$D$6:$D18,"미장")-SUMIFS($E$6:$E18,$C$6:$C18,"미장"))</f>
        <v/>
      </c>
      <c r="J18" s="51">
        <f>IF($A18="","",SUMIFS($E$6:$E18,$D$6:$D18,"ISA")-SUMIFS($E$6:$E18,$C$6:$C18,"ISA"))</f>
        <v/>
      </c>
      <c r="K18" s="51">
        <f>IF($A18="","",SUMIFS($E$6:$E18,$D$6:$D18,"중국")-SUMIFS($E$6:$E18,$C$6:$C18,"중국")+SUMIFS($E$6:$E18,$D$6:$D18,"업비트")-SUMIFS($E$6:$E18,$C$6:$C18,"업비트"))</f>
        <v/>
      </c>
      <c r="L18" s="51">
        <f>sum(H18:K18)</f>
        <v/>
      </c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162" t="n">
        <v>46035</v>
      </c>
      <c r="B19" s="163" t="inlineStr">
        <is>
          <t>계좌간이체</t>
        </is>
      </c>
      <c r="C19" s="163" t="inlineStr">
        <is>
          <t>중국</t>
        </is>
      </c>
      <c r="D19" s="163" t="inlineStr">
        <is>
          <t>국장</t>
        </is>
      </c>
      <c r="E19" s="19" t="n">
        <v>20000000</v>
      </c>
      <c r="F19" s="163" t="n"/>
      <c r="G19" s="164" t="inlineStr">
        <is>
          <t>중국계좌 정리 후 국장 이동</t>
        </is>
      </c>
      <c r="H19" s="51">
        <f>IF($A19="","",SUMIFS($E$6:$E19,$D$6:$D19,"국장")-SUMIFS($E$6:$E19,$C$6:$C19,"국장"))</f>
        <v/>
      </c>
      <c r="I19" s="51">
        <f>IF($A19="","",SUMIFS($E$6:$E19,$D$6:$D19,"미장")-SUMIFS($E$6:$E19,$C$6:$C19,"미장"))</f>
        <v/>
      </c>
      <c r="J19" s="51">
        <f>IF($A19="","",SUMIFS($E$6:$E19,$D$6:$D19,"ISA")-SUMIFS($E$6:$E19,$C$6:$C19,"ISA"))</f>
        <v/>
      </c>
      <c r="K19" s="51">
        <f>IF($A19="","",SUMIFS($E$6:$E19,$D$6:$D19,"중국")-SUMIFS($E$6:$E19,$C$6:$C19,"중국")+SUMIFS($E$6:$E19,$D$6:$D19,"업비트")-SUMIFS($E$6:$E19,$C$6:$C19,"업비트"))</f>
        <v/>
      </c>
      <c r="L19" s="51">
        <f>sum(H19:K19)</f>
        <v/>
      </c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162" t="n">
        <v>46035</v>
      </c>
      <c r="B20" s="163" t="inlineStr">
        <is>
          <t>외부출금</t>
        </is>
      </c>
      <c r="C20" s="163" t="inlineStr">
        <is>
          <t>업비트</t>
        </is>
      </c>
      <c r="D20" s="163" t="n"/>
      <c r="E20" s="19" t="n">
        <v>7000000</v>
      </c>
      <c r="F20" s="163" t="n"/>
      <c r="G20" s="164" t="inlineStr">
        <is>
          <t>현금 700만원 예금계좌로 이동</t>
        </is>
      </c>
      <c r="H20" s="51">
        <f>IF($A20="","",SUMIFS($E$6:$E20,$D$6:$D20,"국장")-SUMIFS($E$6:$E20,$C$6:$C20,"국장"))</f>
        <v/>
      </c>
      <c r="I20" s="51">
        <f>IF($A20="","",SUMIFS($E$6:$E20,$D$6:$D20,"미장")-SUMIFS($E$6:$E20,$C$6:$C20,"미장"))</f>
        <v/>
      </c>
      <c r="J20" s="51">
        <f>IF($A20="","",SUMIFS($E$6:$E20,$D$6:$D20,"ISA")-SUMIFS($E$6:$E20,$C$6:$C20,"ISA"))</f>
        <v/>
      </c>
      <c r="K20" s="51">
        <f>IF($A20="","",SUMIFS($E$6:$E20,$D$6:$D20,"중국")-SUMIFS($E$6:$E20,$C$6:$C20,"중국")+SUMIFS($E$6:$E20,$D$6:$D20,"업비트")-SUMIFS($E$6:$E20,$C$6:$C20,"업비트"))</f>
        <v/>
      </c>
      <c r="L20" s="51">
        <f>sum(H20:K20)</f>
        <v/>
      </c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5.75" customHeight="1" s="179">
      <c r="A21" s="162" t="n">
        <v>46043</v>
      </c>
      <c r="B21" s="163" t="inlineStr">
        <is>
          <t>계좌간이체</t>
        </is>
      </c>
      <c r="C21" s="163" t="inlineStr">
        <is>
          <t>미장</t>
        </is>
      </c>
      <c r="D21" s="163" t="inlineStr">
        <is>
          <t>국장</t>
        </is>
      </c>
      <c r="E21" s="19" t="n">
        <v>27000000</v>
      </c>
      <c r="F21" s="163" t="n"/>
      <c r="G21" s="164" t="inlineStr">
        <is>
          <t>미장→국장 2,700만원 추가 이동 (미장 기준금액 총 4,000만원 감소)</t>
        </is>
      </c>
      <c r="H21" s="51">
        <f>IF($A21="","",SUMIFS($E$6:$E21,$D$6:$D21,"국장")-SUMIFS($E$6:$E21,$C$6:$C21,"국장"))</f>
        <v/>
      </c>
      <c r="I21" s="51">
        <f>IF($A21="","",SUMIFS($E$6:$E21,$D$6:$D21,"미장")-SUMIFS($E$6:$E21,$C$6:$C21,"미장"))</f>
        <v/>
      </c>
      <c r="J21" s="51">
        <f>IF($A21="","",SUMIFS($E$6:$E21,$D$6:$D21,"ISA")-SUMIFS($E$6:$E21,$C$6:$C21,"ISA"))</f>
        <v/>
      </c>
      <c r="K21" s="51">
        <f>IF($A21="","",SUMIFS($E$6:$E21,$D$6:$D21,"중국")-SUMIFS($E$6:$E21,$C$6:$C21,"중국")+SUMIFS($E$6:$E21,$D$6:$D21,"업비트")-SUMIFS($E$6:$E21,$C$6:$C21,"업비트"))</f>
        <v/>
      </c>
      <c r="L21" s="51">
        <f>sum(H21:K21)</f>
        <v/>
      </c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5.75" customHeight="1" s="179">
      <c r="A22" s="162" t="n">
        <v>46043</v>
      </c>
      <c r="B22" s="163" t="inlineStr">
        <is>
          <t>계좌간이체</t>
        </is>
      </c>
      <c r="C22" s="163" t="inlineStr">
        <is>
          <t>미장</t>
        </is>
      </c>
      <c r="D22" s="163" t="inlineStr">
        <is>
          <t>국장</t>
        </is>
      </c>
      <c r="E22" s="19" t="n">
        <v>13000000</v>
      </c>
      <c r="F22" s="163" t="n"/>
      <c r="G22" s="164" t="inlineStr">
        <is>
          <t>미장→국장 1,300만원 이동</t>
        </is>
      </c>
      <c r="H22" s="51">
        <f>IF($A22="","",SUMIFS($E$6:$E22,$D$6:$D22,"국장")-SUMIFS($E$6:$E22,$C$6:$C22,"국장"))</f>
        <v/>
      </c>
      <c r="I22" s="51">
        <f>IF($A22="","",SUMIFS($E$6:$E22,$D$6:$D22,"미장")-SUMIFS($E$6:$E22,$C$6:$C22,"미장"))</f>
        <v/>
      </c>
      <c r="J22" s="51">
        <f>IF($A22="","",SUMIFS($E$6:$E22,$D$6:$D22,"ISA")-SUMIFS($E$6:$E22,$C$6:$C22,"ISA"))</f>
        <v/>
      </c>
      <c r="K22" s="51">
        <f>IF($A22="","",SUMIFS($E$6:$E22,$D$6:$D22,"중국")-SUMIFS($E$6:$E22,$C$6:$C22,"중국")+SUMIFS($E$6:$E22,$D$6:$D22,"업비트")-SUMIFS($E$6:$E22,$C$6:$C22,"업비트"))</f>
        <v/>
      </c>
      <c r="L22" s="51">
        <f>sum(H22:K22)</f>
        <v/>
      </c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5.75" customHeight="1" s="179">
      <c r="A23" s="162" t="n">
        <v>46043</v>
      </c>
      <c r="B23" s="163" t="inlineStr">
        <is>
          <t>외부입금</t>
        </is>
      </c>
      <c r="C23" s="163" t="n"/>
      <c r="D23" s="163" t="inlineStr">
        <is>
          <t>국장</t>
        </is>
      </c>
      <c r="E23" s="19" t="n">
        <v>7000000</v>
      </c>
      <c r="F23" s="163" t="inlineStr">
        <is>
          <t>자기자금</t>
        </is>
      </c>
      <c r="G23" s="164" t="inlineStr">
        <is>
          <t>예금→국장 700만원 이동</t>
        </is>
      </c>
      <c r="H23" s="51">
        <f>IF($A23="","",SUMIFS($E$6:$E23,$D$6:$D23,"국장")-SUMIFS($E$6:$E23,$C$6:$C23,"국장"))</f>
        <v/>
      </c>
      <c r="I23" s="51">
        <f>IF($A23="","",SUMIFS($E$6:$E23,$D$6:$D23,"미장")-SUMIFS($E$6:$E23,$C$6:$C23,"미장"))</f>
        <v/>
      </c>
      <c r="J23" s="51">
        <f>IF($A23="","",SUMIFS($E$6:$E23,$D$6:$D23,"ISA")-SUMIFS($E$6:$E23,$C$6:$C23,"ISA"))</f>
        <v/>
      </c>
      <c r="K23" s="51">
        <f>IF($A23="","",SUMIFS($E$6:$E23,$D$6:$D23,"중국")-SUMIFS($E$6:$E23,$C$6:$C23,"중국")+SUMIFS($E$6:$E23,$D$6:$D23,"업비트")-SUMIFS($E$6:$E23,$C$6:$C23,"업비트"))</f>
        <v/>
      </c>
      <c r="L23" s="51">
        <f>sum(H23:K23)</f>
        <v/>
      </c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5.75" customHeight="1" s="179">
      <c r="A24" s="162" t="n">
        <v>46055</v>
      </c>
      <c r="B24" s="163" t="inlineStr">
        <is>
          <t>외부입금</t>
        </is>
      </c>
      <c r="C24" s="163" t="n"/>
      <c r="D24" s="163" t="inlineStr">
        <is>
          <t>국장</t>
        </is>
      </c>
      <c r="E24" s="19" t="n">
        <v>1000000</v>
      </c>
      <c r="F24" s="163" t="inlineStr">
        <is>
          <t>자기자금</t>
        </is>
      </c>
      <c r="G24" s="164" t="inlineStr">
        <is>
          <t>국장 100만원 추가 입금 (미수금 해결 목적 겸)</t>
        </is>
      </c>
      <c r="H24" s="51">
        <f>IF($A24="","",SUMIFS($E$6:$E24,$D$6:$D24,"국장")-SUMIFS($E$6:$E24,$C$6:$C24,"국장"))</f>
        <v/>
      </c>
      <c r="I24" s="51">
        <f>IF($A24="","",SUMIFS($E$6:$E24,$D$6:$D24,"미장")-SUMIFS($E$6:$E24,$C$6:$C24,"미장"))</f>
        <v/>
      </c>
      <c r="J24" s="51">
        <f>IF($A24="","",SUMIFS($E$6:$E24,$D$6:$D24,"ISA")-SUMIFS($E$6:$E24,$C$6:$C24,"ISA"))</f>
        <v/>
      </c>
      <c r="K24" s="51">
        <f>IF($A24="","",SUMIFS($E$6:$E24,$D$6:$D24,"중국")-SUMIFS($E$6:$E24,$C$6:$C24,"중국")+SUMIFS($E$6:$E24,$D$6:$D24,"업비트")-SUMIFS($E$6:$E24,$C$6:$C24,"업비트"))</f>
        <v/>
      </c>
      <c r="L24" s="51">
        <f>sum(H24:K24)</f>
        <v/>
      </c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162" t="n">
        <v>46066</v>
      </c>
      <c r="B25" s="163" t="inlineStr">
        <is>
          <t>외부입금</t>
        </is>
      </c>
      <c r="C25" s="163" t="n"/>
      <c r="D25" s="163" t="inlineStr">
        <is>
          <t>국장</t>
        </is>
      </c>
      <c r="E25" s="19" t="n">
        <v>2000000</v>
      </c>
      <c r="F25" s="163" t="inlineStr">
        <is>
          <t>자기자금</t>
        </is>
      </c>
      <c r="G25" s="164" t="inlineStr">
        <is>
          <t>성과급 중 200만원 국장 계좌 입금</t>
        </is>
      </c>
      <c r="H25" s="51">
        <f>IF($A25="","",SUMIFS($E$6:$E25,$D$6:$D25,"국장")-SUMIFS($E$6:$E25,$C$6:$C25,"국장"))</f>
        <v/>
      </c>
      <c r="I25" s="51">
        <f>IF($A25="","",SUMIFS($E$6:$E25,$D$6:$D25,"미장")-SUMIFS($E$6:$E25,$C$6:$C25,"미장"))</f>
        <v/>
      </c>
      <c r="J25" s="51">
        <f>IF($A25="","",SUMIFS($E$6:$E25,$D$6:$D25,"ISA")-SUMIFS($E$6:$E25,$C$6:$C25,"ISA"))</f>
        <v/>
      </c>
      <c r="K25" s="51">
        <f>IF($A25="","",SUMIFS($E$6:$E25,$D$6:$D25,"중국")-SUMIFS($E$6:$E25,$C$6:$C25,"중국")+SUMIFS($E$6:$E25,$D$6:$D25,"업비트")-SUMIFS($E$6:$E25,$C$6:$C25,"업비트"))</f>
        <v/>
      </c>
      <c r="L25" s="51">
        <f>sum(H25:K25)</f>
        <v/>
      </c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162" t="n">
        <v>46097</v>
      </c>
      <c r="B26" s="163" t="inlineStr">
        <is>
          <t>계좌간이체</t>
        </is>
      </c>
      <c r="C26" s="163" t="inlineStr">
        <is>
          <t>미장</t>
        </is>
      </c>
      <c r="D26" s="163" t="inlineStr">
        <is>
          <t>국장</t>
        </is>
      </c>
      <c r="E26" s="19" t="n">
        <v>10000000</v>
      </c>
      <c r="F26" s="163" t="n"/>
      <c r="G26" s="164" t="n"/>
      <c r="H26" s="51">
        <f>IF($A26="","",SUMIFS($E$6:$E26,$D$6:$D26,"국장")-SUMIFS($E$6:$E26,$C$6:$C26,"국장"))</f>
        <v/>
      </c>
      <c r="I26" s="51">
        <f>IF($A26="","",SUMIFS($E$6:$E26,$D$6:$D26,"미장")-SUMIFS($E$6:$E26,$C$6:$C26,"미장"))</f>
        <v/>
      </c>
      <c r="J26" s="51">
        <f>IF($A26="","",SUMIFS($E$6:$E26,$D$6:$D26,"ISA")-SUMIFS($E$6:$E26,$C$6:$C26,"ISA"))</f>
        <v/>
      </c>
      <c r="K26" s="51">
        <f>IF($A26="","",SUMIFS($E$6:$E26,$D$6:$D26,"중국")-SUMIFS($E$6:$E26,$C$6:$C26,"중국")+SUMIFS($E$6:$E26,$D$6:$D26,"업비트")-SUMIFS($E$6:$E26,$C$6:$C26,"업비트"))</f>
        <v/>
      </c>
      <c r="L26" s="51">
        <f>sum(H26:K26)</f>
        <v/>
      </c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5.75" customHeight="1" s="179">
      <c r="A27" s="162" t="n">
        <v>46101</v>
      </c>
      <c r="B27" s="163" t="inlineStr">
        <is>
          <t>계좌간이체</t>
        </is>
      </c>
      <c r="C27" s="163" t="inlineStr">
        <is>
          <t>미장</t>
        </is>
      </c>
      <c r="D27" s="163" t="inlineStr">
        <is>
          <t>국장</t>
        </is>
      </c>
      <c r="E27" s="19" t="n">
        <v>10000000</v>
      </c>
      <c r="F27" s="163" t="n"/>
      <c r="G27" s="164" t="n"/>
      <c r="H27" s="51">
        <f>IF($A27="","",SUMIFS($E$6:$E27,$D$6:$D27,"국장")-SUMIFS($E$6:$E27,$C$6:$C27,"국장"))</f>
        <v/>
      </c>
      <c r="I27" s="51">
        <f>IF($A27="","",SUMIFS($E$6:$E27,$D$6:$D27,"미장")-SUMIFS($E$6:$E27,$C$6:$C27,"미장"))</f>
        <v/>
      </c>
      <c r="J27" s="51">
        <f>IF($A27="","",SUMIFS($E$6:$E27,$D$6:$D27,"ISA")-SUMIFS($E$6:$E27,$C$6:$C27,"ISA"))</f>
        <v/>
      </c>
      <c r="K27" s="51">
        <f>IF($A27="","",SUMIFS($E$6:$E27,$D$6:$D27,"중국")-SUMIFS($E$6:$E27,$C$6:$C27,"중국")+SUMIFS($E$6:$E27,$D$6:$D27,"업비트")-SUMIFS($E$6:$E27,$C$6:$C27,"업비트"))</f>
        <v/>
      </c>
      <c r="L27" s="51">
        <f>sum(H27:K27)</f>
        <v/>
      </c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5.75" customHeight="1" s="179">
      <c r="A28" s="162" t="n">
        <v>46125</v>
      </c>
      <c r="B28" s="163" t="inlineStr">
        <is>
          <t>계좌간이체</t>
        </is>
      </c>
      <c r="C28" s="163" t="inlineStr">
        <is>
          <t>국장</t>
        </is>
      </c>
      <c r="D28" s="163" t="inlineStr">
        <is>
          <t>미장</t>
        </is>
      </c>
      <c r="E28" s="19" t="n">
        <v>10000000</v>
      </c>
      <c r="F28" s="163" t="n"/>
      <c r="G28" s="164" t="n"/>
      <c r="H28" s="51">
        <f>IF($A28="","",SUMIFS($E$6:$E28,$D$6:$D28,"국장")-SUMIFS($E$6:$E28,$C$6:$C28,"국장"))</f>
        <v/>
      </c>
      <c r="I28" s="51">
        <f>IF($A28="","",SUMIFS($E$6:$E28,$D$6:$D28,"미장")-SUMIFS($E$6:$E28,$C$6:$C28,"미장"))</f>
        <v/>
      </c>
      <c r="J28" s="51">
        <f>IF($A28="","",SUMIFS($E$6:$E28,$D$6:$D28,"ISA")-SUMIFS($E$6:$E28,$C$6:$C28,"ISA"))</f>
        <v/>
      </c>
      <c r="K28" s="51">
        <f>IF($A28="","",SUMIFS($E$6:$E28,$D$6:$D28,"중국")-SUMIFS($E$6:$E28,$C$6:$C28,"중국")+SUMIFS($E$6:$E28,$D$6:$D28,"업비트")-SUMIFS($E$6:$E28,$C$6:$C28,"업비트"))</f>
        <v/>
      </c>
      <c r="L28" s="51">
        <f>sum(H28:K28)</f>
        <v/>
      </c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162" t="n">
        <v>46133</v>
      </c>
      <c r="B29" s="163" t="inlineStr">
        <is>
          <t>외부출금</t>
        </is>
      </c>
      <c r="C29" s="163" t="inlineStr">
        <is>
          <t>국장</t>
        </is>
      </c>
      <c r="D29" s="163" t="n"/>
      <c r="E29" s="19" t="n">
        <v>10000000</v>
      </c>
      <c r="F29" s="163" t="n"/>
      <c r="G29" s="164" t="inlineStr">
        <is>
          <t>위험관리 및 예비비 목적으로 입출금 계좌로 천만원 송금</t>
        </is>
      </c>
      <c r="H29" s="51">
        <f>IF($A29="","",SUMIFS($E$6:$E29,$D$6:$D29,"국장")-SUMIFS($E$6:$E29,$C$6:$C29,"국장"))</f>
        <v/>
      </c>
      <c r="I29" s="51">
        <f>IF($A29="","",SUMIFS($E$6:$E29,$D$6:$D29,"미장")-SUMIFS($E$6:$E29,$C$6:$C29,"미장"))</f>
        <v/>
      </c>
      <c r="J29" s="51">
        <f>IF($A29="","",SUMIFS($E$6:$E29,$D$6:$D29,"ISA")-SUMIFS($E$6:$E29,$C$6:$C29,"ISA"))</f>
        <v/>
      </c>
      <c r="K29" s="51">
        <f>IF($A29="","",SUMIFS($E$6:$E29,$D$6:$D29,"중국")-SUMIFS($E$6:$E29,$C$6:$C29,"중국")+SUMIFS($E$6:$E29,$D$6:$D29,"업비트")-SUMIFS($E$6:$E29,$C$6:$C29,"업비트"))</f>
        <v/>
      </c>
      <c r="L29" s="51">
        <f>sum(H29:K29)</f>
        <v/>
      </c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162" t="n">
        <v>46223</v>
      </c>
      <c r="B30" s="163" t="inlineStr">
        <is>
          <t>계좌간이체</t>
        </is>
      </c>
      <c r="C30" s="163" t="inlineStr">
        <is>
          <t>미장</t>
        </is>
      </c>
      <c r="D30" s="163" t="inlineStr">
        <is>
          <t>국장</t>
        </is>
      </c>
      <c r="E30" s="19" t="n">
        <v>40000000</v>
      </c>
      <c r="F30" s="163" t="n"/>
      <c r="G30" s="164" t="inlineStr">
        <is>
          <t>국장 청산 방지 등으로 미장 → 국장 임시 송금 (4천)</t>
        </is>
      </c>
      <c r="H30" s="51">
        <f>IF($A30="","",SUMIFS($E$6:$E30,$D$6:$D30,"국장")-SUMIFS($E$6:$E30,$C$6:$C30,"국장"))</f>
        <v/>
      </c>
      <c r="I30" s="51">
        <f>IF($A30="","",SUMIFS($E$6:$E30,$D$6:$D30,"미장")-SUMIFS($E$6:$E30,$C$6:$C30,"미장"))</f>
        <v/>
      </c>
      <c r="J30" s="51">
        <f>IF($A30="","",SUMIFS($E$6:$E30,$D$6:$D30,"ISA")-SUMIFS($E$6:$E30,$C$6:$C30,"ISA"))</f>
        <v/>
      </c>
      <c r="K30" s="51">
        <f>IF($A30="","",SUMIFS($E$6:$E30,$D$6:$D30,"중국")-SUMIFS($E$6:$E30,$C$6:$C30,"중국")+SUMIFS($E$6:$E30,$D$6:$D30,"업비트")-SUMIFS($E$6:$E30,$C$6:$C30,"업비트"))</f>
        <v/>
      </c>
      <c r="L30" s="51">
        <f>sum(H30:K30)</f>
        <v/>
      </c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5.75" customHeight="1" s="179">
      <c r="A31" s="162" t="n">
        <v>46231</v>
      </c>
      <c r="B31" s="163" t="inlineStr">
        <is>
          <t>계좌간이체</t>
        </is>
      </c>
      <c r="C31" s="163" t="inlineStr">
        <is>
          <t>미장</t>
        </is>
      </c>
      <c r="D31" s="163" t="inlineStr">
        <is>
          <t>국장</t>
        </is>
      </c>
      <c r="E31" s="19" t="n">
        <v>40000000</v>
      </c>
      <c r="F31" s="163" t="n"/>
      <c r="G31" s="164" t="inlineStr">
        <is>
          <t>국장 청산 방지 등으로 미장 → 국장 임시 송금 (4천)</t>
        </is>
      </c>
      <c r="H31" s="51">
        <f>IF($A31="","",SUMIFS($E$6:$E31,$D$6:$D31,"국장")-SUMIFS($E$6:$E31,$C$6:$C31,"국장"))</f>
        <v/>
      </c>
      <c r="I31" s="51">
        <f>IF($A31="","",SUMIFS($E$6:$E31,$D$6:$D31,"미장")-SUMIFS($E$6:$E31,$C$6:$C31,"미장"))</f>
        <v/>
      </c>
      <c r="J31" s="51">
        <f>IF($A31="","",SUMIFS($E$6:$E31,$D$6:$D31,"ISA")-SUMIFS($E$6:$E31,$C$6:$C31,"ISA"))</f>
        <v/>
      </c>
      <c r="K31" s="51">
        <f>IF($A31="","",SUMIFS($E$6:$E31,$D$6:$D31,"중국")-SUMIFS($E$6:$E31,$C$6:$C31,"중국")+SUMIFS($E$6:$E31,$D$6:$D31,"업비트")-SUMIFS($E$6:$E31,$C$6:$C31,"업비트"))</f>
        <v/>
      </c>
      <c r="L31" s="51">
        <f>sum(H31:K31)</f>
        <v/>
      </c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5.75" customHeight="1" s="179">
      <c r="A32" s="162" t="n">
        <v>46232</v>
      </c>
      <c r="B32" s="163" t="inlineStr">
        <is>
          <t>계좌간이체</t>
        </is>
      </c>
      <c r="C32" s="163" t="inlineStr">
        <is>
          <t>미장</t>
        </is>
      </c>
      <c r="D32" s="163" t="inlineStr">
        <is>
          <t>국장</t>
        </is>
      </c>
      <c r="E32" s="19" t="n">
        <v>65000000</v>
      </c>
      <c r="F32" s="163" t="n"/>
      <c r="G32" s="164" t="inlineStr">
        <is>
          <t>국장 청산 방지 등으로 미장 → 국장 임시 송금 (6.5천)</t>
        </is>
      </c>
      <c r="H32" s="51">
        <f>IF($A32="","",SUMIFS($E$6:$E32,$D$6:$D32,"국장")-SUMIFS($E$6:$E32,$C$6:$C32,"국장"))</f>
        <v/>
      </c>
      <c r="I32" s="51">
        <f>IF($A32="","",SUMIFS($E$6:$E32,$D$6:$D32,"미장")-SUMIFS($E$6:$E32,$C$6:$C32,"미장"))</f>
        <v/>
      </c>
      <c r="J32" s="51">
        <f>IF($A32="","",SUMIFS($E$6:$E32,$D$6:$D32,"ISA")-SUMIFS($E$6:$E32,$C$6:$C32,"ISA"))</f>
        <v/>
      </c>
      <c r="K32" s="51">
        <f>IF($A32="","",SUMIFS($E$6:$E32,$D$6:$D32,"중국")-SUMIFS($E$6:$E32,$C$6:$C32,"중국")+SUMIFS($E$6:$E32,$D$6:$D32,"업비트")-SUMIFS($E$6:$E32,$C$6:$C32,"업비트"))</f>
        <v/>
      </c>
      <c r="L32" s="51">
        <f>sum(H32:K32)</f>
        <v/>
      </c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5.75" customHeight="1" s="179">
      <c r="A33" s="162" t="n">
        <v>46237</v>
      </c>
      <c r="B33" s="163" t="inlineStr">
        <is>
          <t>계좌간이체</t>
        </is>
      </c>
      <c r="C33" s="163" t="inlineStr">
        <is>
          <t>미장</t>
        </is>
      </c>
      <c r="D33" s="163" t="inlineStr">
        <is>
          <t>국장</t>
        </is>
      </c>
      <c r="E33" s="19" t="n">
        <v>20000000</v>
      </c>
      <c r="F33" s="163" t="n"/>
      <c r="G33" s="164" t="inlineStr">
        <is>
          <t>국장 청산 방지 등으로 미장 → 국장 임시 송금 (2천)</t>
        </is>
      </c>
      <c r="H33" s="51">
        <f>IF($A33="","",SUMIFS($E$6:$E33,$D$6:$D33,"국장")-SUMIFS($E$6:$E33,$C$6:$C33,"국장"))</f>
        <v/>
      </c>
      <c r="I33" s="51">
        <f>IF($A33="","",SUMIFS($E$6:$E33,$D$6:$D33,"미장")-SUMIFS($E$6:$E33,$C$6:$C33,"미장"))</f>
        <v/>
      </c>
      <c r="J33" s="51">
        <f>IF($A33="","",SUMIFS($E$6:$E33,$D$6:$D33,"ISA")-SUMIFS($E$6:$E33,$C$6:$C33,"ISA"))</f>
        <v/>
      </c>
      <c r="K33" s="51">
        <f>IF($A33="","",SUMIFS($E$6:$E33,$D$6:$D33,"중국")-SUMIFS($E$6:$E33,$C$6:$C33,"중국")+SUMIFS($E$6:$E33,$D$6:$D33,"업비트")-SUMIFS($E$6:$E33,$C$6:$C33,"업비트"))</f>
        <v/>
      </c>
      <c r="L33" s="51">
        <f>sum(H33:K33)</f>
        <v/>
      </c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162" t="n"/>
      <c r="B34" s="163" t="n"/>
      <c r="C34" s="163" t="n"/>
      <c r="D34" s="163" t="n"/>
      <c r="E34" s="19" t="n"/>
      <c r="F34" s="163" t="n"/>
      <c r="G34" s="96" t="n"/>
      <c r="H34" s="51">
        <f>IF($A34="","",SUMIFS($E$6:$E34,$D$6:$D34,"국장")-SUMIFS($E$6:$E34,$C$6:$C34,"국장"))</f>
        <v/>
      </c>
      <c r="I34" s="51">
        <f>IF($A34="","",SUMIFS($E$6:$E34,$D$6:$D34,"미장")-SUMIFS($E$6:$E34,$C$6:$C34,"미장"))</f>
        <v/>
      </c>
      <c r="J34" s="51">
        <f>IF($A34="","",SUMIFS($E$6:$E34,$D$6:$D34,"ISA")-SUMIFS($E$6:$E34,$C$6:$C34,"ISA"))</f>
        <v/>
      </c>
      <c r="K34" s="51">
        <f>IF($A34="","",SUMIFS($E$6:$E34,$D$6:$D34,"중국")-SUMIFS($E$6:$E34,$C$6:$C34,"중국")+SUMIFS($E$6:$E34,$D$6:$D34,"업비트")-SUMIFS($E$6:$E34,$C$6:$C34,"업비트"))</f>
        <v/>
      </c>
      <c r="L34" s="51">
        <f>sum(H34:K34)</f>
        <v/>
      </c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162" t="n"/>
      <c r="B35" s="163" t="n"/>
      <c r="C35" s="163" t="n"/>
      <c r="D35" s="163" t="n"/>
      <c r="E35" s="19" t="n"/>
      <c r="F35" s="163" t="n"/>
      <c r="G35" s="96" t="n"/>
      <c r="H35" s="51">
        <f>IF($A35="","",SUMIFS($E$6:$E35,$D$6:$D35,"국장")-SUMIFS($E$6:$E35,$C$6:$C35,"국장"))</f>
        <v/>
      </c>
      <c r="I35" s="51">
        <f>IF($A35="","",SUMIFS($E$6:$E35,$D$6:$D35,"미장")-SUMIFS($E$6:$E35,$C$6:$C35,"미장"))</f>
        <v/>
      </c>
      <c r="J35" s="51">
        <f>IF($A35="","",SUMIFS($E$6:$E35,$D$6:$D35,"ISA")-SUMIFS($E$6:$E35,$C$6:$C35,"ISA"))</f>
        <v/>
      </c>
      <c r="K35" s="51">
        <f>IF($A35="","",SUMIFS($E$6:$E35,$D$6:$D35,"중국")-SUMIFS($E$6:$E35,$C$6:$C35,"중국")+SUMIFS($E$6:$E35,$D$6:$D35,"업비트")-SUMIFS($E$6:$E35,$C$6:$C35,"업비트"))</f>
        <v/>
      </c>
      <c r="L35" s="51">
        <f>sum(H35:K35)</f>
        <v/>
      </c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162" t="n"/>
      <c r="B36" s="163" t="n"/>
      <c r="C36" s="163" t="n"/>
      <c r="D36" s="163" t="n"/>
      <c r="E36" s="19" t="n"/>
      <c r="F36" s="163" t="n"/>
      <c r="G36" s="96" t="n"/>
      <c r="H36" s="51">
        <f>IF($A36="","",SUMIFS($E$6:$E36,$D$6:$D36,"국장")-SUMIFS($E$6:$E36,$C$6:$C36,"국장"))</f>
        <v/>
      </c>
      <c r="I36" s="51">
        <f>IF($A36="","",SUMIFS($E$6:$E36,$D$6:$D36,"미장")-SUMIFS($E$6:$E36,$C$6:$C36,"미장"))</f>
        <v/>
      </c>
      <c r="J36" s="51">
        <f>IF($A36="","",SUMIFS($E$6:$E36,$D$6:$D36,"ISA")-SUMIFS($E$6:$E36,$C$6:$C36,"ISA"))</f>
        <v/>
      </c>
      <c r="K36" s="51">
        <f>IF($A36="","",SUMIFS($E$6:$E36,$D$6:$D36,"중국")-SUMIFS($E$6:$E36,$C$6:$C36,"중국")+SUMIFS($E$6:$E36,$D$6:$D36,"업비트")-SUMIFS($E$6:$E36,$C$6:$C36,"업비트"))</f>
        <v/>
      </c>
      <c r="L36" s="51">
        <f>sum(H36:K36)</f>
        <v/>
      </c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162" t="n"/>
      <c r="B37" s="163" t="n"/>
      <c r="C37" s="163" t="n"/>
      <c r="D37" s="163" t="n"/>
      <c r="E37" s="19" t="n"/>
      <c r="F37" s="163" t="n"/>
      <c r="G37" s="96" t="n"/>
      <c r="H37" s="51">
        <f>IF($A37="","",SUMIFS($E$6:$E37,$D$6:$D37,"국장")-SUMIFS($E$6:$E37,$C$6:$C37,"국장"))</f>
        <v/>
      </c>
      <c r="I37" s="51">
        <f>IF($A37="","",SUMIFS($E$6:$E37,$D$6:$D37,"미장")-SUMIFS($E$6:$E37,$C$6:$C37,"미장"))</f>
        <v/>
      </c>
      <c r="J37" s="51">
        <f>IF($A37="","",SUMIFS($E$6:$E37,$D$6:$D37,"ISA")-SUMIFS($E$6:$E37,$C$6:$C37,"ISA"))</f>
        <v/>
      </c>
      <c r="K37" s="51">
        <f>IF($A37="","",SUMIFS($E$6:$E37,$D$6:$D37,"중국")-SUMIFS($E$6:$E37,$C$6:$C37,"중국")+SUMIFS($E$6:$E37,$D$6:$D37,"업비트")-SUMIFS($E$6:$E37,$C$6:$C37,"업비트"))</f>
        <v/>
      </c>
      <c r="L37" s="51">
        <f>sum(H37:K37)</f>
        <v/>
      </c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162" t="n"/>
      <c r="B38" s="163" t="n"/>
      <c r="C38" s="163" t="n"/>
      <c r="D38" s="163" t="n"/>
      <c r="E38" s="19" t="n"/>
      <c r="F38" s="163" t="n"/>
      <c r="G38" s="96" t="n"/>
      <c r="H38" s="51">
        <f>IF($A38="","",SUMIFS($E$6:$E38,$D$6:$D38,"국장")-SUMIFS($E$6:$E38,$C$6:$C38,"국장"))</f>
        <v/>
      </c>
      <c r="I38" s="51">
        <f>IF($A38="","",SUMIFS($E$6:$E38,$D$6:$D38,"미장")-SUMIFS($E$6:$E38,$C$6:$C38,"미장"))</f>
        <v/>
      </c>
      <c r="J38" s="51">
        <f>IF($A38="","",SUMIFS($E$6:$E38,$D$6:$D38,"ISA")-SUMIFS($E$6:$E38,$C$6:$C38,"ISA"))</f>
        <v/>
      </c>
      <c r="K38" s="51">
        <f>IF($A38="","",SUMIFS($E$6:$E38,$D$6:$D38,"중국")-SUMIFS($E$6:$E38,$C$6:$C38,"중국")+SUMIFS($E$6:$E38,$D$6:$D38,"업비트")-SUMIFS($E$6:$E38,$C$6:$C38,"업비트"))</f>
        <v/>
      </c>
      <c r="L38" s="51">
        <f>sum(H38:K38)</f>
        <v/>
      </c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162" t="n"/>
      <c r="B39" s="163" t="n"/>
      <c r="C39" s="163" t="n"/>
      <c r="D39" s="163" t="n"/>
      <c r="E39" s="19" t="n"/>
      <c r="F39" s="163" t="n"/>
      <c r="G39" s="96" t="n"/>
      <c r="H39" s="51">
        <f>IF($A39="","",SUMIFS($E$6:$E39,$D$6:$D39,"국장")-SUMIFS($E$6:$E39,$C$6:$C39,"국장"))</f>
        <v/>
      </c>
      <c r="I39" s="51">
        <f>IF($A39="","",SUMIFS($E$6:$E39,$D$6:$D39,"미장")-SUMIFS($E$6:$E39,$C$6:$C39,"미장"))</f>
        <v/>
      </c>
      <c r="J39" s="51">
        <f>IF($A39="","",SUMIFS($E$6:$E39,$D$6:$D39,"ISA")-SUMIFS($E$6:$E39,$C$6:$C39,"ISA"))</f>
        <v/>
      </c>
      <c r="K39" s="51">
        <f>IF($A39="","",SUMIFS($E$6:$E39,$D$6:$D39,"중국")-SUMIFS($E$6:$E39,$C$6:$C39,"중국")+SUMIFS($E$6:$E39,$D$6:$D39,"업비트")-SUMIFS($E$6:$E39,$C$6:$C39,"업비트"))</f>
        <v/>
      </c>
      <c r="L39" s="51">
        <f>sum(H39:K39)</f>
        <v/>
      </c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162" t="n"/>
      <c r="B40" s="163" t="n"/>
      <c r="C40" s="163" t="n"/>
      <c r="D40" s="163" t="n"/>
      <c r="E40" s="19" t="n"/>
      <c r="F40" s="163" t="n"/>
      <c r="G40" s="96" t="n"/>
      <c r="H40" s="51">
        <f>IF($A40="","",SUMIFS($E$6:$E40,$D$6:$D40,"국장")-SUMIFS($E$6:$E40,$C$6:$C40,"국장"))</f>
        <v/>
      </c>
      <c r="I40" s="51">
        <f>IF($A40="","",SUMIFS($E$6:$E40,$D$6:$D40,"미장")-SUMIFS($E$6:$E40,$C$6:$C40,"미장"))</f>
        <v/>
      </c>
      <c r="J40" s="51">
        <f>IF($A40="","",SUMIFS($E$6:$E40,$D$6:$D40,"ISA")-SUMIFS($E$6:$E40,$C$6:$C40,"ISA"))</f>
        <v/>
      </c>
      <c r="K40" s="51">
        <f>IF($A40="","",SUMIFS($E$6:$E40,$D$6:$D40,"중국")-SUMIFS($E$6:$E40,$C$6:$C40,"중국")+SUMIFS($E$6:$E40,$D$6:$D40,"업비트")-SUMIFS($E$6:$E40,$C$6:$C40,"업비트"))</f>
        <v/>
      </c>
      <c r="L40" s="51">
        <f>sum(H40:K40)</f>
        <v/>
      </c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162" t="n"/>
      <c r="B41" s="163" t="n"/>
      <c r="C41" s="163" t="n"/>
      <c r="D41" s="163" t="n"/>
      <c r="E41" s="19" t="n"/>
      <c r="F41" s="163" t="n"/>
      <c r="G41" s="96" t="n"/>
      <c r="H41" s="51">
        <f>IF($A41="","",SUMIFS($E$6:$E41,$D$6:$D41,"국장")-SUMIFS($E$6:$E41,$C$6:$C41,"국장"))</f>
        <v/>
      </c>
      <c r="I41" s="51">
        <f>IF($A41="","",SUMIFS($E$6:$E41,$D$6:$D41,"미장")-SUMIFS($E$6:$E41,$C$6:$C41,"미장"))</f>
        <v/>
      </c>
      <c r="J41" s="51">
        <f>IF($A41="","",SUMIFS($E$6:$E41,$D$6:$D41,"ISA")-SUMIFS($E$6:$E41,$C$6:$C41,"ISA"))</f>
        <v/>
      </c>
      <c r="K41" s="51">
        <f>IF($A41="","",SUMIFS($E$6:$E41,$D$6:$D41,"중국")-SUMIFS($E$6:$E41,$C$6:$C41,"중국")+SUMIFS($E$6:$E41,$D$6:$D41,"업비트")-SUMIFS($E$6:$E41,$C$6:$C41,"업비트"))</f>
        <v/>
      </c>
      <c r="L41" s="51">
        <f>sum(H41:K41)</f>
        <v/>
      </c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162" t="n"/>
      <c r="B42" s="163" t="n"/>
      <c r="C42" s="163" t="n"/>
      <c r="D42" s="163" t="n"/>
      <c r="E42" s="19" t="n"/>
      <c r="F42" s="163" t="n"/>
      <c r="G42" s="96" t="n"/>
      <c r="H42" s="51">
        <f>IF($A42="","",SUMIFS($E$6:$E42,$D$6:$D42,"국장")-SUMIFS($E$6:$E42,$C$6:$C42,"국장"))</f>
        <v/>
      </c>
      <c r="I42" s="51">
        <f>IF($A42="","",SUMIFS($E$6:$E42,$D$6:$D42,"미장")-SUMIFS($E$6:$E42,$C$6:$C42,"미장"))</f>
        <v/>
      </c>
      <c r="J42" s="51">
        <f>IF($A42="","",SUMIFS($E$6:$E42,$D$6:$D42,"ISA")-SUMIFS($E$6:$E42,$C$6:$C42,"ISA"))</f>
        <v/>
      </c>
      <c r="K42" s="51">
        <f>IF($A42="","",SUMIFS($E$6:$E42,$D$6:$D42,"중국")-SUMIFS($E$6:$E42,$C$6:$C42,"중국")+SUMIFS($E$6:$E42,$D$6:$D42,"업비트")-SUMIFS($E$6:$E42,$C$6:$C42,"업비트"))</f>
        <v/>
      </c>
      <c r="L42" s="51">
        <f>sum(H42:K42)</f>
        <v/>
      </c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162" t="n"/>
      <c r="B43" s="163" t="n"/>
      <c r="C43" s="163" t="n"/>
      <c r="D43" s="163" t="n"/>
      <c r="E43" s="19" t="n"/>
      <c r="F43" s="163" t="n"/>
      <c r="G43" s="96" t="n"/>
      <c r="H43" s="51">
        <f>IF($A43="","",SUMIFS($E$6:$E43,$D$6:$D43,"국장")-SUMIFS($E$6:$E43,$C$6:$C43,"국장"))</f>
        <v/>
      </c>
      <c r="I43" s="51">
        <f>IF($A43="","",SUMIFS($E$6:$E43,$D$6:$D43,"미장")-SUMIFS($E$6:$E43,$C$6:$C43,"미장"))</f>
        <v/>
      </c>
      <c r="J43" s="51">
        <f>IF($A43="","",SUMIFS($E$6:$E43,$D$6:$D43,"ISA")-SUMIFS($E$6:$E43,$C$6:$C43,"ISA"))</f>
        <v/>
      </c>
      <c r="K43" s="51">
        <f>IF($A43="","",SUMIFS($E$6:$E43,$D$6:$D43,"중국")-SUMIFS($E$6:$E43,$C$6:$C43,"중국")+SUMIFS($E$6:$E43,$D$6:$D43,"업비트")-SUMIFS($E$6:$E43,$C$6:$C43,"업비트"))</f>
        <v/>
      </c>
      <c r="L43" s="51">
        <f>sum(H43:K43)</f>
        <v/>
      </c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162" t="n"/>
      <c r="B44" s="163" t="n"/>
      <c r="C44" s="163" t="n"/>
      <c r="D44" s="163" t="n"/>
      <c r="E44" s="19" t="n"/>
      <c r="F44" s="163" t="n"/>
      <c r="G44" s="96" t="n"/>
      <c r="H44" s="51">
        <f>IF($A44="","",SUMIFS($E$6:$E44,$D$6:$D44,"국장")-SUMIFS($E$6:$E44,$C$6:$C44,"국장"))</f>
        <v/>
      </c>
      <c r="I44" s="51">
        <f>IF($A44="","",SUMIFS($E$6:$E44,$D$6:$D44,"미장")-SUMIFS($E$6:$E44,$C$6:$C44,"미장"))</f>
        <v/>
      </c>
      <c r="J44" s="51">
        <f>IF($A44="","",SUMIFS($E$6:$E44,$D$6:$D44,"ISA")-SUMIFS($E$6:$E44,$C$6:$C44,"ISA"))</f>
        <v/>
      </c>
      <c r="K44" s="51">
        <f>IF($A44="","",SUMIFS($E$6:$E44,$D$6:$D44,"중국")-SUMIFS($E$6:$E44,$C$6:$C44,"중국")+SUMIFS($E$6:$E44,$D$6:$D44,"업비트")-SUMIFS($E$6:$E44,$C$6:$C44,"업비트"))</f>
        <v/>
      </c>
      <c r="L44" s="51">
        <f>sum(H44:K44)</f>
        <v/>
      </c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162" t="n"/>
      <c r="B45" s="163" t="n"/>
      <c r="C45" s="163" t="n"/>
      <c r="D45" s="163" t="n"/>
      <c r="E45" s="19" t="n"/>
      <c r="F45" s="163" t="n"/>
      <c r="G45" s="96" t="n"/>
      <c r="H45" s="51">
        <f>IF($A45="","",SUMIFS($E$6:$E45,$D$6:$D45,"국장")-SUMIFS($E$6:$E45,$C$6:$C45,"국장"))</f>
        <v/>
      </c>
      <c r="I45" s="51">
        <f>IF($A45="","",SUMIFS($E$6:$E45,$D$6:$D45,"미장")-SUMIFS($E$6:$E45,$C$6:$C45,"미장"))</f>
        <v/>
      </c>
      <c r="J45" s="51">
        <f>IF($A45="","",SUMIFS($E$6:$E45,$D$6:$D45,"ISA")-SUMIFS($E$6:$E45,$C$6:$C45,"ISA"))</f>
        <v/>
      </c>
      <c r="K45" s="51">
        <f>IF($A45="","",SUMIFS($E$6:$E45,$D$6:$D45,"중국")-SUMIFS($E$6:$E45,$C$6:$C45,"중국")+SUMIFS($E$6:$E45,$D$6:$D45,"업비트")-SUMIFS($E$6:$E45,$C$6:$C45,"업비트"))</f>
        <v/>
      </c>
      <c r="L45" s="51">
        <f>sum(H45:K45)</f>
        <v/>
      </c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162" t="n"/>
      <c r="B46" s="163" t="n"/>
      <c r="C46" s="163" t="n"/>
      <c r="D46" s="163" t="n"/>
      <c r="E46" s="19" t="n"/>
      <c r="F46" s="163" t="n"/>
      <c r="G46" s="96" t="n"/>
      <c r="H46" s="51">
        <f>IF($A46="","",SUMIFS($E$6:$E46,$D$6:$D46,"국장")-SUMIFS($E$6:$E46,$C$6:$C46,"국장"))</f>
        <v/>
      </c>
      <c r="I46" s="51">
        <f>IF($A46="","",SUMIFS($E$6:$E46,$D$6:$D46,"미장")-SUMIFS($E$6:$E46,$C$6:$C46,"미장"))</f>
        <v/>
      </c>
      <c r="J46" s="51">
        <f>IF($A46="","",SUMIFS($E$6:$E46,$D$6:$D46,"ISA")-SUMIFS($E$6:$E46,$C$6:$C46,"ISA"))</f>
        <v/>
      </c>
      <c r="K46" s="51">
        <f>IF($A46="","",SUMIFS($E$6:$E46,$D$6:$D46,"중국")-SUMIFS($E$6:$E46,$C$6:$C46,"중국")+SUMIFS($E$6:$E46,$D$6:$D46,"업비트")-SUMIFS($E$6:$E46,$C$6:$C46,"업비트"))</f>
        <v/>
      </c>
      <c r="L46" s="51">
        <f>sum(H46:K46)</f>
        <v/>
      </c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162" t="n"/>
      <c r="B47" s="163" t="n"/>
      <c r="C47" s="163" t="n"/>
      <c r="D47" s="163" t="n"/>
      <c r="E47" s="19" t="n"/>
      <c r="F47" s="163" t="n"/>
      <c r="G47" s="96" t="n"/>
      <c r="H47" s="51">
        <f>IF($A47="","",SUMIFS($E$6:$E47,$D$6:$D47,"국장")-SUMIFS($E$6:$E47,$C$6:$C47,"국장"))</f>
        <v/>
      </c>
      <c r="I47" s="51">
        <f>IF($A47="","",SUMIFS($E$6:$E47,$D$6:$D47,"미장")-SUMIFS($E$6:$E47,$C$6:$C47,"미장"))</f>
        <v/>
      </c>
      <c r="J47" s="51">
        <f>IF($A47="","",SUMIFS($E$6:$E47,$D$6:$D47,"ISA")-SUMIFS($E$6:$E47,$C$6:$C47,"ISA"))</f>
        <v/>
      </c>
      <c r="K47" s="51">
        <f>IF($A47="","",SUMIFS($E$6:$E47,$D$6:$D47,"중국")-SUMIFS($E$6:$E47,$C$6:$C47,"중국")+SUMIFS($E$6:$E47,$D$6:$D47,"업비트")-SUMIFS($E$6:$E47,$C$6:$C47,"업비트"))</f>
        <v/>
      </c>
      <c r="L47" s="51">
        <f>sum(H47:K47)</f>
        <v/>
      </c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162" t="n"/>
      <c r="B48" s="163" t="n"/>
      <c r="C48" s="163" t="n"/>
      <c r="D48" s="163" t="n"/>
      <c r="E48" s="19" t="n"/>
      <c r="F48" s="163" t="n"/>
      <c r="G48" s="96" t="n"/>
      <c r="H48" s="51">
        <f>IF($A48="","",SUMIFS($E$6:$E48,$D$6:$D48,"국장")-SUMIFS($E$6:$E48,$C$6:$C48,"국장"))</f>
        <v/>
      </c>
      <c r="I48" s="51">
        <f>IF($A48="","",SUMIFS($E$6:$E48,$D$6:$D48,"미장")-SUMIFS($E$6:$E48,$C$6:$C48,"미장"))</f>
        <v/>
      </c>
      <c r="J48" s="51">
        <f>IF($A48="","",SUMIFS($E$6:$E48,$D$6:$D48,"ISA")-SUMIFS($E$6:$E48,$C$6:$C48,"ISA"))</f>
        <v/>
      </c>
      <c r="K48" s="51">
        <f>IF($A48="","",SUMIFS($E$6:$E48,$D$6:$D48,"중국")-SUMIFS($E$6:$E48,$C$6:$C48,"중국")+SUMIFS($E$6:$E48,$D$6:$D48,"업비트")-SUMIFS($E$6:$E48,$C$6:$C48,"업비트"))</f>
        <v/>
      </c>
      <c r="L48" s="51">
        <f>sum(H48:K48)</f>
        <v/>
      </c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162" t="n"/>
      <c r="B49" s="163" t="n"/>
      <c r="C49" s="163" t="n"/>
      <c r="D49" s="163" t="n"/>
      <c r="E49" s="19" t="n"/>
      <c r="F49" s="163" t="n"/>
      <c r="G49" s="96" t="n"/>
      <c r="H49" s="51">
        <f>IF($A49="","",SUMIFS($E$6:$E49,$D$6:$D49,"국장")-SUMIFS($E$6:$E49,$C$6:$C49,"국장"))</f>
        <v/>
      </c>
      <c r="I49" s="51">
        <f>IF($A49="","",SUMIFS($E$6:$E49,$D$6:$D49,"미장")-SUMIFS($E$6:$E49,$C$6:$C49,"미장"))</f>
        <v/>
      </c>
      <c r="J49" s="51">
        <f>IF($A49="","",SUMIFS($E$6:$E49,$D$6:$D49,"ISA")-SUMIFS($E$6:$E49,$C$6:$C49,"ISA"))</f>
        <v/>
      </c>
      <c r="K49" s="51">
        <f>IF($A49="","",SUMIFS($E$6:$E49,$D$6:$D49,"중국")-SUMIFS($E$6:$E49,$C$6:$C49,"중국")+SUMIFS($E$6:$E49,$D$6:$D49,"업비트")-SUMIFS($E$6:$E49,$C$6:$C49,"업비트"))</f>
        <v/>
      </c>
      <c r="L49" s="51">
        <f>sum(H49:K49)</f>
        <v/>
      </c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162" t="n"/>
      <c r="B50" s="163" t="n"/>
      <c r="C50" s="163" t="n"/>
      <c r="D50" s="163" t="n"/>
      <c r="E50" s="19" t="n"/>
      <c r="F50" s="163" t="n"/>
      <c r="G50" s="96" t="n"/>
      <c r="H50" s="51">
        <f>IF($A50="","",SUMIFS($E$6:$E50,$D$6:$D50,"국장")-SUMIFS($E$6:$E50,$C$6:$C50,"국장"))</f>
        <v/>
      </c>
      <c r="I50" s="51">
        <f>IF($A50="","",SUMIFS($E$6:$E50,$D$6:$D50,"미장")-SUMIFS($E$6:$E50,$C$6:$C50,"미장"))</f>
        <v/>
      </c>
      <c r="J50" s="51">
        <f>IF($A50="","",SUMIFS($E$6:$E50,$D$6:$D50,"ISA")-SUMIFS($E$6:$E50,$C$6:$C50,"ISA"))</f>
        <v/>
      </c>
      <c r="K50" s="51">
        <f>IF($A50="","",SUMIFS($E$6:$E50,$D$6:$D50,"중국")-SUMIFS($E$6:$E50,$C$6:$C50,"중국")+SUMIFS($E$6:$E50,$D$6:$D50,"업비트")-SUMIFS($E$6:$E50,$C$6:$C50,"업비트"))</f>
        <v/>
      </c>
      <c r="L50" s="51">
        <f>sum(H50:K50)</f>
        <v/>
      </c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162" t="n"/>
      <c r="B51" s="163" t="n"/>
      <c r="C51" s="163" t="n"/>
      <c r="D51" s="163" t="n"/>
      <c r="E51" s="19" t="n"/>
      <c r="F51" s="163" t="n"/>
      <c r="G51" s="96" t="n"/>
      <c r="H51" s="51">
        <f>IF($A51="","",SUMIFS($E$6:$E51,$D$6:$D51,"국장")-SUMIFS($E$6:$E51,$C$6:$C51,"국장"))</f>
        <v/>
      </c>
      <c r="I51" s="51">
        <f>IF($A51="","",SUMIFS($E$6:$E51,$D$6:$D51,"미장")-SUMIFS($E$6:$E51,$C$6:$C51,"미장"))</f>
        <v/>
      </c>
      <c r="J51" s="51">
        <f>IF($A51="","",SUMIFS($E$6:$E51,$D$6:$D51,"ISA")-SUMIFS($E$6:$E51,$C$6:$C51,"ISA"))</f>
        <v/>
      </c>
      <c r="K51" s="51">
        <f>IF($A51="","",SUMIFS($E$6:$E51,$D$6:$D51,"중국")-SUMIFS($E$6:$E51,$C$6:$C51,"중국")+SUMIFS($E$6:$E51,$D$6:$D51,"업비트")-SUMIFS($E$6:$E51,$C$6:$C51,"업비트"))</f>
        <v/>
      </c>
      <c r="L51" s="51">
        <f>sum(H51:K51)</f>
        <v/>
      </c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162" t="n"/>
      <c r="B52" s="163" t="n"/>
      <c r="C52" s="163" t="n"/>
      <c r="D52" s="163" t="n"/>
      <c r="E52" s="19" t="n"/>
      <c r="F52" s="163" t="n"/>
      <c r="G52" s="96" t="n"/>
      <c r="H52" s="51">
        <f>IF($A52="","",SUMIFS($E$6:$E52,$D$6:$D52,"국장")-SUMIFS($E$6:$E52,$C$6:$C52,"국장"))</f>
        <v/>
      </c>
      <c r="I52" s="51">
        <f>IF($A52="","",SUMIFS($E$6:$E52,$D$6:$D52,"미장")-SUMIFS($E$6:$E52,$C$6:$C52,"미장"))</f>
        <v/>
      </c>
      <c r="J52" s="51">
        <f>IF($A52="","",SUMIFS($E$6:$E52,$D$6:$D52,"ISA")-SUMIFS($E$6:$E52,$C$6:$C52,"ISA"))</f>
        <v/>
      </c>
      <c r="K52" s="51">
        <f>IF($A52="","",SUMIFS($E$6:$E52,$D$6:$D52,"중국")-SUMIFS($E$6:$E52,$C$6:$C52,"중국")+SUMIFS($E$6:$E52,$D$6:$D52,"업비트")-SUMIFS($E$6:$E52,$C$6:$C52,"업비트"))</f>
        <v/>
      </c>
      <c r="L52" s="51">
        <f>sum(H52:K52)</f>
        <v/>
      </c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162" t="n"/>
      <c r="B53" s="163" t="n"/>
      <c r="C53" s="163" t="n"/>
      <c r="D53" s="163" t="n"/>
      <c r="E53" s="19" t="n"/>
      <c r="F53" s="163" t="n"/>
      <c r="G53" s="96" t="n"/>
      <c r="H53" s="51">
        <f>IF($A53="","",SUMIFS($E$6:$E53,$D$6:$D53,"국장")-SUMIFS($E$6:$E53,$C$6:$C53,"국장"))</f>
        <v/>
      </c>
      <c r="I53" s="51">
        <f>IF($A53="","",SUMIFS($E$6:$E53,$D$6:$D53,"미장")-SUMIFS($E$6:$E53,$C$6:$C53,"미장"))</f>
        <v/>
      </c>
      <c r="J53" s="51">
        <f>IF($A53="","",SUMIFS($E$6:$E53,$D$6:$D53,"ISA")-SUMIFS($E$6:$E53,$C$6:$C53,"ISA"))</f>
        <v/>
      </c>
      <c r="K53" s="51">
        <f>IF($A53="","",SUMIFS($E$6:$E53,$D$6:$D53,"중국")-SUMIFS($E$6:$E53,$C$6:$C53,"중국")+SUMIFS($E$6:$E53,$D$6:$D53,"업비트")-SUMIFS($E$6:$E53,$C$6:$C53,"업비트"))</f>
        <v/>
      </c>
      <c r="L53" s="51">
        <f>sum(H53:K53)</f>
        <v/>
      </c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162" t="n"/>
      <c r="B54" s="163" t="n"/>
      <c r="C54" s="163" t="n"/>
      <c r="D54" s="163" t="n"/>
      <c r="E54" s="19" t="n"/>
      <c r="F54" s="163" t="n"/>
      <c r="G54" s="96" t="n"/>
      <c r="H54" s="51">
        <f>IF($A54="","",SUMIFS($E$6:$E54,$D$6:$D54,"국장")-SUMIFS($E$6:$E54,$C$6:$C54,"국장"))</f>
        <v/>
      </c>
      <c r="I54" s="51">
        <f>IF($A54="","",SUMIFS($E$6:$E54,$D$6:$D54,"미장")-SUMIFS($E$6:$E54,$C$6:$C54,"미장"))</f>
        <v/>
      </c>
      <c r="J54" s="51">
        <f>IF($A54="","",SUMIFS($E$6:$E54,$D$6:$D54,"ISA")-SUMIFS($E$6:$E54,$C$6:$C54,"ISA"))</f>
        <v/>
      </c>
      <c r="K54" s="51">
        <f>IF($A54="","",SUMIFS($E$6:$E54,$D$6:$D54,"중국")-SUMIFS($E$6:$E54,$C$6:$C54,"중국")+SUMIFS($E$6:$E54,$D$6:$D54,"업비트")-SUMIFS($E$6:$E54,$C$6:$C54,"업비트"))</f>
        <v/>
      </c>
      <c r="L54" s="51">
        <f>sum(H54:K54)</f>
        <v/>
      </c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162" t="n"/>
      <c r="B55" s="163" t="n"/>
      <c r="C55" s="163" t="n"/>
      <c r="D55" s="163" t="n"/>
      <c r="E55" s="19" t="n"/>
      <c r="F55" s="163" t="n"/>
      <c r="G55" s="96" t="n"/>
      <c r="H55" s="51">
        <f>IF($A55="","",SUMIFS($E$6:$E55,$D$6:$D55,"국장")-SUMIFS($E$6:$E55,$C$6:$C55,"국장"))</f>
        <v/>
      </c>
      <c r="I55" s="51">
        <f>IF($A55="","",SUMIFS($E$6:$E55,$D$6:$D55,"미장")-SUMIFS($E$6:$E55,$C$6:$C55,"미장"))</f>
        <v/>
      </c>
      <c r="J55" s="51">
        <f>IF($A55="","",SUMIFS($E$6:$E55,$D$6:$D55,"ISA")-SUMIFS($E$6:$E55,$C$6:$C55,"ISA"))</f>
        <v/>
      </c>
      <c r="K55" s="51">
        <f>IF($A55="","",SUMIFS($E$6:$E55,$D$6:$D55,"중국")-SUMIFS($E$6:$E55,$C$6:$C55,"중국")+SUMIFS($E$6:$E55,$D$6:$D55,"업비트")-SUMIFS($E$6:$E55,$C$6:$C55,"업비트"))</f>
        <v/>
      </c>
      <c r="L55" s="51">
        <f>sum(H55:K55)</f>
        <v/>
      </c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162" t="n"/>
      <c r="B56" s="163" t="n"/>
      <c r="C56" s="163" t="n"/>
      <c r="D56" s="163" t="n"/>
      <c r="E56" s="19" t="n"/>
      <c r="F56" s="163" t="n"/>
      <c r="G56" s="96" t="n"/>
      <c r="H56" s="51">
        <f>IF($A56="","",SUMIFS($E$6:$E56,$D$6:$D56,"국장")-SUMIFS($E$6:$E56,$C$6:$C56,"국장"))</f>
        <v/>
      </c>
      <c r="I56" s="51">
        <f>IF($A56="","",SUMIFS($E$6:$E56,$D$6:$D56,"미장")-SUMIFS($E$6:$E56,$C$6:$C56,"미장"))</f>
        <v/>
      </c>
      <c r="J56" s="51">
        <f>IF($A56="","",SUMIFS($E$6:$E56,$D$6:$D56,"ISA")-SUMIFS($E$6:$E56,$C$6:$C56,"ISA"))</f>
        <v/>
      </c>
      <c r="K56" s="51">
        <f>IF($A56="","",SUMIFS($E$6:$E56,$D$6:$D56,"중국")-SUMIFS($E$6:$E56,$C$6:$C56,"중국")+SUMIFS($E$6:$E56,$D$6:$D56,"업비트")-SUMIFS($E$6:$E56,$C$6:$C56,"업비트"))</f>
        <v/>
      </c>
      <c r="L56" s="51">
        <f>sum(H56:K56)</f>
        <v/>
      </c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162" t="n"/>
      <c r="B57" s="163" t="n"/>
      <c r="C57" s="163" t="n"/>
      <c r="D57" s="163" t="n"/>
      <c r="E57" s="19" t="n"/>
      <c r="F57" s="163" t="n"/>
      <c r="G57" s="96" t="n"/>
      <c r="H57" s="51">
        <f>IF($A57="","",SUMIFS($E$6:$E57,$D$6:$D57,"국장")-SUMIFS($E$6:$E57,$C$6:$C57,"국장"))</f>
        <v/>
      </c>
      <c r="I57" s="51">
        <f>IF($A57="","",SUMIFS($E$6:$E57,$D$6:$D57,"미장")-SUMIFS($E$6:$E57,$C$6:$C57,"미장"))</f>
        <v/>
      </c>
      <c r="J57" s="51">
        <f>IF($A57="","",SUMIFS($E$6:$E57,$D$6:$D57,"ISA")-SUMIFS($E$6:$E57,$C$6:$C57,"ISA"))</f>
        <v/>
      </c>
      <c r="K57" s="51">
        <f>IF($A57="","",SUMIFS($E$6:$E57,$D$6:$D57,"중국")-SUMIFS($E$6:$E57,$C$6:$C57,"중국")+SUMIFS($E$6:$E57,$D$6:$D57,"업비트")-SUMIFS($E$6:$E57,$C$6:$C57,"업비트"))</f>
        <v/>
      </c>
      <c r="L57" s="51">
        <f>sum(H57:K57)</f>
        <v/>
      </c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162" t="n"/>
      <c r="B58" s="163" t="n"/>
      <c r="C58" s="163" t="n"/>
      <c r="D58" s="163" t="n"/>
      <c r="E58" s="19" t="n"/>
      <c r="F58" s="163" t="n"/>
      <c r="G58" s="96" t="n"/>
      <c r="H58" s="51">
        <f>IF($A58="","",SUMIFS($E$6:$E58,$D$6:$D58,"국장")-SUMIFS($E$6:$E58,$C$6:$C58,"국장"))</f>
        <v/>
      </c>
      <c r="I58" s="51">
        <f>IF($A58="","",SUMIFS($E$6:$E58,$D$6:$D58,"미장")-SUMIFS($E$6:$E58,$C$6:$C58,"미장"))</f>
        <v/>
      </c>
      <c r="J58" s="51">
        <f>IF($A58="","",SUMIFS($E$6:$E58,$D$6:$D58,"ISA")-SUMIFS($E$6:$E58,$C$6:$C58,"ISA"))</f>
        <v/>
      </c>
      <c r="K58" s="51">
        <f>IF($A58="","",SUMIFS($E$6:$E58,$D$6:$D58,"중국")-SUMIFS($E$6:$E58,$C$6:$C58,"중국")+SUMIFS($E$6:$E58,$D$6:$D58,"업비트")-SUMIFS($E$6:$E58,$C$6:$C58,"업비트"))</f>
        <v/>
      </c>
      <c r="L58" s="51">
        <f>sum(H58:K58)</f>
        <v/>
      </c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162" t="n"/>
      <c r="B59" s="163" t="n"/>
      <c r="C59" s="163" t="n"/>
      <c r="D59" s="163" t="n"/>
      <c r="E59" s="19" t="n"/>
      <c r="F59" s="163" t="n"/>
      <c r="G59" s="96" t="n"/>
      <c r="H59" s="51">
        <f>IF($A59="","",SUMIFS($E$6:$E59,$D$6:$D59,"국장")-SUMIFS($E$6:$E59,$C$6:$C59,"국장"))</f>
        <v/>
      </c>
      <c r="I59" s="51">
        <f>IF($A59="","",SUMIFS($E$6:$E59,$D$6:$D59,"미장")-SUMIFS($E$6:$E59,$C$6:$C59,"미장"))</f>
        <v/>
      </c>
      <c r="J59" s="51">
        <f>IF($A59="","",SUMIFS($E$6:$E59,$D$6:$D59,"ISA")-SUMIFS($E$6:$E59,$C$6:$C59,"ISA"))</f>
        <v/>
      </c>
      <c r="K59" s="51">
        <f>IF($A59="","",SUMIFS($E$6:$E59,$D$6:$D59,"중국")-SUMIFS($E$6:$E59,$C$6:$C59,"중국")+SUMIFS($E$6:$E59,$D$6:$D59,"업비트")-SUMIFS($E$6:$E59,$C$6:$C59,"업비트"))</f>
        <v/>
      </c>
      <c r="L59" s="51">
        <f>sum(H59:K59)</f>
        <v/>
      </c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162" t="n"/>
      <c r="B60" s="163" t="n"/>
      <c r="C60" s="163" t="n"/>
      <c r="D60" s="163" t="n"/>
      <c r="E60" s="19" t="n"/>
      <c r="F60" s="163" t="n"/>
      <c r="G60" s="96" t="n"/>
      <c r="H60" s="51">
        <f>IF($A60="","",SUMIFS($E$6:$E60,$D$6:$D60,"국장")-SUMIFS($E$6:$E60,$C$6:$C60,"국장"))</f>
        <v/>
      </c>
      <c r="I60" s="51">
        <f>IF($A60="","",SUMIFS($E$6:$E60,$D$6:$D60,"미장")-SUMIFS($E$6:$E60,$C$6:$C60,"미장"))</f>
        <v/>
      </c>
      <c r="J60" s="51">
        <f>IF($A60="","",SUMIFS($E$6:$E60,$D$6:$D60,"ISA")-SUMIFS($E$6:$E60,$C$6:$C60,"ISA"))</f>
        <v/>
      </c>
      <c r="K60" s="51">
        <f>IF($A60="","",SUMIFS($E$6:$E60,$D$6:$D60,"중국")-SUMIFS($E$6:$E60,$C$6:$C60,"중국")+SUMIFS($E$6:$E60,$D$6:$D60,"업비트")-SUMIFS($E$6:$E60,$C$6:$C60,"업비트"))</f>
        <v/>
      </c>
      <c r="L60" s="51">
        <f>sum(H60:K60)</f>
        <v/>
      </c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162" t="n"/>
      <c r="B61" s="163" t="n"/>
      <c r="C61" s="163" t="n"/>
      <c r="D61" s="163" t="n"/>
      <c r="E61" s="19" t="n"/>
      <c r="F61" s="163" t="n"/>
      <c r="G61" s="96" t="n"/>
      <c r="H61" s="51">
        <f>IF($A61="","",SUMIFS($E$6:$E61,$D$6:$D61,"국장")-SUMIFS($E$6:$E61,$C$6:$C61,"국장"))</f>
        <v/>
      </c>
      <c r="I61" s="51">
        <f>IF($A61="","",SUMIFS($E$6:$E61,$D$6:$D61,"미장")-SUMIFS($E$6:$E61,$C$6:$C61,"미장"))</f>
        <v/>
      </c>
      <c r="J61" s="51">
        <f>IF($A61="","",SUMIFS($E$6:$E61,$D$6:$D61,"ISA")-SUMIFS($E$6:$E61,$C$6:$C61,"ISA"))</f>
        <v/>
      </c>
      <c r="K61" s="51">
        <f>IF($A61="","",SUMIFS($E$6:$E61,$D$6:$D61,"중국")-SUMIFS($E$6:$E61,$C$6:$C61,"중국")+SUMIFS($E$6:$E61,$D$6:$D61,"업비트")-SUMIFS($E$6:$E61,$C$6:$C61,"업비트"))</f>
        <v/>
      </c>
      <c r="L61" s="51">
        <f>sum(H61:K61)</f>
        <v/>
      </c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162" t="n"/>
      <c r="B62" s="163" t="n"/>
      <c r="C62" s="163" t="n"/>
      <c r="D62" s="163" t="n"/>
      <c r="E62" s="19" t="n"/>
      <c r="F62" s="163" t="n"/>
      <c r="G62" s="96" t="n"/>
      <c r="H62" s="51">
        <f>IF($A62="","",SUMIFS($E$6:$E62,$D$6:$D62,"국장")-SUMIFS($E$6:$E62,$C$6:$C62,"국장"))</f>
        <v/>
      </c>
      <c r="I62" s="51">
        <f>IF($A62="","",SUMIFS($E$6:$E62,$D$6:$D62,"미장")-SUMIFS($E$6:$E62,$C$6:$C62,"미장"))</f>
        <v/>
      </c>
      <c r="J62" s="51">
        <f>IF($A62="","",SUMIFS($E$6:$E62,$D$6:$D62,"ISA")-SUMIFS($E$6:$E62,$C$6:$C62,"ISA"))</f>
        <v/>
      </c>
      <c r="K62" s="51">
        <f>IF($A62="","",SUMIFS($E$6:$E62,$D$6:$D62,"중국")-SUMIFS($E$6:$E62,$C$6:$C62,"중국")+SUMIFS($E$6:$E62,$D$6:$D62,"업비트")-SUMIFS($E$6:$E62,$C$6:$C62,"업비트"))</f>
        <v/>
      </c>
      <c r="L62" s="51">
        <f>sum(H62:K62)</f>
        <v/>
      </c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162" t="n"/>
      <c r="B63" s="163" t="n"/>
      <c r="C63" s="163" t="n"/>
      <c r="D63" s="163" t="n"/>
      <c r="E63" s="19" t="n"/>
      <c r="F63" s="163" t="n"/>
      <c r="G63" s="96" t="n"/>
      <c r="H63" s="51">
        <f>IF($A63="","",SUMIFS($E$6:$E63,$D$6:$D63,"국장")-SUMIFS($E$6:$E63,$C$6:$C63,"국장"))</f>
        <v/>
      </c>
      <c r="I63" s="51">
        <f>IF($A63="","",SUMIFS($E$6:$E63,$D$6:$D63,"미장")-SUMIFS($E$6:$E63,$C$6:$C63,"미장"))</f>
        <v/>
      </c>
      <c r="J63" s="51">
        <f>IF($A63="","",SUMIFS($E$6:$E63,$D$6:$D63,"ISA")-SUMIFS($E$6:$E63,$C$6:$C63,"ISA"))</f>
        <v/>
      </c>
      <c r="K63" s="51">
        <f>IF($A63="","",SUMIFS($E$6:$E63,$D$6:$D63,"중국")-SUMIFS($E$6:$E63,$C$6:$C63,"중국")+SUMIFS($E$6:$E63,$D$6:$D63,"업비트")-SUMIFS($E$6:$E63,$C$6:$C63,"업비트"))</f>
        <v/>
      </c>
      <c r="L63" s="51">
        <f>sum(H63:K63)</f>
        <v/>
      </c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162" t="n"/>
      <c r="B64" s="163" t="n"/>
      <c r="C64" s="163" t="n"/>
      <c r="D64" s="163" t="n"/>
      <c r="E64" s="19" t="n"/>
      <c r="F64" s="163" t="n"/>
      <c r="G64" s="96" t="n"/>
      <c r="H64" s="51">
        <f>IF($A64="","",SUMIFS($E$6:$E64,$D$6:$D64,"국장")-SUMIFS($E$6:$E64,$C$6:$C64,"국장"))</f>
        <v/>
      </c>
      <c r="I64" s="51">
        <f>IF($A64="","",SUMIFS($E$6:$E64,$D$6:$D64,"미장")-SUMIFS($E$6:$E64,$C$6:$C64,"미장"))</f>
        <v/>
      </c>
      <c r="J64" s="51">
        <f>IF($A64="","",SUMIFS($E$6:$E64,$D$6:$D64,"ISA")-SUMIFS($E$6:$E64,$C$6:$C64,"ISA"))</f>
        <v/>
      </c>
      <c r="K64" s="51">
        <f>IF($A64="","",SUMIFS($E$6:$E64,$D$6:$D64,"중국")-SUMIFS($E$6:$E64,$C$6:$C64,"중국")+SUMIFS($E$6:$E64,$D$6:$D64,"업비트")-SUMIFS($E$6:$E64,$C$6:$C64,"업비트"))</f>
        <v/>
      </c>
      <c r="L64" s="51">
        <f>sum(H64:K64)</f>
        <v/>
      </c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162" t="n"/>
      <c r="B65" s="163" t="n"/>
      <c r="C65" s="163" t="n"/>
      <c r="D65" s="163" t="n"/>
      <c r="E65" s="19" t="n"/>
      <c r="F65" s="163" t="n"/>
      <c r="G65" s="96" t="n"/>
      <c r="H65" s="51">
        <f>IF($A65="","",SUMIFS($E$6:$E65,$D$6:$D65,"국장")-SUMIFS($E$6:$E65,$C$6:$C65,"국장"))</f>
        <v/>
      </c>
      <c r="I65" s="51">
        <f>IF($A65="","",SUMIFS($E$6:$E65,$D$6:$D65,"미장")-SUMIFS($E$6:$E65,$C$6:$C65,"미장"))</f>
        <v/>
      </c>
      <c r="J65" s="51">
        <f>IF($A65="","",SUMIFS($E$6:$E65,$D$6:$D65,"ISA")-SUMIFS($E$6:$E65,$C$6:$C65,"ISA"))</f>
        <v/>
      </c>
      <c r="K65" s="51">
        <f>IF($A65="","",SUMIFS($E$6:$E65,$D$6:$D65,"중국")-SUMIFS($E$6:$E65,$C$6:$C65,"중국")+SUMIFS($E$6:$E65,$D$6:$D65,"업비트")-SUMIFS($E$6:$E65,$C$6:$C65,"업비트"))</f>
        <v/>
      </c>
      <c r="L65" s="51">
        <f>sum(H65:K65)</f>
        <v/>
      </c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162" t="n"/>
      <c r="B66" s="163" t="n"/>
      <c r="C66" s="163" t="n"/>
      <c r="D66" s="163" t="n"/>
      <c r="E66" s="19" t="n"/>
      <c r="F66" s="163" t="n"/>
      <c r="G66" s="96" t="n"/>
      <c r="H66" s="51">
        <f>IF($A66="","",SUMIFS($E$6:$E66,$D$6:$D66,"국장")-SUMIFS($E$6:$E66,$C$6:$C66,"국장"))</f>
        <v/>
      </c>
      <c r="I66" s="51">
        <f>IF($A66="","",SUMIFS($E$6:$E66,$D$6:$D66,"미장")-SUMIFS($E$6:$E66,$C$6:$C66,"미장"))</f>
        <v/>
      </c>
      <c r="J66" s="51">
        <f>IF($A66="","",SUMIFS($E$6:$E66,$D$6:$D66,"ISA")-SUMIFS($E$6:$E66,$C$6:$C66,"ISA"))</f>
        <v/>
      </c>
      <c r="K66" s="51">
        <f>IF($A66="","",SUMIFS($E$6:$E66,$D$6:$D66,"중국")-SUMIFS($E$6:$E66,$C$6:$C66,"중국")+SUMIFS($E$6:$E66,$D$6:$D66,"업비트")-SUMIFS($E$6:$E66,$C$6:$C66,"업비트"))</f>
        <v/>
      </c>
      <c r="L66" s="51">
        <f>sum(H66:K66)</f>
        <v/>
      </c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162" t="n"/>
      <c r="B67" s="163" t="n"/>
      <c r="C67" s="163" t="n"/>
      <c r="D67" s="163" t="n"/>
      <c r="E67" s="19" t="n"/>
      <c r="F67" s="163" t="n"/>
      <c r="G67" s="96" t="n"/>
      <c r="H67" s="51">
        <f>IF($A67="","",SUMIFS($E$6:$E67,$D$6:$D67,"국장")-SUMIFS($E$6:$E67,$C$6:$C67,"국장"))</f>
        <v/>
      </c>
      <c r="I67" s="51">
        <f>IF($A67="","",SUMIFS($E$6:$E67,$D$6:$D67,"미장")-SUMIFS($E$6:$E67,$C$6:$C67,"미장"))</f>
        <v/>
      </c>
      <c r="J67" s="51">
        <f>IF($A67="","",SUMIFS($E$6:$E67,$D$6:$D67,"ISA")-SUMIFS($E$6:$E67,$C$6:$C67,"ISA"))</f>
        <v/>
      </c>
      <c r="K67" s="51">
        <f>IF($A67="","",SUMIFS($E$6:$E67,$D$6:$D67,"중국")-SUMIFS($E$6:$E67,$C$6:$C67,"중국")+SUMIFS($E$6:$E67,$D$6:$D67,"업비트")-SUMIFS($E$6:$E67,$C$6:$C67,"업비트"))</f>
        <v/>
      </c>
      <c r="L67" s="51">
        <f>sum(H67:K67)</f>
        <v/>
      </c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162" t="n"/>
      <c r="B68" s="163" t="n"/>
      <c r="C68" s="163" t="n"/>
      <c r="D68" s="163" t="n"/>
      <c r="E68" s="19" t="n"/>
      <c r="F68" s="163" t="n"/>
      <c r="G68" s="96" t="n"/>
      <c r="H68" s="51">
        <f>IF($A68="","",SUMIFS($E$6:$E68,$D$6:$D68,"국장")-SUMIFS($E$6:$E68,$C$6:$C68,"국장"))</f>
        <v/>
      </c>
      <c r="I68" s="51">
        <f>IF($A68="","",SUMIFS($E$6:$E68,$D$6:$D68,"미장")-SUMIFS($E$6:$E68,$C$6:$C68,"미장"))</f>
        <v/>
      </c>
      <c r="J68" s="51">
        <f>IF($A68="","",SUMIFS($E$6:$E68,$D$6:$D68,"ISA")-SUMIFS($E$6:$E68,$C$6:$C68,"ISA"))</f>
        <v/>
      </c>
      <c r="K68" s="51">
        <f>IF($A68="","",SUMIFS($E$6:$E68,$D$6:$D68,"중국")-SUMIFS($E$6:$E68,$C$6:$C68,"중국")+SUMIFS($E$6:$E68,$D$6:$D68,"업비트")-SUMIFS($E$6:$E68,$C$6:$C68,"업비트"))</f>
        <v/>
      </c>
      <c r="L68" s="51">
        <f>sum(H68:K68)</f>
        <v/>
      </c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162" t="n"/>
      <c r="B69" s="163" t="n"/>
      <c r="C69" s="163" t="n"/>
      <c r="D69" s="163" t="n"/>
      <c r="E69" s="19" t="n"/>
      <c r="F69" s="163" t="n"/>
      <c r="G69" s="96" t="n"/>
      <c r="H69" s="51">
        <f>IF($A69="","",SUMIFS($E$6:$E69,$D$6:$D69,"국장")-SUMIFS($E$6:$E69,$C$6:$C69,"국장"))</f>
        <v/>
      </c>
      <c r="I69" s="51">
        <f>IF($A69="","",SUMIFS($E$6:$E69,$D$6:$D69,"미장")-SUMIFS($E$6:$E69,$C$6:$C69,"미장"))</f>
        <v/>
      </c>
      <c r="J69" s="51">
        <f>IF($A69="","",SUMIFS($E$6:$E69,$D$6:$D69,"ISA")-SUMIFS($E$6:$E69,$C$6:$C69,"ISA"))</f>
        <v/>
      </c>
      <c r="K69" s="51">
        <f>IF($A69="","",SUMIFS($E$6:$E69,$D$6:$D69,"중국")-SUMIFS($E$6:$E69,$C$6:$C69,"중국")+SUMIFS($E$6:$E69,$D$6:$D69,"업비트")-SUMIFS($E$6:$E69,$C$6:$C69,"업비트"))</f>
        <v/>
      </c>
      <c r="L69" s="51">
        <f>sum(H69:K69)</f>
        <v/>
      </c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162" t="n"/>
      <c r="B70" s="163" t="n"/>
      <c r="C70" s="163" t="n"/>
      <c r="D70" s="163" t="n"/>
      <c r="E70" s="19" t="n"/>
      <c r="F70" s="163" t="n"/>
      <c r="G70" s="96" t="n"/>
      <c r="H70" s="51">
        <f>IF($A70="","",SUMIFS($E$6:$E70,$D$6:$D70,"국장")-SUMIFS($E$6:$E70,$C$6:$C70,"국장"))</f>
        <v/>
      </c>
      <c r="I70" s="51">
        <f>IF($A70="","",SUMIFS($E$6:$E70,$D$6:$D70,"미장")-SUMIFS($E$6:$E70,$C$6:$C70,"미장"))</f>
        <v/>
      </c>
      <c r="J70" s="51">
        <f>IF($A70="","",SUMIFS($E$6:$E70,$D$6:$D70,"ISA")-SUMIFS($E$6:$E70,$C$6:$C70,"ISA"))</f>
        <v/>
      </c>
      <c r="K70" s="51">
        <f>IF($A70="","",SUMIFS($E$6:$E70,$D$6:$D70,"중국")-SUMIFS($E$6:$E70,$C$6:$C70,"중국")+SUMIFS($E$6:$E70,$D$6:$D70,"업비트")-SUMIFS($E$6:$E70,$C$6:$C70,"업비트"))</f>
        <v/>
      </c>
      <c r="L70" s="51">
        <f>sum(H70:K70)</f>
        <v/>
      </c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162" t="n"/>
      <c r="B71" s="163" t="n"/>
      <c r="C71" s="163" t="n"/>
      <c r="D71" s="163" t="n"/>
      <c r="E71" s="19" t="n"/>
      <c r="F71" s="163" t="n"/>
      <c r="G71" s="96" t="n"/>
      <c r="H71" s="51">
        <f>IF($A71="","",SUMIFS($E$6:$E71,$D$6:$D71,"국장")-SUMIFS($E$6:$E71,$C$6:$C71,"국장"))</f>
        <v/>
      </c>
      <c r="I71" s="51">
        <f>IF($A71="","",SUMIFS($E$6:$E71,$D$6:$D71,"미장")-SUMIFS($E$6:$E71,$C$6:$C71,"미장"))</f>
        <v/>
      </c>
      <c r="J71" s="51">
        <f>IF($A71="","",SUMIFS($E$6:$E71,$D$6:$D71,"ISA")-SUMIFS($E$6:$E71,$C$6:$C71,"ISA"))</f>
        <v/>
      </c>
      <c r="K71" s="51">
        <f>IF($A71="","",SUMIFS($E$6:$E71,$D$6:$D71,"중국")-SUMIFS($E$6:$E71,$C$6:$C71,"중국")+SUMIFS($E$6:$E71,$D$6:$D71,"업비트")-SUMIFS($E$6:$E71,$C$6:$C71,"업비트"))</f>
        <v/>
      </c>
      <c r="L71" s="51">
        <f>sum(H71:K71)</f>
        <v/>
      </c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162" t="n"/>
      <c r="B72" s="163" t="n"/>
      <c r="C72" s="163" t="n"/>
      <c r="D72" s="163" t="n"/>
      <c r="E72" s="19" t="n"/>
      <c r="F72" s="163" t="n"/>
      <c r="G72" s="96" t="n"/>
      <c r="H72" s="51">
        <f>IF($A72="","",SUMIFS($E$6:$E72,$D$6:$D72,"국장")-SUMIFS($E$6:$E72,$C$6:$C72,"국장"))</f>
        <v/>
      </c>
      <c r="I72" s="51">
        <f>IF($A72="","",SUMIFS($E$6:$E72,$D$6:$D72,"미장")-SUMIFS($E$6:$E72,$C$6:$C72,"미장"))</f>
        <v/>
      </c>
      <c r="J72" s="51">
        <f>IF($A72="","",SUMIFS($E$6:$E72,$D$6:$D72,"ISA")-SUMIFS($E$6:$E72,$C$6:$C72,"ISA"))</f>
        <v/>
      </c>
      <c r="K72" s="51">
        <f>IF($A72="","",SUMIFS($E$6:$E72,$D$6:$D72,"중국")-SUMIFS($E$6:$E72,$C$6:$C72,"중국")+SUMIFS($E$6:$E72,$D$6:$D72,"업비트")-SUMIFS($E$6:$E72,$C$6:$C72,"업비트"))</f>
        <v/>
      </c>
      <c r="L72" s="51">
        <f>sum(H72:K72)</f>
        <v/>
      </c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162" t="n"/>
      <c r="B73" s="163" t="n"/>
      <c r="C73" s="163" t="n"/>
      <c r="D73" s="163" t="n"/>
      <c r="E73" s="19" t="n"/>
      <c r="F73" s="163" t="n"/>
      <c r="G73" s="96" t="n"/>
      <c r="H73" s="51">
        <f>IF($A73="","",SUMIFS($E$6:$E73,$D$6:$D73,"국장")-SUMIFS($E$6:$E73,$C$6:$C73,"국장"))</f>
        <v/>
      </c>
      <c r="I73" s="51">
        <f>IF($A73="","",SUMIFS($E$6:$E73,$D$6:$D73,"미장")-SUMIFS($E$6:$E73,$C$6:$C73,"미장"))</f>
        <v/>
      </c>
      <c r="J73" s="51">
        <f>IF($A73="","",SUMIFS($E$6:$E73,$D$6:$D73,"ISA")-SUMIFS($E$6:$E73,$C$6:$C73,"ISA"))</f>
        <v/>
      </c>
      <c r="K73" s="51">
        <f>IF($A73="","",SUMIFS($E$6:$E73,$D$6:$D73,"중국")-SUMIFS($E$6:$E73,$C$6:$C73,"중국")+SUMIFS($E$6:$E73,$D$6:$D73,"업비트")-SUMIFS($E$6:$E73,$C$6:$C73,"업비트"))</f>
        <v/>
      </c>
      <c r="L73" s="51">
        <f>sum(H73:K73)</f>
        <v/>
      </c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162" t="n"/>
      <c r="B74" s="163" t="n"/>
      <c r="C74" s="163" t="n"/>
      <c r="D74" s="163" t="n"/>
      <c r="E74" s="19" t="n"/>
      <c r="F74" s="163" t="n"/>
      <c r="G74" s="96" t="n"/>
      <c r="H74" s="51">
        <f>IF($A74="","",SUMIFS($E$6:$E74,$D$6:$D74,"국장")-SUMIFS($E$6:$E74,$C$6:$C74,"국장"))</f>
        <v/>
      </c>
      <c r="I74" s="51">
        <f>IF($A74="","",SUMIFS($E$6:$E74,$D$6:$D74,"미장")-SUMIFS($E$6:$E74,$C$6:$C74,"미장"))</f>
        <v/>
      </c>
      <c r="J74" s="51">
        <f>IF($A74="","",SUMIFS($E$6:$E74,$D$6:$D74,"ISA")-SUMIFS($E$6:$E74,$C$6:$C74,"ISA"))</f>
        <v/>
      </c>
      <c r="K74" s="51">
        <f>IF($A74="","",SUMIFS($E$6:$E74,$D$6:$D74,"중국")-SUMIFS($E$6:$E74,$C$6:$C74,"중국")+SUMIFS($E$6:$E74,$D$6:$D74,"업비트")-SUMIFS($E$6:$E74,$C$6:$C74,"업비트"))</f>
        <v/>
      </c>
      <c r="L74" s="51">
        <f>sum(H74:K74)</f>
        <v/>
      </c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162" t="n"/>
      <c r="B75" s="163" t="n"/>
      <c r="C75" s="163" t="n"/>
      <c r="D75" s="163" t="n"/>
      <c r="E75" s="19" t="n"/>
      <c r="F75" s="163" t="n"/>
      <c r="G75" s="96" t="n"/>
      <c r="H75" s="51">
        <f>IF($A75="","",SUMIFS($E$6:$E75,$D$6:$D75,"국장")-SUMIFS($E$6:$E75,$C$6:$C75,"국장"))</f>
        <v/>
      </c>
      <c r="I75" s="51">
        <f>IF($A75="","",SUMIFS($E$6:$E75,$D$6:$D75,"미장")-SUMIFS($E$6:$E75,$C$6:$C75,"미장"))</f>
        <v/>
      </c>
      <c r="J75" s="51">
        <f>IF($A75="","",SUMIFS($E$6:$E75,$D$6:$D75,"ISA")-SUMIFS($E$6:$E75,$C$6:$C75,"ISA"))</f>
        <v/>
      </c>
      <c r="K75" s="51">
        <f>IF($A75="","",SUMIFS($E$6:$E75,$D$6:$D75,"중국")-SUMIFS($E$6:$E75,$C$6:$C75,"중국")+SUMIFS($E$6:$E75,$D$6:$D75,"업비트")-SUMIFS($E$6:$E75,$C$6:$C75,"업비트"))</f>
        <v/>
      </c>
      <c r="L75" s="51">
        <f>sum(H75:K75)</f>
        <v/>
      </c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162" t="n"/>
      <c r="B76" s="163" t="n"/>
      <c r="C76" s="163" t="n"/>
      <c r="D76" s="163" t="n"/>
      <c r="E76" s="19" t="n"/>
      <c r="F76" s="163" t="n"/>
      <c r="G76" s="96" t="n"/>
      <c r="H76" s="51">
        <f>IF($A76="","",SUMIFS($E$6:$E76,$D$6:$D76,"국장")-SUMIFS($E$6:$E76,$C$6:$C76,"국장"))</f>
        <v/>
      </c>
      <c r="I76" s="51">
        <f>IF($A76="","",SUMIFS($E$6:$E76,$D$6:$D76,"미장")-SUMIFS($E$6:$E76,$C$6:$C76,"미장"))</f>
        <v/>
      </c>
      <c r="J76" s="51">
        <f>IF($A76="","",SUMIFS($E$6:$E76,$D$6:$D76,"ISA")-SUMIFS($E$6:$E76,$C$6:$C76,"ISA"))</f>
        <v/>
      </c>
      <c r="K76" s="51">
        <f>IF($A76="","",SUMIFS($E$6:$E76,$D$6:$D76,"중국")-SUMIFS($E$6:$E76,$C$6:$C76,"중국")+SUMIFS($E$6:$E76,$D$6:$D76,"업비트")-SUMIFS($E$6:$E76,$C$6:$C76,"업비트"))</f>
        <v/>
      </c>
      <c r="L76" s="51">
        <f>sum(H76:K76)</f>
        <v/>
      </c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162" t="n"/>
      <c r="B77" s="163" t="n"/>
      <c r="C77" s="163" t="n"/>
      <c r="D77" s="163" t="n"/>
      <c r="E77" s="19" t="n"/>
      <c r="F77" s="163" t="n"/>
      <c r="G77" s="96" t="n"/>
      <c r="H77" s="51">
        <f>IF($A77="","",SUMIFS($E$6:$E77,$D$6:$D77,"국장")-SUMIFS($E$6:$E77,$C$6:$C77,"국장"))</f>
        <v/>
      </c>
      <c r="I77" s="51">
        <f>IF($A77="","",SUMIFS($E$6:$E77,$D$6:$D77,"미장")-SUMIFS($E$6:$E77,$C$6:$C77,"미장"))</f>
        <v/>
      </c>
      <c r="J77" s="51">
        <f>IF($A77="","",SUMIFS($E$6:$E77,$D$6:$D77,"ISA")-SUMIFS($E$6:$E77,$C$6:$C77,"ISA"))</f>
        <v/>
      </c>
      <c r="K77" s="51">
        <f>IF($A77="","",SUMIFS($E$6:$E77,$D$6:$D77,"중국")-SUMIFS($E$6:$E77,$C$6:$C77,"중국")+SUMIFS($E$6:$E77,$D$6:$D77,"업비트")-SUMIFS($E$6:$E77,$C$6:$C77,"업비트"))</f>
        <v/>
      </c>
      <c r="L77" s="51">
        <f>sum(H77:K77)</f>
        <v/>
      </c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162" t="n"/>
      <c r="B78" s="163" t="n"/>
      <c r="C78" s="163" t="n"/>
      <c r="D78" s="163" t="n"/>
      <c r="E78" s="19" t="n"/>
      <c r="F78" s="163" t="n"/>
      <c r="G78" s="96" t="n"/>
      <c r="H78" s="51">
        <f>IF($A78="","",SUMIFS($E$6:$E78,$D$6:$D78,"국장")-SUMIFS($E$6:$E78,$C$6:$C78,"국장"))</f>
        <v/>
      </c>
      <c r="I78" s="51">
        <f>IF($A78="","",SUMIFS($E$6:$E78,$D$6:$D78,"미장")-SUMIFS($E$6:$E78,$C$6:$C78,"미장"))</f>
        <v/>
      </c>
      <c r="J78" s="51">
        <f>IF($A78="","",SUMIFS($E$6:$E78,$D$6:$D78,"ISA")-SUMIFS($E$6:$E78,$C$6:$C78,"ISA"))</f>
        <v/>
      </c>
      <c r="K78" s="51">
        <f>IF($A78="","",SUMIFS($E$6:$E78,$D$6:$D78,"중국")-SUMIFS($E$6:$E78,$C$6:$C78,"중국")+SUMIFS($E$6:$E78,$D$6:$D78,"업비트")-SUMIFS($E$6:$E78,$C$6:$C78,"업비트"))</f>
        <v/>
      </c>
      <c r="L78" s="51">
        <f>sum(H78:K78)</f>
        <v/>
      </c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162" t="n"/>
      <c r="B79" s="163" t="n"/>
      <c r="C79" s="163" t="n"/>
      <c r="D79" s="163" t="n"/>
      <c r="E79" s="19" t="n"/>
      <c r="F79" s="163" t="n"/>
      <c r="G79" s="96" t="n"/>
      <c r="H79" s="51">
        <f>IF($A79="","",SUMIFS($E$6:$E79,$D$6:$D79,"국장")-SUMIFS($E$6:$E79,$C$6:$C79,"국장"))</f>
        <v/>
      </c>
      <c r="I79" s="51">
        <f>IF($A79="","",SUMIFS($E$6:$E79,$D$6:$D79,"미장")-SUMIFS($E$6:$E79,$C$6:$C79,"미장"))</f>
        <v/>
      </c>
      <c r="J79" s="51">
        <f>IF($A79="","",SUMIFS($E$6:$E79,$D$6:$D79,"ISA")-SUMIFS($E$6:$E79,$C$6:$C79,"ISA"))</f>
        <v/>
      </c>
      <c r="K79" s="51">
        <f>IF($A79="","",SUMIFS($E$6:$E79,$D$6:$D79,"중국")-SUMIFS($E$6:$E79,$C$6:$C79,"중국")+SUMIFS($E$6:$E79,$D$6:$D79,"업비트")-SUMIFS($E$6:$E79,$C$6:$C79,"업비트"))</f>
        <v/>
      </c>
      <c r="L79" s="51">
        <f>sum(H79:K79)</f>
        <v/>
      </c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162" t="n"/>
      <c r="B80" s="163" t="n"/>
      <c r="C80" s="163" t="n"/>
      <c r="D80" s="163" t="n"/>
      <c r="E80" s="19" t="n"/>
      <c r="F80" s="163" t="n"/>
      <c r="G80" s="96" t="n"/>
      <c r="H80" s="51">
        <f>IF($A80="","",SUMIFS($E$6:$E80,$D$6:$D80,"국장")-SUMIFS($E$6:$E80,$C$6:$C80,"국장"))</f>
        <v/>
      </c>
      <c r="I80" s="51">
        <f>IF($A80="","",SUMIFS($E$6:$E80,$D$6:$D80,"미장")-SUMIFS($E$6:$E80,$C$6:$C80,"미장"))</f>
        <v/>
      </c>
      <c r="J80" s="51">
        <f>IF($A80="","",SUMIFS($E$6:$E80,$D$6:$D80,"ISA")-SUMIFS($E$6:$E80,$C$6:$C80,"ISA"))</f>
        <v/>
      </c>
      <c r="K80" s="51">
        <f>IF($A80="","",SUMIFS($E$6:$E80,$D$6:$D80,"중국")-SUMIFS($E$6:$E80,$C$6:$C80,"중국")+SUMIFS($E$6:$E80,$D$6:$D80,"업비트")-SUMIFS($E$6:$E80,$C$6:$C80,"업비트"))</f>
        <v/>
      </c>
      <c r="L80" s="51">
        <f>sum(H80:K80)</f>
        <v/>
      </c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162" t="n"/>
      <c r="B81" s="163" t="n"/>
      <c r="C81" s="163" t="n"/>
      <c r="D81" s="163" t="n"/>
      <c r="E81" s="19" t="n"/>
      <c r="F81" s="163" t="n"/>
      <c r="G81" s="96" t="n"/>
      <c r="H81" s="51">
        <f>IF($A81="","",SUMIFS($E$6:$E81,$D$6:$D81,"국장")-SUMIFS($E$6:$E81,$C$6:$C81,"국장"))</f>
        <v/>
      </c>
      <c r="I81" s="51">
        <f>IF($A81="","",SUMIFS($E$6:$E81,$D$6:$D81,"미장")-SUMIFS($E$6:$E81,$C$6:$C81,"미장"))</f>
        <v/>
      </c>
      <c r="J81" s="51">
        <f>IF($A81="","",SUMIFS($E$6:$E81,$D$6:$D81,"ISA")-SUMIFS($E$6:$E81,$C$6:$C81,"ISA"))</f>
        <v/>
      </c>
      <c r="K81" s="51">
        <f>IF($A81="","",SUMIFS($E$6:$E81,$D$6:$D81,"중국")-SUMIFS($E$6:$E81,$C$6:$C81,"중국")+SUMIFS($E$6:$E81,$D$6:$D81,"업비트")-SUMIFS($E$6:$E81,$C$6:$C81,"업비트"))</f>
        <v/>
      </c>
      <c r="L81" s="51">
        <f>sum(H81:K81)</f>
        <v/>
      </c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162" t="n"/>
      <c r="B82" s="163" t="n"/>
      <c r="C82" s="163" t="n"/>
      <c r="D82" s="163" t="n"/>
      <c r="E82" s="19" t="n"/>
      <c r="F82" s="163" t="n"/>
      <c r="G82" s="96" t="n"/>
      <c r="H82" s="51">
        <f>IF($A82="","",SUMIFS($E$6:$E82,$D$6:$D82,"국장")-SUMIFS($E$6:$E82,$C$6:$C82,"국장"))</f>
        <v/>
      </c>
      <c r="I82" s="51">
        <f>IF($A82="","",SUMIFS($E$6:$E82,$D$6:$D82,"미장")-SUMIFS($E$6:$E82,$C$6:$C82,"미장"))</f>
        <v/>
      </c>
      <c r="J82" s="51">
        <f>IF($A82="","",SUMIFS($E$6:$E82,$D$6:$D82,"ISA")-SUMIFS($E$6:$E82,$C$6:$C82,"ISA"))</f>
        <v/>
      </c>
      <c r="K82" s="51">
        <f>IF($A82="","",SUMIFS($E$6:$E82,$D$6:$D82,"중국")-SUMIFS($E$6:$E82,$C$6:$C82,"중국")+SUMIFS($E$6:$E82,$D$6:$D82,"업비트")-SUMIFS($E$6:$E82,$C$6:$C82,"업비트"))</f>
        <v/>
      </c>
      <c r="L82" s="51">
        <f>sum(H82:K82)</f>
        <v/>
      </c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162" t="n"/>
      <c r="B83" s="163" t="n"/>
      <c r="C83" s="163" t="n"/>
      <c r="D83" s="163" t="n"/>
      <c r="E83" s="19" t="n"/>
      <c r="F83" s="163" t="n"/>
      <c r="G83" s="96" t="n"/>
      <c r="H83" s="51">
        <f>IF($A83="","",SUMIFS($E$6:$E83,$D$6:$D83,"국장")-SUMIFS($E$6:$E83,$C$6:$C83,"국장"))</f>
        <v/>
      </c>
      <c r="I83" s="51">
        <f>IF($A83="","",SUMIFS($E$6:$E83,$D$6:$D83,"미장")-SUMIFS($E$6:$E83,$C$6:$C83,"미장"))</f>
        <v/>
      </c>
      <c r="J83" s="51">
        <f>IF($A83="","",SUMIFS($E$6:$E83,$D$6:$D83,"ISA")-SUMIFS($E$6:$E83,$C$6:$C83,"ISA"))</f>
        <v/>
      </c>
      <c r="K83" s="51">
        <f>IF($A83="","",SUMIFS($E$6:$E83,$D$6:$D83,"중국")-SUMIFS($E$6:$E83,$C$6:$C83,"중국")+SUMIFS($E$6:$E83,$D$6:$D83,"업비트")-SUMIFS($E$6:$E83,$C$6:$C83,"업비트"))</f>
        <v/>
      </c>
      <c r="L83" s="51">
        <f>sum(H83:K83)</f>
        <v/>
      </c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162" t="n"/>
      <c r="B84" s="163" t="n"/>
      <c r="C84" s="163" t="n"/>
      <c r="D84" s="163" t="n"/>
      <c r="E84" s="19" t="n"/>
      <c r="F84" s="163" t="n"/>
      <c r="G84" s="96" t="n"/>
      <c r="H84" s="51">
        <f>IF($A84="","",SUMIFS($E$6:$E84,$D$6:$D84,"국장")-SUMIFS($E$6:$E84,$C$6:$C84,"국장"))</f>
        <v/>
      </c>
      <c r="I84" s="51">
        <f>IF($A84="","",SUMIFS($E$6:$E84,$D$6:$D84,"미장")-SUMIFS($E$6:$E84,$C$6:$C84,"미장"))</f>
        <v/>
      </c>
      <c r="J84" s="51">
        <f>IF($A84="","",SUMIFS($E$6:$E84,$D$6:$D84,"ISA")-SUMIFS($E$6:$E84,$C$6:$C84,"ISA"))</f>
        <v/>
      </c>
      <c r="K84" s="51">
        <f>IF($A84="","",SUMIFS($E$6:$E84,$D$6:$D84,"중국")-SUMIFS($E$6:$E84,$C$6:$C84,"중국")+SUMIFS($E$6:$E84,$D$6:$D84,"업비트")-SUMIFS($E$6:$E84,$C$6:$C84,"업비트"))</f>
        <v/>
      </c>
      <c r="L84" s="51">
        <f>sum(H84:K84)</f>
        <v/>
      </c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162" t="n"/>
      <c r="B85" s="163" t="n"/>
      <c r="C85" s="163" t="n"/>
      <c r="D85" s="163" t="n"/>
      <c r="E85" s="19" t="n"/>
      <c r="F85" s="163" t="n"/>
      <c r="G85" s="96" t="n"/>
      <c r="H85" s="51">
        <f>IF($A85="","",SUMIFS($E$6:$E85,$D$6:$D85,"국장")-SUMIFS($E$6:$E85,$C$6:$C85,"국장"))</f>
        <v/>
      </c>
      <c r="I85" s="51">
        <f>IF($A85="","",SUMIFS($E$6:$E85,$D$6:$D85,"미장")-SUMIFS($E$6:$E85,$C$6:$C85,"미장"))</f>
        <v/>
      </c>
      <c r="J85" s="51">
        <f>IF($A85="","",SUMIFS($E$6:$E85,$D$6:$D85,"ISA")-SUMIFS($E$6:$E85,$C$6:$C85,"ISA"))</f>
        <v/>
      </c>
      <c r="K85" s="51">
        <f>IF($A85="","",SUMIFS($E$6:$E85,$D$6:$D85,"중국")-SUMIFS($E$6:$E85,$C$6:$C85,"중국")+SUMIFS($E$6:$E85,$D$6:$D85,"업비트")-SUMIFS($E$6:$E85,$C$6:$C85,"업비트"))</f>
        <v/>
      </c>
      <c r="L85" s="51">
        <f>sum(H85:K85)</f>
        <v/>
      </c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162" t="n"/>
      <c r="B86" s="163" t="n"/>
      <c r="C86" s="163" t="n"/>
      <c r="D86" s="163" t="n"/>
      <c r="E86" s="19" t="n"/>
      <c r="F86" s="163" t="n"/>
      <c r="G86" s="96" t="n"/>
      <c r="H86" s="51">
        <f>IF($A86="","",SUMIFS($E$6:$E86,$D$6:$D86,"국장")-SUMIFS($E$6:$E86,$C$6:$C86,"국장"))</f>
        <v/>
      </c>
      <c r="I86" s="51">
        <f>IF($A86="","",SUMIFS($E$6:$E86,$D$6:$D86,"미장")-SUMIFS($E$6:$E86,$C$6:$C86,"미장"))</f>
        <v/>
      </c>
      <c r="J86" s="51">
        <f>IF($A86="","",SUMIFS($E$6:$E86,$D$6:$D86,"ISA")-SUMIFS($E$6:$E86,$C$6:$C86,"ISA"))</f>
        <v/>
      </c>
      <c r="K86" s="51">
        <f>IF($A86="","",SUMIFS($E$6:$E86,$D$6:$D86,"중국")-SUMIFS($E$6:$E86,$C$6:$C86,"중국")+SUMIFS($E$6:$E86,$D$6:$D86,"업비트")-SUMIFS($E$6:$E86,$C$6:$C86,"업비트"))</f>
        <v/>
      </c>
      <c r="L86" s="51">
        <f>sum(H86:K86)</f>
        <v/>
      </c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162" t="n"/>
      <c r="B87" s="163" t="n"/>
      <c r="C87" s="163" t="n"/>
      <c r="D87" s="163" t="n"/>
      <c r="E87" s="19" t="n"/>
      <c r="F87" s="163" t="n"/>
      <c r="G87" s="96" t="n"/>
      <c r="H87" s="51">
        <f>IF($A87="","",SUMIFS($E$6:$E87,$D$6:$D87,"국장")-SUMIFS($E$6:$E87,$C$6:$C87,"국장"))</f>
        <v/>
      </c>
      <c r="I87" s="51">
        <f>IF($A87="","",SUMIFS($E$6:$E87,$D$6:$D87,"미장")-SUMIFS($E$6:$E87,$C$6:$C87,"미장"))</f>
        <v/>
      </c>
      <c r="J87" s="51">
        <f>IF($A87="","",SUMIFS($E$6:$E87,$D$6:$D87,"ISA")-SUMIFS($E$6:$E87,$C$6:$C87,"ISA"))</f>
        <v/>
      </c>
      <c r="K87" s="51">
        <f>IF($A87="","",SUMIFS($E$6:$E87,$D$6:$D87,"중국")-SUMIFS($E$6:$E87,$C$6:$C87,"중국")+SUMIFS($E$6:$E87,$D$6:$D87,"업비트")-SUMIFS($E$6:$E87,$C$6:$C87,"업비트"))</f>
        <v/>
      </c>
      <c r="L87" s="51">
        <f>sum(H87:K87)</f>
        <v/>
      </c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162" t="n"/>
      <c r="B88" s="163" t="n"/>
      <c r="C88" s="163" t="n"/>
      <c r="D88" s="163" t="n"/>
      <c r="E88" s="19" t="n"/>
      <c r="F88" s="163" t="n"/>
      <c r="G88" s="96" t="n"/>
      <c r="H88" s="51">
        <f>IF($A88="","",SUMIFS($E$6:$E88,$D$6:$D88,"국장")-SUMIFS($E$6:$E88,$C$6:$C88,"국장"))</f>
        <v/>
      </c>
      <c r="I88" s="51">
        <f>IF($A88="","",SUMIFS($E$6:$E88,$D$6:$D88,"미장")-SUMIFS($E$6:$E88,$C$6:$C88,"미장"))</f>
        <v/>
      </c>
      <c r="J88" s="51">
        <f>IF($A88="","",SUMIFS($E$6:$E88,$D$6:$D88,"ISA")-SUMIFS($E$6:$E88,$C$6:$C88,"ISA"))</f>
        <v/>
      </c>
      <c r="K88" s="51">
        <f>IF($A88="","",SUMIFS($E$6:$E88,$D$6:$D88,"중국")-SUMIFS($E$6:$E88,$C$6:$C88,"중국")+SUMIFS($E$6:$E88,$D$6:$D88,"업비트")-SUMIFS($E$6:$E88,$C$6:$C88,"업비트"))</f>
        <v/>
      </c>
      <c r="L88" s="51">
        <f>sum(H88:K88)</f>
        <v/>
      </c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162" t="n"/>
      <c r="B89" s="163" t="n"/>
      <c r="C89" s="163" t="n"/>
      <c r="D89" s="163" t="n"/>
      <c r="E89" s="19" t="n"/>
      <c r="F89" s="163" t="n"/>
      <c r="G89" s="96" t="n"/>
      <c r="H89" s="51">
        <f>IF($A89="","",SUMIFS($E$6:$E89,$D$6:$D89,"국장")-SUMIFS($E$6:$E89,$C$6:$C89,"국장"))</f>
        <v/>
      </c>
      <c r="I89" s="51">
        <f>IF($A89="","",SUMIFS($E$6:$E89,$D$6:$D89,"미장")-SUMIFS($E$6:$E89,$C$6:$C89,"미장"))</f>
        <v/>
      </c>
      <c r="J89" s="51">
        <f>IF($A89="","",SUMIFS($E$6:$E89,$D$6:$D89,"ISA")-SUMIFS($E$6:$E89,$C$6:$C89,"ISA"))</f>
        <v/>
      </c>
      <c r="K89" s="51">
        <f>IF($A89="","",SUMIFS($E$6:$E89,$D$6:$D89,"중국")-SUMIFS($E$6:$E89,$C$6:$C89,"중국")+SUMIFS($E$6:$E89,$D$6:$D89,"업비트")-SUMIFS($E$6:$E89,$C$6:$C89,"업비트"))</f>
        <v/>
      </c>
      <c r="L89" s="51">
        <f>sum(H89:K89)</f>
        <v/>
      </c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162" t="n"/>
      <c r="B90" s="163" t="n"/>
      <c r="C90" s="163" t="n"/>
      <c r="D90" s="163" t="n"/>
      <c r="E90" s="19" t="n"/>
      <c r="F90" s="163" t="n"/>
      <c r="G90" s="96" t="n"/>
      <c r="H90" s="51">
        <f>IF($A90="","",SUMIFS($E$6:$E90,$D$6:$D90,"국장")-SUMIFS($E$6:$E90,$C$6:$C90,"국장"))</f>
        <v/>
      </c>
      <c r="I90" s="51">
        <f>IF($A90="","",SUMIFS($E$6:$E90,$D$6:$D90,"미장")-SUMIFS($E$6:$E90,$C$6:$C90,"미장"))</f>
        <v/>
      </c>
      <c r="J90" s="51">
        <f>IF($A90="","",SUMIFS($E$6:$E90,$D$6:$D90,"ISA")-SUMIFS($E$6:$E90,$C$6:$C90,"ISA"))</f>
        <v/>
      </c>
      <c r="K90" s="51">
        <f>IF($A90="","",SUMIFS($E$6:$E90,$D$6:$D90,"중국")-SUMIFS($E$6:$E90,$C$6:$C90,"중국")+SUMIFS($E$6:$E90,$D$6:$D90,"업비트")-SUMIFS($E$6:$E90,$C$6:$C90,"업비트"))</f>
        <v/>
      </c>
      <c r="L90" s="51">
        <f>sum(H90:K90)</f>
        <v/>
      </c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162" t="n"/>
      <c r="B91" s="163" t="n"/>
      <c r="C91" s="163" t="n"/>
      <c r="D91" s="163" t="n"/>
      <c r="E91" s="19" t="n"/>
      <c r="F91" s="163" t="n"/>
      <c r="G91" s="96" t="n"/>
      <c r="H91" s="51">
        <f>IF($A91="","",SUMIFS($E$6:$E91,$D$6:$D91,"국장")-SUMIFS($E$6:$E91,$C$6:$C91,"국장"))</f>
        <v/>
      </c>
      <c r="I91" s="51">
        <f>IF($A91="","",SUMIFS($E$6:$E91,$D$6:$D91,"미장")-SUMIFS($E$6:$E91,$C$6:$C91,"미장"))</f>
        <v/>
      </c>
      <c r="J91" s="51">
        <f>IF($A91="","",SUMIFS($E$6:$E91,$D$6:$D91,"ISA")-SUMIFS($E$6:$E91,$C$6:$C91,"ISA"))</f>
        <v/>
      </c>
      <c r="K91" s="51">
        <f>IF($A91="","",SUMIFS($E$6:$E91,$D$6:$D91,"중국")-SUMIFS($E$6:$E91,$C$6:$C91,"중국")+SUMIFS($E$6:$E91,$D$6:$D91,"업비트")-SUMIFS($E$6:$E91,$C$6:$C91,"업비트"))</f>
        <v/>
      </c>
      <c r="L91" s="51">
        <f>sum(H91:K91)</f>
        <v/>
      </c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162" t="n"/>
      <c r="B92" s="163" t="n"/>
      <c r="C92" s="163" t="n"/>
      <c r="D92" s="163" t="n"/>
      <c r="E92" s="19" t="n"/>
      <c r="F92" s="163" t="n"/>
      <c r="G92" s="96" t="n"/>
      <c r="H92" s="51">
        <f>IF($A92="","",SUMIFS($E$6:$E92,$D$6:$D92,"국장")-SUMIFS($E$6:$E92,$C$6:$C92,"국장"))</f>
        <v/>
      </c>
      <c r="I92" s="51">
        <f>IF($A92="","",SUMIFS($E$6:$E92,$D$6:$D92,"미장")-SUMIFS($E$6:$E92,$C$6:$C92,"미장"))</f>
        <v/>
      </c>
      <c r="J92" s="51">
        <f>IF($A92="","",SUMIFS($E$6:$E92,$D$6:$D92,"ISA")-SUMIFS($E$6:$E92,$C$6:$C92,"ISA"))</f>
        <v/>
      </c>
      <c r="K92" s="51">
        <f>IF($A92="","",SUMIFS($E$6:$E92,$D$6:$D92,"중국")-SUMIFS($E$6:$E92,$C$6:$C92,"중국")+SUMIFS($E$6:$E92,$D$6:$D92,"업비트")-SUMIFS($E$6:$E92,$C$6:$C92,"업비트"))</f>
        <v/>
      </c>
      <c r="L92" s="51">
        <f>sum(H92:K92)</f>
        <v/>
      </c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181" t="inlineStr">
        <is>
          <t>Ⅱ. 계좌별 누적 순투입 원금 (최종)</t>
        </is>
      </c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" t="inlineStr">
        <is>
          <t>계좌</t>
        </is>
      </c>
      <c r="B96" s="9" t="inlineStr">
        <is>
          <t>누적 순투입 원금</t>
        </is>
      </c>
      <c r="C96" s="9" t="inlineStr">
        <is>
          <t>비고</t>
        </is>
      </c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10" t="inlineStr">
        <is>
          <t>국장</t>
        </is>
      </c>
      <c r="B97" s="81">
        <f>SUMIFS($E$6:$E$92,$D$6:$D$92,A97)-SUMIFS($E$6:$E$92,$C$6:$C$92,A97)</f>
        <v/>
      </c>
      <c r="C97" s="141">
        <f>IF(B97&lt;=0,"⚠️ 순투입 0 이하 → 이 계좌의 수익률(%)은 무의미. 금액으로만 볼 것","")</f>
        <v/>
      </c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10" t="inlineStr">
        <is>
          <t>미장</t>
        </is>
      </c>
      <c r="B98" s="81">
        <f>SUMIFS($E$6:$E$92,$D$6:$D$92,A98)-SUMIFS($E$6:$E$92,$C$6:$C$92,A98)</f>
        <v/>
      </c>
      <c r="C98" s="141">
        <f>IF(B98&lt;=0,"⚠️ 순투입 0 이하 → 이 계좌의 수익률(%)은 무의미. 금액으로만 볼 것","")</f>
        <v/>
      </c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10" t="inlineStr">
        <is>
          <t>ISA</t>
        </is>
      </c>
      <c r="B99" s="81">
        <f>SUMIFS($E$6:$E$92,$D$6:$D$92,A99)-SUMIFS($E$6:$E$92,$C$6:$C$92,A99)</f>
        <v/>
      </c>
      <c r="C99" s="141">
        <f>IF(B99&lt;=0,"⚠️ 순투입 0 이하 → 이 계좌의 수익률(%)은 무의미. 금액으로만 볼 것","")</f>
        <v/>
      </c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25" t="inlineStr">
        <is>
          <t>합계 (외부 순유입)</t>
        </is>
      </c>
      <c r="B100" s="23">
        <f>SUM(B97:B99)</f>
        <v/>
      </c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181" t="inlineStr">
        <is>
          <t>Ⅲ. 자금 성격별 &amp; 기준 정보</t>
        </is>
      </c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" t="inlineStr">
        <is>
          <t>구분</t>
        </is>
      </c>
      <c r="B104" s="9" t="inlineStr">
        <is>
          <t>금액</t>
        </is>
      </c>
      <c r="C104" s="9" t="inlineStr">
        <is>
          <t>비고</t>
        </is>
      </c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10" t="inlineStr">
        <is>
          <t>회사대출 (전세자금 2억)</t>
        </is>
      </c>
      <c r="B105" s="19" t="n">
        <v>200000000</v>
      </c>
      <c r="C105" s="141" t="inlineStr">
        <is>
          <t>실거주 목적 자금</t>
        </is>
      </c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10" t="inlineStr">
        <is>
          <t>회사대출 (생활안정자금 4천)</t>
        </is>
      </c>
      <c r="B106" s="19" t="n">
        <v>40000000</v>
      </c>
      <c r="C106" s="17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10" t="inlineStr">
        <is>
          <t>자기자금</t>
        </is>
      </c>
      <c r="B107" s="19" t="n">
        <v>100000000</v>
      </c>
      <c r="C107" s="17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10" t="inlineStr">
        <is>
          <t>★ 연봉 (세전, 기준값)</t>
        </is>
      </c>
      <c r="B108" s="19" t="n">
        <v>80000000</v>
      </c>
      <c r="C108" s="17" t="inlineStr">
        <is>
          <t>차입 배수 계산의 분모</t>
        </is>
      </c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181" t="inlineStr">
        <is>
          <t>Ⅳ. 월별 신용·대출 이자  —  신용을 깔고 가면 이자는 매달 확정 손실이다</t>
        </is>
      </c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" t="inlineStr">
        <is>
          <t>월</t>
        </is>
      </c>
      <c r="B112" s="9" t="inlineStr">
        <is>
          <t>증권사 신용이자</t>
        </is>
      </c>
      <c r="C112" s="9" t="inlineStr">
        <is>
          <t>회사대출 이자</t>
        </is>
      </c>
      <c r="D112" s="9" t="inlineStr">
        <is>
          <t>기타 금융비용</t>
        </is>
      </c>
      <c r="E112" s="9" t="inlineStr">
        <is>
          <t>합계</t>
        </is>
      </c>
      <c r="F112" s="9" t="inlineStr">
        <is>
          <t>누적</t>
        </is>
      </c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158" t="n">
        <v>45962</v>
      </c>
      <c r="B113" s="19" t="n">
        <v>609108</v>
      </c>
      <c r="C113" s="19" t="n"/>
      <c r="D113" s="19" t="n"/>
      <c r="E113" s="81">
        <f>IFERROR(SUM(B113:D113),0)</f>
        <v/>
      </c>
      <c r="F113" s="51">
        <f>SUM($E$113:E113)</f>
        <v/>
      </c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158" t="n">
        <v>45992</v>
      </c>
      <c r="B114" s="19" t="n">
        <v>404008</v>
      </c>
      <c r="C114" s="19" t="n"/>
      <c r="D114" s="19" t="n"/>
      <c r="E114" s="81">
        <f>IFERROR(SUM(B114:D114),0)</f>
        <v/>
      </c>
      <c r="F114" s="51">
        <f>SUM($E$113:E114)</f>
        <v/>
      </c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158" t="n">
        <v>46023</v>
      </c>
      <c r="B115" s="19" t="n">
        <v>2034300</v>
      </c>
      <c r="C115" s="19" t="n"/>
      <c r="D115" s="19" t="n"/>
      <c r="E115" s="81">
        <f>IFERROR(SUM(B115:D115),0)</f>
        <v/>
      </c>
      <c r="F115" s="51">
        <f>SUM($E$113:E115)</f>
        <v/>
      </c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158" t="n">
        <v>46054</v>
      </c>
      <c r="B116" s="19" t="n">
        <v>1255350</v>
      </c>
      <c r="C116" s="19" t="n"/>
      <c r="D116" s="19" t="n"/>
      <c r="E116" s="81">
        <f>IFERROR(SUM(B116:D116),0)</f>
        <v/>
      </c>
      <c r="F116" s="51">
        <f>SUM($E$113:E116)</f>
        <v/>
      </c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158" t="n">
        <v>46082</v>
      </c>
      <c r="B117" s="19" t="n">
        <v>2720632</v>
      </c>
      <c r="C117" s="19" t="n"/>
      <c r="D117" s="19" t="n"/>
      <c r="E117" s="81">
        <f>IFERROR(SUM(B117:D117),0)</f>
        <v/>
      </c>
      <c r="F117" s="51">
        <f>SUM($E$113:E117)</f>
        <v/>
      </c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158" t="n">
        <v>46113</v>
      </c>
      <c r="B118" s="19" t="n">
        <v>3178286</v>
      </c>
      <c r="C118" s="19" t="n"/>
      <c r="D118" s="19" t="n"/>
      <c r="E118" s="81">
        <f>IFERROR(SUM(B118:D118),0)</f>
        <v/>
      </c>
      <c r="F118" s="51">
        <f>SUM($E$113:E118)</f>
        <v/>
      </c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158" t="n">
        <v>46143</v>
      </c>
      <c r="B119" s="19" t="n">
        <v>2845377</v>
      </c>
      <c r="C119" s="19" t="n"/>
      <c r="D119" s="19" t="n"/>
      <c r="E119" s="81">
        <f>IFERROR(SUM(B119:D119),0)</f>
        <v/>
      </c>
      <c r="F119" s="51">
        <f>SUM($E$113:E119)</f>
        <v/>
      </c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158" t="n">
        <v>46174</v>
      </c>
      <c r="B120" s="19" t="n">
        <v>2766879</v>
      </c>
      <c r="C120" s="19" t="n"/>
      <c r="D120" s="19" t="n"/>
      <c r="E120" s="81">
        <f>IFERROR(SUM(B120:D120),0)</f>
        <v/>
      </c>
      <c r="F120" s="51">
        <f>SUM($E$113:E120)</f>
        <v/>
      </c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158" t="n">
        <v>46204</v>
      </c>
      <c r="B121" s="19" t="n">
        <v>4024928</v>
      </c>
      <c r="C121" s="19" t="n"/>
      <c r="D121" s="19" t="n"/>
      <c r="E121" s="81">
        <f>IFERROR(SUM(B121:D121),0)</f>
        <v/>
      </c>
      <c r="F121" s="51">
        <f>SUM($E$113:E121)</f>
        <v/>
      </c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158" t="n">
        <v>46235</v>
      </c>
      <c r="B122" s="19" t="n"/>
      <c r="C122" s="19" t="n"/>
      <c r="D122" s="19" t="n"/>
      <c r="E122" s="81">
        <f>IFERROR(SUM(B122:D122),0)</f>
        <v/>
      </c>
      <c r="F122" s="51">
        <f>SUM($E$113:E122)</f>
        <v/>
      </c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158" t="n">
        <v>46266</v>
      </c>
      <c r="B123" s="19" t="n"/>
      <c r="C123" s="19" t="n"/>
      <c r="D123" s="19" t="n"/>
      <c r="E123" s="81">
        <f>IFERROR(SUM(B123:D123),0)</f>
        <v/>
      </c>
      <c r="F123" s="51">
        <f>SUM($E$113:E123)</f>
        <v/>
      </c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158" t="n">
        <v>46296</v>
      </c>
      <c r="B124" s="19" t="n"/>
      <c r="C124" s="19" t="n"/>
      <c r="D124" s="19" t="n"/>
      <c r="E124" s="81">
        <f>IFERROR(SUM(B124:D124),0)</f>
        <v/>
      </c>
      <c r="F124" s="51">
        <f>SUM($E$113:E124)</f>
        <v/>
      </c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158" t="n">
        <v>46327</v>
      </c>
      <c r="B125" s="19" t="n"/>
      <c r="C125" s="19" t="n"/>
      <c r="D125" s="19" t="n"/>
      <c r="E125" s="81">
        <f>IFERROR(SUM(B125:D125),0)</f>
        <v/>
      </c>
      <c r="F125" s="51">
        <f>SUM($E$113:E125)</f>
        <v/>
      </c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158" t="n">
        <v>46357</v>
      </c>
      <c r="B126" s="19" t="n"/>
      <c r="C126" s="19" t="n"/>
      <c r="D126" s="19" t="n"/>
      <c r="E126" s="81">
        <f>IFERROR(SUM(B126:D126),0)</f>
        <v/>
      </c>
      <c r="F126" s="51">
        <f>SUM($E$113:E126)</f>
        <v/>
      </c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25" t="inlineStr">
        <is>
          <t>누적 합계</t>
        </is>
      </c>
      <c r="B127" s="99" t="n"/>
      <c r="C127" s="99" t="n"/>
      <c r="D127" s="99" t="n"/>
      <c r="E127" s="23">
        <f>SUM(E113:E126)</f>
        <v/>
      </c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181" t="inlineStr">
        <is>
          <t>Ⅴ. 해외주식 양도소득세 (예상)  —  실현이익만 직접 입력하면 자동 계산</t>
        </is>
      </c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289" t="inlineStr">
        <is>
          <t>단순 추정입니다. 손익통산·이월결손금·매수매도 시점 환율차를 반영하지 않습니다. 실제 신고는 세무 전문가와 확인하세요.</t>
        </is>
      </c>
      <c r="B131" s="279" t="n"/>
      <c r="C131" s="279" t="n"/>
      <c r="D131" s="279" t="n"/>
      <c r="E131" s="279" t="n"/>
      <c r="F131" s="27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" t="inlineStr">
        <is>
          <t>연도</t>
        </is>
      </c>
      <c r="B132" s="9" t="inlineStr">
        <is>
          <t>연간 실현이익
(입력)</t>
        </is>
      </c>
      <c r="C132" s="9" t="inlineStr">
        <is>
          <t>기본공제</t>
        </is>
      </c>
      <c r="D132" s="9" t="inlineStr">
        <is>
          <t>과세표준</t>
        </is>
      </c>
      <c r="E132" s="9" t="inlineStr">
        <is>
          <t>세율</t>
        </is>
      </c>
      <c r="F132" s="9" t="inlineStr">
        <is>
          <t>예상 세액</t>
        </is>
      </c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173" t="n">
        <v>2025</v>
      </c>
      <c r="B133" s="19" t="n"/>
      <c r="C133" s="19" t="n">
        <v>2500000</v>
      </c>
      <c r="D133" s="51">
        <f>MAX(0,IFERROR(B133,0)-C133)</f>
        <v/>
      </c>
      <c r="E133" s="174" t="n">
        <v>0.22</v>
      </c>
      <c r="F133" s="81">
        <f>D133*E133</f>
        <v/>
      </c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173" t="n">
        <v>2026</v>
      </c>
      <c r="B134" s="19" t="n">
        <v>92287764</v>
      </c>
      <c r="C134" s="19" t="n">
        <v>2500000</v>
      </c>
      <c r="D134" s="51">
        <f>MAX(0,IFERROR(B134,0)-C134)</f>
        <v/>
      </c>
      <c r="E134" s="174" t="n">
        <v>0.22</v>
      </c>
      <c r="F134" s="81">
        <f>D134*E134</f>
        <v/>
      </c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25" t="inlineStr">
        <is>
          <t>합계</t>
        </is>
      </c>
      <c r="B135" s="99" t="n"/>
      <c r="C135" s="99" t="n"/>
      <c r="D135" s="99" t="n"/>
      <c r="E135" s="99" t="n"/>
      <c r="F135" s="23">
        <f>SUM(F133:F134)</f>
        <v/>
      </c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181" t="inlineStr">
        <is>
          <t>Ⅵ. 강의·구독 지출</t>
        </is>
      </c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" t="inlineStr">
        <is>
          <t>일시</t>
        </is>
      </c>
      <c r="B139" s="9" t="inlineStr">
        <is>
          <t>금액</t>
        </is>
      </c>
      <c r="C139" s="9" t="inlineStr">
        <is>
          <t>지출처</t>
        </is>
      </c>
      <c r="D139" s="9" t="inlineStr">
        <is>
          <t>연도</t>
        </is>
      </c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175" t="n">
        <v>45764</v>
      </c>
      <c r="B140" s="32" t="n">
        <v>180000</v>
      </c>
      <c r="C140" s="80" t="inlineStr">
        <is>
          <t>서재형 매매관리 첫걸음</t>
        </is>
      </c>
      <c r="D140" s="34" t="n">
        <v>2025</v>
      </c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175" t="n">
        <v>45790</v>
      </c>
      <c r="B141" s="32" t="n">
        <v>280000</v>
      </c>
      <c r="C141" s="80" t="inlineStr">
        <is>
          <t>서재형 여름학기</t>
        </is>
      </c>
      <c r="D141" s="34" t="n">
        <v>2025</v>
      </c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175" t="n">
        <v>45842</v>
      </c>
      <c r="B142" s="32" t="n">
        <v>1320000</v>
      </c>
      <c r="C142" s="80" t="inlineStr">
        <is>
          <t>DS 가입비&amp;구독</t>
        </is>
      </c>
      <c r="D142" s="34" t="n">
        <v>2025</v>
      </c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175" t="n">
        <v>45873</v>
      </c>
      <c r="B143" s="32" t="n">
        <v>280000</v>
      </c>
      <c r="C143" s="80" t="inlineStr">
        <is>
          <t>서재형 가을학기</t>
        </is>
      </c>
      <c r="D143" s="34" t="n">
        <v>2025</v>
      </c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175" t="n">
        <v>45899</v>
      </c>
      <c r="B144" s="32" t="n">
        <v>45000</v>
      </c>
      <c r="C144" s="80" t="inlineStr">
        <is>
          <t>올랜도킴 (1회차)</t>
        </is>
      </c>
      <c r="D144" s="34" t="n">
        <v>2025</v>
      </c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175" t="n">
        <v>45902</v>
      </c>
      <c r="B145" s="32" t="n">
        <v>20000</v>
      </c>
      <c r="C145" s="80" t="inlineStr">
        <is>
          <t>표상록 (1회차)</t>
        </is>
      </c>
      <c r="D145" s="34" t="n">
        <v>2025</v>
      </c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175" t="n">
        <v>45931</v>
      </c>
      <c r="B146" s="32" t="n">
        <v>20000</v>
      </c>
      <c r="C146" s="80" t="inlineStr">
        <is>
          <t>올랜도킴 (2회차)</t>
        </is>
      </c>
      <c r="D146" s="34" t="n">
        <v>2025</v>
      </c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175" t="n">
        <v>45932</v>
      </c>
      <c r="B147" s="32" t="n">
        <v>20000</v>
      </c>
      <c r="C147" s="80" t="inlineStr">
        <is>
          <t>표상록 (2회차)</t>
        </is>
      </c>
      <c r="D147" s="34" t="n">
        <v>2025</v>
      </c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175" t="n">
        <v>45932</v>
      </c>
      <c r="B148" s="32" t="n">
        <v>330000</v>
      </c>
      <c r="C148" s="80" t="inlineStr">
        <is>
          <t>DS 구독 2회차</t>
        </is>
      </c>
      <c r="D148" s="34" t="n">
        <v>2025</v>
      </c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175" t="n">
        <v>45962</v>
      </c>
      <c r="B149" s="32" t="n">
        <v>100000</v>
      </c>
      <c r="C149" s="80" t="inlineStr">
        <is>
          <t>김기훈 구독 (1회차)</t>
        </is>
      </c>
      <c r="D149" s="34" t="n">
        <v>2025</v>
      </c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175" t="n">
        <v>45973</v>
      </c>
      <c r="B150" s="32" t="n">
        <v>33000</v>
      </c>
      <c r="C150" s="80" t="inlineStr">
        <is>
          <t>이해진 뉴스레터 (11월)</t>
        </is>
      </c>
      <c r="D150" s="34" t="n">
        <v>2025</v>
      </c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175" t="n">
        <v>45974</v>
      </c>
      <c r="B151" s="32" t="n">
        <v>280000</v>
      </c>
      <c r="C151" s="80" t="inlineStr">
        <is>
          <t>서재형 겨울학기</t>
        </is>
      </c>
      <c r="D151" s="34" t="n">
        <v>2025</v>
      </c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175" t="n">
        <v>45992</v>
      </c>
      <c r="B152" s="32" t="n">
        <v>100000</v>
      </c>
      <c r="C152" s="80" t="inlineStr">
        <is>
          <t>김기훈 구독 (2회차)</t>
        </is>
      </c>
      <c r="D152" s="34" t="n">
        <v>2025</v>
      </c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175" t="n">
        <v>46003</v>
      </c>
      <c r="B153" s="32" t="n">
        <v>33000</v>
      </c>
      <c r="C153" s="80" t="inlineStr">
        <is>
          <t>이해진 뉴스레터 (12월)</t>
        </is>
      </c>
      <c r="D153" s="34" t="n">
        <v>2025</v>
      </c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175" t="n">
        <v>46022</v>
      </c>
      <c r="B154" s="32" t="n">
        <v>100000</v>
      </c>
      <c r="C154" s="80" t="inlineStr">
        <is>
          <t>김기훈 구독 (3회차/1월)</t>
        </is>
      </c>
      <c r="D154" s="34" t="n">
        <v>2026</v>
      </c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175" t="n">
        <v>46034</v>
      </c>
      <c r="B155" s="32" t="n">
        <v>33000</v>
      </c>
      <c r="C155" s="80" t="inlineStr">
        <is>
          <t>이해진 뉴스레터 (1월)</t>
        </is>
      </c>
      <c r="D155" s="34" t="n">
        <v>2026</v>
      </c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175" t="n">
        <v>46052</v>
      </c>
      <c r="B156" s="32" t="n">
        <v>100000</v>
      </c>
      <c r="C156" s="80" t="inlineStr">
        <is>
          <t>김기훈 구독</t>
        </is>
      </c>
      <c r="D156" s="34" t="n">
        <v>2026</v>
      </c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175" t="n">
        <v>46064</v>
      </c>
      <c r="B157" s="32" t="n">
        <v>280000</v>
      </c>
      <c r="C157" s="80" t="inlineStr">
        <is>
          <t>서재형 봄학기</t>
        </is>
      </c>
      <c r="D157" s="34" t="n">
        <v>2026</v>
      </c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175" t="n"/>
      <c r="B158" s="32" t="n"/>
      <c r="C158" s="36" t="n"/>
      <c r="D158" s="34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175" t="n"/>
      <c r="B159" s="32" t="n"/>
      <c r="C159" s="36" t="n"/>
      <c r="D159" s="34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175" t="n"/>
      <c r="B160" s="32" t="n"/>
      <c r="C160" s="36" t="n"/>
      <c r="D160" s="34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175" t="n"/>
      <c r="B161" s="32" t="n"/>
      <c r="C161" s="36" t="n"/>
      <c r="D161" s="34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175" t="n"/>
      <c r="B162" s="32" t="n"/>
      <c r="C162" s="36" t="n"/>
      <c r="D162" s="34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175" t="n"/>
      <c r="B163" s="32" t="n"/>
      <c r="C163" s="36" t="n"/>
      <c r="D163" s="34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175" t="n"/>
      <c r="B164" s="32" t="n"/>
      <c r="C164" s="36" t="n"/>
      <c r="D164" s="34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175" t="n"/>
      <c r="B165" s="32" t="n"/>
      <c r="C165" s="36" t="n"/>
      <c r="D165" s="34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175" t="n"/>
      <c r="B166" s="32" t="n"/>
      <c r="C166" s="36" t="n"/>
      <c r="D166" s="34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175" t="n"/>
      <c r="B167" s="32" t="n"/>
      <c r="C167" s="36" t="n"/>
      <c r="D167" s="34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175" t="n"/>
      <c r="B168" s="32" t="n"/>
      <c r="C168" s="36" t="n"/>
      <c r="D168" s="34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175" t="n"/>
      <c r="B169" s="32" t="n"/>
      <c r="C169" s="36" t="n"/>
      <c r="D169" s="34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175" t="n"/>
      <c r="B170" s="32" t="n"/>
      <c r="C170" s="36" t="n"/>
      <c r="D170" s="34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175" t="n"/>
      <c r="B171" s="32" t="n"/>
      <c r="C171" s="36" t="n"/>
      <c r="D171" s="34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175" t="n"/>
      <c r="B172" s="32" t="n"/>
      <c r="C172" s="36" t="n"/>
      <c r="D172" s="34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175" t="n"/>
      <c r="B173" s="32" t="n"/>
      <c r="C173" s="36" t="n"/>
      <c r="D173" s="34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175" t="n"/>
      <c r="B174" s="32" t="n"/>
      <c r="C174" s="36" t="n"/>
      <c r="D174" s="34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175" t="n"/>
      <c r="B175" s="32" t="n"/>
      <c r="C175" s="36" t="n"/>
      <c r="D175" s="34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175" t="n"/>
      <c r="B176" s="32" t="n"/>
      <c r="C176" s="36" t="n"/>
      <c r="D176" s="34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175" t="n"/>
      <c r="B177" s="32" t="n"/>
      <c r="C177" s="36" t="n"/>
      <c r="D177" s="34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175" t="n"/>
      <c r="B178" s="32" t="n"/>
      <c r="C178" s="36" t="n"/>
      <c r="D178" s="34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25" t="inlineStr">
        <is>
          <t>총 누적 지출</t>
        </is>
      </c>
      <c r="B179" s="23">
        <f>SUM(B140:B178)</f>
        <v/>
      </c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8">
    <mergeCell ref="A4:K4"/>
    <mergeCell ref="A103:C103"/>
    <mergeCell ref="A111:F111"/>
    <mergeCell ref="A95:D95"/>
    <mergeCell ref="A131:F131"/>
    <mergeCell ref="A130:F130"/>
    <mergeCell ref="A1:K1"/>
    <mergeCell ref="A138:D138"/>
  </mergeCells>
  <dataValidations count="3">
    <dataValidation sqref="F6:F92" showDropDown="0" showInputMessage="0" showErrorMessage="0" allowBlank="1" type="list">
      <formula1>"자기자금,대출금,대출+자기자금"</formula1>
    </dataValidation>
    <dataValidation sqref="C6:D92" showDropDown="0" showInputMessage="0" showErrorMessage="0" allowBlank="1" type="list">
      <formula1>"국장,미장,ISA,중국,업비트"</formula1>
    </dataValidation>
    <dataValidation sqref="B6:B92" showDropDown="0" showInputMessage="0" showErrorMessage="0" allowBlank="1" type="list">
      <formula1>"개시잔액,외부입금,외부출금,계좌간이체"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A1:F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4" customWidth="1" style="179" min="1" max="1"/>
    <col width="8" customWidth="1" style="179" min="2" max="2"/>
    <col width="12" customWidth="1" style="179" min="3" max="3"/>
    <col width="70" customWidth="1" style="179" min="4" max="4"/>
    <col width="34" customWidth="1" style="179" min="5" max="5"/>
    <col width="44" customWidth="1" style="179" min="6" max="6"/>
    <col width="8.710000000000001" customWidth="1" style="179" min="7" max="26"/>
  </cols>
  <sheetData>
    <row r="1">
      <c r="A1" s="290" t="inlineStr">
        <is>
          <t>⑩ 생각노트  —  개선 아이디어 · 잊지 말 것 · 일기</t>
        </is>
      </c>
      <c r="B1" s="279" t="n"/>
      <c r="C1" s="279" t="n"/>
      <c r="D1" s="279" t="n"/>
      <c r="E1" s="279" t="n"/>
      <c r="F1" s="279" t="n"/>
    </row>
    <row r="2">
      <c r="A2" s="288" t="inlineStr">
        <is>
          <t>Ⅰ 아이디어는 떠오를 때, Ⅱ 기억은 뼈아플 때, Ⅲ 일기는 아무 때나. Ⅱ는 분기 1회(Q2), Ⅲ는 월 1회 결산 때 훑어보면 충분합니다.</t>
        </is>
      </c>
      <c r="B2" s="279" t="n"/>
      <c r="C2" s="279" t="n"/>
      <c r="D2" s="279" t="n"/>
      <c r="E2" s="279" t="n"/>
      <c r="F2" s="279" t="n"/>
    </row>
    <row r="3">
      <c r="A3" s="99" t="n"/>
      <c r="B3" s="99" t="n"/>
      <c r="C3" s="99" t="n"/>
      <c r="D3" s="99" t="n"/>
      <c r="E3" s="99" t="n"/>
      <c r="F3" s="99" t="n"/>
    </row>
    <row r="4">
      <c r="A4" s="291" t="inlineStr">
        <is>
          <t>Ⅰ. 대시보드 개선 아이디어 백로그</t>
        </is>
      </c>
      <c r="B4" s="279" t="n"/>
      <c r="C4" s="279" t="n"/>
      <c r="D4" s="279" t="n"/>
      <c r="E4" s="279" t="n"/>
      <c r="F4" s="279" t="n"/>
    </row>
    <row r="5">
      <c r="A5" s="140" t="inlineStr">
        <is>
          <t>등록일</t>
        </is>
      </c>
      <c r="B5" s="140" t="inlineStr">
        <is>
          <t>구분</t>
        </is>
      </c>
      <c r="C5" s="140" t="inlineStr">
        <is>
          <t>아이디어</t>
        </is>
      </c>
      <c r="D5" s="140" t="inlineStr">
        <is>
          <t>왜 필요한가</t>
        </is>
      </c>
      <c r="E5" s="140" t="inlineStr">
        <is>
          <t>우선순위</t>
        </is>
      </c>
      <c r="F5" s="140" t="inlineStr">
        <is>
          <t>상태</t>
        </is>
      </c>
    </row>
    <row r="6" ht="30" customHeight="1" s="179">
      <c r="A6" s="167" t="n">
        <v>46237</v>
      </c>
      <c r="B6" s="163" t="inlineStr">
        <is>
          <t>포지션</t>
        </is>
      </c>
      <c r="C6" s="164" t="inlineStr">
        <is>
          <t>물타기 카운터 열 — 종목별 추가매수 횟수·직전 매수일 자동 표시</t>
        </is>
      </c>
      <c r="D6" s="164" t="inlineStr">
        <is>
          <t>7/6~10 사흘 582M 물타기를 사전에 막으려면 '지금 몇 번째인지'가 보여야 함</t>
        </is>
      </c>
      <c r="E6" s="163" t="inlineStr">
        <is>
          <t>상</t>
        </is>
      </c>
      <c r="F6" s="163" t="inlineStr">
        <is>
          <t>대기</t>
        </is>
      </c>
    </row>
    <row r="7" ht="30" customHeight="1" s="179">
      <c r="A7" s="167" t="n">
        <v>46237</v>
      </c>
      <c r="B7" s="163" t="inlineStr">
        <is>
          <t>기타</t>
        </is>
      </c>
      <c r="C7" s="164" t="inlineStr">
        <is>
          <t>증권사 거래내역 월 1회 붙여넣기 탭 — 일시매수 비율·재진입 쿨다운 자동 검증</t>
        </is>
      </c>
      <c r="D7" s="164" t="inlineStr">
        <is>
          <t>매매일지를 체결마다 쓸 수 없으니, 월 1회 export로 사후 검증</t>
        </is>
      </c>
      <c r="E7" s="163" t="inlineStr">
        <is>
          <t>중</t>
        </is>
      </c>
      <c r="F7" s="163" t="inlineStr">
        <is>
          <t>대기</t>
        </is>
      </c>
    </row>
    <row r="8" ht="30" customHeight="1" s="179">
      <c r="A8" s="167" t="n">
        <v>46237</v>
      </c>
      <c r="B8" s="163" t="inlineStr">
        <is>
          <t>룰북</t>
        </is>
      </c>
      <c r="C8" s="164" t="inlineStr">
        <is>
          <t>디레버리징 규칙 — 벤치마크 상회 시 현금비중 단계적 상향 자동 판정</t>
        </is>
      </c>
      <c r="D8" s="164" t="inlineStr">
        <is>
          <t>수익 국면에서 레버리지가 최대가 되는 구조를 끊기 위해 (대원칙 13)</t>
        </is>
      </c>
      <c r="E8" s="163" t="inlineStr">
        <is>
          <t>상</t>
        </is>
      </c>
      <c r="F8" s="163" t="inlineStr">
        <is>
          <t>대기</t>
        </is>
      </c>
    </row>
    <row r="9" ht="30" customHeight="1" s="179">
      <c r="A9" s="167" t="n">
        <v>46237</v>
      </c>
      <c r="B9" s="163" t="inlineStr">
        <is>
          <t>룰북</t>
        </is>
      </c>
      <c r="C9" s="164" t="inlineStr">
        <is>
          <t>담보비율 위험 이력 규칙 — 분기 내 담보비율 1.6 하회 이력이 있으면 레버리지 신규 금지</t>
        </is>
      </c>
      <c r="D9" s="164" t="inlineStr">
        <is>
          <t>7월 청산 직전 경험을 '기억'이 아니라 '잠금'으로 만들기</t>
        </is>
      </c>
      <c r="E9" s="163" t="inlineStr">
        <is>
          <t>중</t>
        </is>
      </c>
      <c r="F9" s="163" t="inlineStr">
        <is>
          <t>대기</t>
        </is>
      </c>
    </row>
    <row r="10" ht="30" customHeight="1" s="179">
      <c r="A10" s="167" t="n">
        <v>46237</v>
      </c>
      <c r="B10" s="163" t="inlineStr">
        <is>
          <t>뷰트래커</t>
        </is>
      </c>
      <c r="C10" s="164" t="inlineStr">
        <is>
          <t>R14 기준을 3명 → 4명으로 상향 검토</t>
        </is>
      </c>
      <c r="D10" s="164" t="inlineStr">
        <is>
          <t>박종훈·알상무·월가아재를 정규 소스로 편입한다면</t>
        </is>
      </c>
      <c r="E10" s="163" t="inlineStr">
        <is>
          <t>하</t>
        </is>
      </c>
      <c r="F10" s="163" t="inlineStr">
        <is>
          <t>보류</t>
        </is>
      </c>
    </row>
    <row r="11">
      <c r="A11" s="167" t="n"/>
      <c r="B11" s="163" t="n"/>
      <c r="C11" s="164" t="n"/>
      <c r="D11" s="164" t="n"/>
      <c r="E11" s="163" t="n"/>
      <c r="F11" s="163" t="n"/>
    </row>
    <row r="12">
      <c r="A12" s="167" t="n"/>
      <c r="B12" s="163" t="n"/>
      <c r="C12" s="164" t="n"/>
      <c r="D12" s="164" t="n"/>
      <c r="E12" s="163" t="n"/>
      <c r="F12" s="163" t="n"/>
    </row>
    <row r="13">
      <c r="A13" s="167" t="n"/>
      <c r="B13" s="163" t="n"/>
      <c r="C13" s="164" t="n"/>
      <c r="D13" s="164" t="n"/>
      <c r="E13" s="163" t="n"/>
      <c r="F13" s="163" t="n"/>
    </row>
    <row r="14">
      <c r="A14" s="167" t="n"/>
      <c r="B14" s="163" t="n"/>
      <c r="C14" s="164" t="n"/>
      <c r="D14" s="164" t="n"/>
      <c r="E14" s="163" t="n"/>
      <c r="F14" s="163" t="n"/>
    </row>
    <row r="15">
      <c r="A15" s="167" t="n"/>
      <c r="B15" s="163" t="n"/>
      <c r="C15" s="164" t="n"/>
      <c r="D15" s="164" t="n"/>
      <c r="E15" s="163" t="n"/>
      <c r="F15" s="163" t="n"/>
    </row>
    <row r="16">
      <c r="A16" s="167" t="n"/>
      <c r="B16" s="163" t="n"/>
      <c r="C16" s="164" t="n"/>
      <c r="D16" s="164" t="n"/>
      <c r="E16" s="163" t="n"/>
      <c r="F16" s="163" t="n"/>
    </row>
    <row r="17">
      <c r="A17" s="167" t="n"/>
      <c r="B17" s="163" t="n"/>
      <c r="C17" s="164" t="n"/>
      <c r="D17" s="164" t="n"/>
      <c r="E17" s="163" t="n"/>
      <c r="F17" s="163" t="n"/>
    </row>
    <row r="18">
      <c r="A18" s="167" t="n"/>
      <c r="B18" s="163" t="n"/>
      <c r="C18" s="164" t="n"/>
      <c r="D18" s="164" t="n"/>
      <c r="E18" s="163" t="n"/>
      <c r="F18" s="163" t="n"/>
    </row>
    <row r="19">
      <c r="A19" s="167" t="n"/>
      <c r="B19" s="163" t="n"/>
      <c r="C19" s="164" t="n"/>
      <c r="D19" s="164" t="n"/>
      <c r="E19" s="163" t="n"/>
      <c r="F19" s="163" t="n"/>
    </row>
    <row r="20">
      <c r="A20" s="167" t="n"/>
      <c r="B20" s="163" t="n"/>
      <c r="C20" s="164" t="n"/>
      <c r="D20" s="164" t="n"/>
      <c r="E20" s="163" t="n"/>
      <c r="F20" s="163" t="n"/>
    </row>
    <row r="21" ht="15.75" customHeight="1" s="179">
      <c r="A21" s="167" t="n"/>
      <c r="B21" s="163" t="n"/>
      <c r="C21" s="164" t="n"/>
      <c r="D21" s="164" t="n"/>
      <c r="E21" s="163" t="n"/>
      <c r="F21" s="163" t="n"/>
    </row>
    <row r="22" ht="15.75" customHeight="1" s="179">
      <c r="A22" s="167" t="n"/>
      <c r="B22" s="163" t="n"/>
      <c r="C22" s="164" t="n"/>
      <c r="D22" s="164" t="n"/>
      <c r="E22" s="163" t="n"/>
      <c r="F22" s="163" t="n"/>
    </row>
    <row r="23" ht="15.75" customHeight="1" s="179">
      <c r="A23" s="167" t="n"/>
      <c r="B23" s="163" t="n"/>
      <c r="C23" s="164" t="n"/>
      <c r="D23" s="164" t="n"/>
      <c r="E23" s="163" t="n"/>
      <c r="F23" s="163" t="n"/>
    </row>
    <row r="24" ht="15.75" customHeight="1" s="179">
      <c r="A24" s="167" t="n"/>
      <c r="B24" s="163" t="n"/>
      <c r="C24" s="164" t="n"/>
      <c r="D24" s="164" t="n"/>
      <c r="E24" s="163" t="n"/>
      <c r="F24" s="163" t="n"/>
    </row>
    <row r="25" ht="15.75" customHeight="1" s="179">
      <c r="A25" s="167" t="n"/>
      <c r="B25" s="163" t="n"/>
      <c r="C25" s="164" t="n"/>
      <c r="D25" s="164" t="n"/>
      <c r="E25" s="163" t="n"/>
      <c r="F25" s="163" t="n"/>
    </row>
    <row r="26" ht="15.75" customHeight="1" s="179">
      <c r="A26" s="167" t="n"/>
      <c r="B26" s="163" t="n"/>
      <c r="C26" s="164" t="n"/>
      <c r="D26" s="164" t="n"/>
      <c r="E26" s="163" t="n"/>
      <c r="F26" s="163" t="n"/>
    </row>
    <row r="27" ht="15.75" customHeight="1" s="179">
      <c r="A27" s="167" t="n"/>
      <c r="B27" s="163" t="n"/>
      <c r="C27" s="164" t="n"/>
      <c r="D27" s="164" t="n"/>
      <c r="E27" s="163" t="n"/>
      <c r="F27" s="163" t="n"/>
    </row>
    <row r="28" ht="15.75" customHeight="1" s="179">
      <c r="A28" s="167" t="n"/>
      <c r="B28" s="163" t="n"/>
      <c r="C28" s="164" t="n"/>
      <c r="D28" s="164" t="n"/>
      <c r="E28" s="163" t="n"/>
      <c r="F28" s="163" t="n"/>
    </row>
    <row r="29" ht="15.75" customHeight="1" s="179">
      <c r="A29" s="167" t="n"/>
      <c r="B29" s="163" t="n"/>
      <c r="C29" s="164" t="n"/>
      <c r="D29" s="164" t="n"/>
      <c r="E29" s="163" t="n"/>
      <c r="F29" s="163" t="n"/>
    </row>
    <row r="30" ht="15.75" customHeight="1" s="179">
      <c r="A30" s="167" t="n"/>
      <c r="B30" s="163" t="n"/>
      <c r="C30" s="164" t="n"/>
      <c r="D30" s="164" t="n"/>
      <c r="E30" s="163" t="n"/>
      <c r="F30" s="163" t="n"/>
    </row>
    <row r="31" ht="15.75" customHeight="1" s="179">
      <c r="A31" s="167" t="n"/>
      <c r="B31" s="163" t="n"/>
      <c r="C31" s="164" t="n"/>
      <c r="D31" s="164" t="n"/>
      <c r="E31" s="163" t="n"/>
      <c r="F31" s="163" t="n"/>
    </row>
    <row r="32" ht="15.75" customHeight="1" s="179">
      <c r="A32" s="167" t="n"/>
      <c r="B32" s="163" t="n"/>
      <c r="C32" s="164" t="n"/>
      <c r="D32" s="164" t="n"/>
      <c r="E32" s="163" t="n"/>
      <c r="F32" s="163" t="n"/>
    </row>
    <row r="33" ht="15.75" customHeight="1" s="179">
      <c r="A33" s="167" t="n"/>
      <c r="B33" s="163" t="n"/>
      <c r="C33" s="164" t="n"/>
      <c r="D33" s="164" t="n"/>
      <c r="E33" s="163" t="n"/>
      <c r="F33" s="163" t="n"/>
    </row>
    <row r="34" ht="15.75" customHeight="1" s="179">
      <c r="A34" s="167" t="n"/>
      <c r="B34" s="163" t="n"/>
      <c r="C34" s="164" t="n"/>
      <c r="D34" s="164" t="n"/>
      <c r="E34" s="163" t="n"/>
      <c r="F34" s="163" t="n"/>
    </row>
    <row r="35" ht="15.75" customHeight="1" s="179">
      <c r="A35" s="167" t="n"/>
      <c r="B35" s="163" t="n"/>
      <c r="C35" s="164" t="n"/>
      <c r="D35" s="164" t="n"/>
      <c r="E35" s="163" t="n"/>
      <c r="F35" s="163" t="n"/>
    </row>
    <row r="36" ht="15.75" customHeight="1" s="179">
      <c r="A36" s="99" t="n"/>
      <c r="B36" s="99" t="n"/>
      <c r="C36" s="99" t="n"/>
      <c r="D36" s="99" t="n"/>
      <c r="E36" s="99" t="n"/>
      <c r="F36" s="99" t="n"/>
    </row>
    <row r="37" ht="15.75" customHeight="1" s="179">
      <c r="A37" s="99" t="n"/>
      <c r="B37" s="99" t="n"/>
      <c r="C37" s="99" t="n"/>
      <c r="D37" s="99" t="n"/>
      <c r="E37" s="99" t="n"/>
      <c r="F37" s="99" t="n"/>
    </row>
    <row r="38" ht="15.75" customHeight="1" s="179">
      <c r="A38" s="291" t="inlineStr">
        <is>
          <t>Ⅱ. 잊지 말아야 할 것  —  경험 · 조언 · 심리 (분기 1회 다시 읽는다)</t>
        </is>
      </c>
      <c r="B38" s="279" t="n"/>
      <c r="C38" s="279" t="n"/>
      <c r="D38" s="279" t="n"/>
      <c r="E38" s="279" t="n"/>
      <c r="F38" s="99" t="n"/>
    </row>
    <row r="39" ht="15.75" customHeight="1" s="179">
      <c r="A39" s="140" t="inlineStr">
        <is>
          <t>등록일</t>
        </is>
      </c>
      <c r="B39" s="140" t="inlineStr">
        <is>
          <t>구분</t>
        </is>
      </c>
      <c r="C39" s="140" t="inlineStr">
        <is>
          <t>제목</t>
        </is>
      </c>
      <c r="D39" s="140" t="inlineStr">
        <is>
          <t>내용</t>
        </is>
      </c>
      <c r="E39" s="140" t="inlineStr">
        <is>
          <t>여기서 나온 나의 규칙</t>
        </is>
      </c>
      <c r="F39" s="99" t="n"/>
    </row>
    <row r="40" ht="63.75" customHeight="1" s="179">
      <c r="A40" s="168" t="n">
        <v>46237</v>
      </c>
      <c r="B40" s="169" t="inlineStr">
        <is>
          <t>경험</t>
        </is>
      </c>
      <c r="C40" s="170" t="inlineStr">
        <is>
          <t>청산 직전에서 살아남은 건 운이었다</t>
        </is>
      </c>
      <c r="D40" s="171" t="inlineStr">
        <is>
          <t>7월 말 반대매매 직전까지 몰렸다가 반등으로 겨우 살았다. 손익은 거의 다 날렸지만 그건 부차적이다. 만약 1~2영업일만 더 꽂아서 내려갔다면 원금은 물론 빚까지 다 날리고 회생 불능이었다. 살아남은 건 내 판단이 옳아서가 아니라 시장이 그날 돌아섰기 때문이다.</t>
        </is>
      </c>
      <c r="E40" s="172" t="inlineStr">
        <is>
          <t>운에 계좌를 시험하지 않는다. R01(담보비율)·R02(청산여력)이 🔴이면 그 자체로 비상사태이며, 반등을 기다리는 것은 전략이 아니다.</t>
        </is>
      </c>
      <c r="F40" s="99" t="n"/>
    </row>
    <row r="41" ht="63.75" customHeight="1" s="179">
      <c r="A41" s="168" t="n">
        <v>46237</v>
      </c>
      <c r="B41" s="169" t="inlineStr">
        <is>
          <t>조언</t>
        </is>
      </c>
      <c r="C41" s="170" t="inlineStr">
        <is>
          <t>도익이형 — 익스포저 '구조'가 리스크의 본질이다</t>
        </is>
      </c>
      <c r="D41" s="171" t="inlineStr">
        <is>
          <t>Low Risk 자산이라도 계좌 전체를 익스포저로 두면, 단 한 번의 패배가 계좌를 죽인다. 차라리 High Risk라도 계좌의 일부만 익스포저로 두고 손절컷을 정해두는 방식이 훨씬 낫다. 리스크는 '무엇을 사느냐'가 아니라 '얼마를 걸고, 어디서 자르느냐'에서 결정된다.</t>
        </is>
      </c>
      <c r="E41" s="172" t="inlineStr">
        <is>
          <t>R11 — 전 종목 손절 시 총손실 ÷ 순수 자기자본 ≤ 10%. 이 숫자가 곧 '한 번의 패배' 크기다. (현재 160.6% 🔴)</t>
        </is>
      </c>
      <c r="F41" s="99" t="n"/>
    </row>
    <row r="42" ht="63.75" customHeight="1" s="179">
      <c r="A42" s="168" t="n">
        <v>46237</v>
      </c>
      <c r="B42" s="169" t="inlineStr">
        <is>
          <t>심리</t>
        </is>
      </c>
      <c r="C42" s="170" t="inlineStr">
        <is>
          <t>10억을 벌고도 만족하지 못했다</t>
        </is>
      </c>
      <c r="D42" s="171" t="inlineStr">
        <is>
          <t>타인과 비교하며 느낀 열등감과, 동시에 자만심이 함께 있었다. 10억을 벌었어도 만족하지 못하고 '그래야만 더 나아갈 수 있다'는 생각에 사로잡혀 탐욕을 부렸다. 만족을 모르는 상태가 레버리지를 계속 정당화했다.</t>
        </is>
      </c>
      <c r="E42" s="172" t="inlineStr">
        <is>
          <t>벤치마크는 나스닥이지 남의 계좌가 아니다. 목표 수익 도달 시 일부라도 기계적으로 실현한다. (대원칙 4·14)</t>
        </is>
      </c>
      <c r="F42" s="99" t="n"/>
    </row>
    <row r="43" ht="63.75" customHeight="1" s="179">
      <c r="A43" s="168" t="n">
        <v>46237</v>
      </c>
      <c r="B43" s="169" t="inlineStr">
        <is>
          <t>원칙</t>
        </is>
      </c>
      <c r="C43" s="170" t="inlineStr">
        <is>
          <t>수익 국면이 가장 위험하다</t>
        </is>
      </c>
      <c r="D43" s="171" t="inlineStr">
        <is>
          <t>수익이 계속 나면 그 수익에 무뎌지고 당연해져서 오히려 공부를 안 하게 된다. 그리고 바로 그 시점에 레버리지가 최대치가 되어 있다. 수익이 날 때일수록 디레버리징 타이밍을 칼같이 보고 있어야 한다.</t>
        </is>
      </c>
      <c r="E43" s="172" t="inlineStr">
        <is>
          <t>수익 구간에서는 주 1회(W1) 기조 갱신 시 디레버리징 여부를 함께 판단한다. 벤치마크 상회분만큼 현금비중을 올린다.</t>
        </is>
      </c>
      <c r="F43" s="99" t="n"/>
    </row>
    <row r="44" ht="63.75" customHeight="1" s="179">
      <c r="A44" s="168" t="n">
        <v>46237</v>
      </c>
      <c r="B44" s="169" t="inlineStr">
        <is>
          <t>원칙</t>
        </is>
      </c>
      <c r="C44" s="170" t="inlineStr">
        <is>
          <t>시장을 존중하라 — 두 사람으로는 부족하다</t>
        </is>
      </c>
      <c r="D44" s="171" t="inlineStr">
        <is>
          <t>서재형·김기훈 두 명의 뷰에 계좌를 걸었던 것이 이번 실패의 큰 축이었다. 박종훈·알상무·월가아재 등 2~3명의 뷰를 주 N회 이상 수시로 팔로업한다. 내가 아는 것보다 시장이 항상 크다.</t>
        </is>
      </c>
      <c r="E44" s="172" t="inlineStr">
        <is>
          <t>R14 — 주간 뷰 기록 출처 수 ≥ 3명. 05_뷰트래커에 매주 기록하고, 분기마다 누가 맞았는지 적중률을 확인한다.</t>
        </is>
      </c>
      <c r="F44" s="99" t="n"/>
    </row>
    <row r="45" ht="15.75" customHeight="1" s="179">
      <c r="A45" s="167" t="n"/>
      <c r="B45" s="163" t="n"/>
      <c r="C45" s="164" t="n"/>
      <c r="D45" s="164" t="n"/>
      <c r="E45" s="164" t="n"/>
      <c r="F45" s="99" t="n"/>
    </row>
    <row r="46" ht="15.75" customHeight="1" s="179">
      <c r="A46" s="167" t="n"/>
      <c r="B46" s="163" t="n"/>
      <c r="C46" s="164" t="n"/>
      <c r="D46" s="164" t="n"/>
      <c r="E46" s="164" t="n"/>
      <c r="F46" s="99" t="n"/>
    </row>
    <row r="47" ht="15.75" customHeight="1" s="179">
      <c r="A47" s="261" t="inlineStr">
        <is>
          <t>Ⅲ. 일기  —  순간의 생각·감정·소회. 정리하지 말고 그냥 적으세요</t>
        </is>
      </c>
      <c r="B47" s="232" t="n"/>
      <c r="C47" s="232" t="n"/>
      <c r="D47" s="232" t="n"/>
      <c r="E47" s="232" t="n"/>
      <c r="F47" s="233" t="n"/>
    </row>
    <row r="48" ht="15.75" customHeight="1" s="179">
      <c r="A48" s="262" t="inlineStr">
        <is>
          <t>감정점수는 01_일별로그 M열과 같은 1~5 척도입니다(1 매우 불안 ~ 5 매우 평온). 나중에 '어떤 심리 상태에서 어떤 결정을 했는지'를 되짚는 게 목적이라, 잘 쓰려 하지 말고 짧게라도 남기는 편이 낫습니다.</t>
        </is>
      </c>
      <c r="B48" s="232" t="n"/>
      <c r="C48" s="232" t="n"/>
      <c r="D48" s="232" t="n"/>
      <c r="E48" s="232" t="n"/>
      <c r="F48" s="233" t="n"/>
    </row>
    <row r="49" ht="15.75" customHeight="1" s="179">
      <c r="A49" s="263" t="inlineStr">
        <is>
          <t>날짜</t>
        </is>
      </c>
      <c r="B49" s="246" t="inlineStr">
        <is>
          <t>감정
점수</t>
        </is>
      </c>
      <c r="C49" s="246" t="inlineStr">
        <is>
          <t>태그</t>
        </is>
      </c>
      <c r="D49" s="246" t="inlineStr">
        <is>
          <t>오늘의 생각 · 감정 · 소회</t>
        </is>
      </c>
      <c r="E49" s="246" t="inlineStr">
        <is>
          <t>계기가 된 일 (선택)</t>
        </is>
      </c>
      <c r="F49" s="246" t="inlineStr">
        <is>
          <t>다시 읽을 때 나에게</t>
        </is>
      </c>
    </row>
    <row r="50" ht="48" customHeight="1" s="179">
      <c r="A50" s="264" t="n">
        <v>46239</v>
      </c>
      <c r="B50" s="265" t="n">
        <v>2</v>
      </c>
      <c r="C50" s="266" t="inlineStr">
        <is>
          <t>불안</t>
        </is>
      </c>
      <c r="D50" s="267" t="inlineStr">
        <is>
          <t>청산 직전까지 갔다가 살아난 게 아직도 실감이 안 난다. 손익을 거의 다 날린 건 속상하지만, 1~2영업일만 더 밀렸으면 원금도 빚도 다 날아갔을 거라는 걸 생각하면 지금 이 자리에 있는 게 이상할 정도다.</t>
        </is>
      </c>
      <c r="E50" s="267" t="inlineStr">
        <is>
          <t>거래내역을 4~7월치 다시 훑어봄</t>
        </is>
      </c>
      <c r="F50" s="268" t="inlineStr">
        <is>
          <t>살아남은 게 실력이 아니었다는 걸 잊지 마라. 다음엔 운이 없을 수도 있다.</t>
        </is>
      </c>
    </row>
    <row r="51" ht="15.75" customHeight="1" s="179">
      <c r="A51" s="269" t="n"/>
      <c r="B51" s="270" t="n"/>
      <c r="C51" s="271" t="n"/>
      <c r="D51" s="254" t="n"/>
      <c r="E51" s="254" t="n"/>
      <c r="F51" s="254" t="n"/>
    </row>
    <row r="52" ht="15.75" customHeight="1" s="179">
      <c r="A52" s="269" t="n"/>
      <c r="B52" s="270" t="n"/>
      <c r="C52" s="271" t="n"/>
      <c r="D52" s="254" t="n"/>
      <c r="E52" s="254" t="n"/>
      <c r="F52" s="254" t="n"/>
    </row>
    <row r="53" ht="15.75" customHeight="1" s="179">
      <c r="A53" s="269" t="n"/>
      <c r="B53" s="270" t="n"/>
      <c r="C53" s="271" t="n"/>
      <c r="D53" s="254" t="n"/>
      <c r="E53" s="254" t="n"/>
      <c r="F53" s="254" t="n"/>
    </row>
    <row r="54" ht="15.75" customHeight="1" s="179">
      <c r="A54" s="269" t="n"/>
      <c r="B54" s="270" t="n"/>
      <c r="C54" s="271" t="n"/>
      <c r="D54" s="254" t="n"/>
      <c r="E54" s="254" t="n"/>
      <c r="F54" s="254" t="n"/>
    </row>
    <row r="55" ht="15.75" customHeight="1" s="179">
      <c r="A55" s="269" t="n"/>
      <c r="B55" s="270" t="n"/>
      <c r="C55" s="271" t="n"/>
      <c r="D55" s="254" t="n"/>
      <c r="E55" s="254" t="n"/>
      <c r="F55" s="254" t="n"/>
    </row>
    <row r="56" ht="15.75" customHeight="1" s="179">
      <c r="A56" s="269" t="n"/>
      <c r="B56" s="270" t="n"/>
      <c r="C56" s="271" t="n"/>
      <c r="D56" s="254" t="n"/>
      <c r="E56" s="254" t="n"/>
      <c r="F56" s="254" t="n"/>
    </row>
    <row r="57" ht="15.75" customHeight="1" s="179">
      <c r="A57" s="269" t="n"/>
      <c r="B57" s="270" t="n"/>
      <c r="C57" s="271" t="n"/>
      <c r="D57" s="254" t="n"/>
      <c r="E57" s="254" t="n"/>
      <c r="F57" s="254" t="n"/>
    </row>
    <row r="58" ht="15.75" customHeight="1" s="179">
      <c r="A58" s="269" t="n"/>
      <c r="B58" s="270" t="n"/>
      <c r="C58" s="271" t="n"/>
      <c r="D58" s="254" t="n"/>
      <c r="E58" s="254" t="n"/>
      <c r="F58" s="254" t="n"/>
    </row>
    <row r="59" ht="15.75" customHeight="1" s="179">
      <c r="A59" s="269" t="n"/>
      <c r="B59" s="270" t="n"/>
      <c r="C59" s="271" t="n"/>
      <c r="D59" s="254" t="n"/>
      <c r="E59" s="254" t="n"/>
      <c r="F59" s="254" t="n"/>
    </row>
    <row r="60" ht="15.75" customHeight="1" s="179">
      <c r="A60" s="269" t="n"/>
      <c r="B60" s="270" t="n"/>
      <c r="C60" s="271" t="n"/>
      <c r="D60" s="254" t="n"/>
      <c r="E60" s="254" t="n"/>
      <c r="F60" s="254" t="n"/>
    </row>
    <row r="61" ht="15.75" customHeight="1" s="179">
      <c r="A61" s="269" t="n"/>
      <c r="B61" s="270" t="n"/>
      <c r="C61" s="271" t="n"/>
      <c r="D61" s="254" t="n"/>
      <c r="E61" s="254" t="n"/>
      <c r="F61" s="254" t="n"/>
    </row>
    <row r="62" ht="15.75" customHeight="1" s="179">
      <c r="A62" s="269" t="n"/>
      <c r="B62" s="270" t="n"/>
      <c r="C62" s="271" t="n"/>
      <c r="D62" s="254" t="n"/>
      <c r="E62" s="254" t="n"/>
      <c r="F62" s="254" t="n"/>
    </row>
    <row r="63" ht="15.75" customHeight="1" s="179">
      <c r="A63" s="269" t="n"/>
      <c r="B63" s="270" t="n"/>
      <c r="C63" s="271" t="n"/>
      <c r="D63" s="254" t="n"/>
      <c r="E63" s="254" t="n"/>
      <c r="F63" s="254" t="n"/>
    </row>
    <row r="64" ht="15.75" customHeight="1" s="179">
      <c r="A64" s="269" t="n"/>
      <c r="B64" s="270" t="n"/>
      <c r="C64" s="271" t="n"/>
      <c r="D64" s="254" t="n"/>
      <c r="E64" s="254" t="n"/>
      <c r="F64" s="254" t="n"/>
    </row>
    <row r="65" ht="15.75" customHeight="1" s="179">
      <c r="A65" s="269" t="n"/>
      <c r="B65" s="270" t="n"/>
      <c r="C65" s="271" t="n"/>
      <c r="D65" s="254" t="n"/>
      <c r="E65" s="254" t="n"/>
      <c r="F65" s="254" t="n"/>
    </row>
    <row r="66" ht="15.75" customHeight="1" s="179">
      <c r="A66" s="269" t="n"/>
      <c r="B66" s="270" t="n"/>
      <c r="C66" s="271" t="n"/>
      <c r="D66" s="254" t="n"/>
      <c r="E66" s="254" t="n"/>
      <c r="F66" s="254" t="n"/>
    </row>
    <row r="67" ht="15.75" customHeight="1" s="179">
      <c r="A67" s="269" t="n"/>
      <c r="B67" s="270" t="n"/>
      <c r="C67" s="271" t="n"/>
      <c r="D67" s="254" t="n"/>
      <c r="E67" s="254" t="n"/>
      <c r="F67" s="254" t="n"/>
    </row>
    <row r="68" ht="15.75" customHeight="1" s="179">
      <c r="A68" s="269" t="n"/>
      <c r="B68" s="270" t="n"/>
      <c r="C68" s="271" t="n"/>
      <c r="D68" s="254" t="n"/>
      <c r="E68" s="254" t="n"/>
      <c r="F68" s="254" t="n"/>
    </row>
    <row r="69" ht="15.75" customHeight="1" s="179">
      <c r="A69" s="269" t="n"/>
      <c r="B69" s="270" t="n"/>
      <c r="C69" s="271" t="n"/>
      <c r="D69" s="254" t="n"/>
      <c r="E69" s="254" t="n"/>
      <c r="F69" s="254" t="n"/>
    </row>
    <row r="70" ht="15.75" customHeight="1" s="179">
      <c r="A70" s="269" t="n"/>
      <c r="B70" s="270" t="n"/>
      <c r="C70" s="271" t="n"/>
      <c r="D70" s="254" t="n"/>
      <c r="E70" s="254" t="n"/>
      <c r="F70" s="254" t="n"/>
    </row>
    <row r="71" ht="15.75" customHeight="1" s="179">
      <c r="A71" s="269" t="n"/>
      <c r="B71" s="270" t="n"/>
      <c r="C71" s="271" t="n"/>
      <c r="D71" s="254" t="n"/>
      <c r="E71" s="254" t="n"/>
      <c r="F71" s="254" t="n"/>
    </row>
    <row r="72" ht="15.75" customHeight="1" s="179">
      <c r="A72" s="269" t="n"/>
      <c r="B72" s="270" t="n"/>
      <c r="C72" s="271" t="n"/>
      <c r="D72" s="254" t="n"/>
      <c r="E72" s="254" t="n"/>
      <c r="F72" s="254" t="n"/>
    </row>
    <row r="73" ht="15.75" customHeight="1" s="179">
      <c r="A73" s="269" t="n"/>
      <c r="B73" s="270" t="n"/>
      <c r="C73" s="271" t="n"/>
      <c r="D73" s="254" t="n"/>
      <c r="E73" s="254" t="n"/>
      <c r="F73" s="254" t="n"/>
    </row>
    <row r="74" ht="15.75" customHeight="1" s="179">
      <c r="A74" s="269" t="n"/>
      <c r="B74" s="270" t="n"/>
      <c r="C74" s="271" t="n"/>
      <c r="D74" s="254" t="n"/>
      <c r="E74" s="254" t="n"/>
      <c r="F74" s="254" t="n"/>
    </row>
    <row r="75" ht="15.75" customHeight="1" s="179">
      <c r="A75" s="269" t="n"/>
      <c r="B75" s="270" t="n"/>
      <c r="C75" s="271" t="n"/>
      <c r="D75" s="254" t="n"/>
      <c r="E75" s="254" t="n"/>
      <c r="F75" s="254" t="n"/>
    </row>
    <row r="76" ht="15.75" customHeight="1" s="179">
      <c r="A76" s="269" t="n"/>
      <c r="B76" s="270" t="n"/>
      <c r="C76" s="271" t="n"/>
      <c r="D76" s="254" t="n"/>
      <c r="E76" s="254" t="n"/>
      <c r="F76" s="254" t="n"/>
    </row>
    <row r="77" ht="15.75" customHeight="1" s="179">
      <c r="A77" s="269" t="n"/>
      <c r="B77" s="270" t="n"/>
      <c r="C77" s="271" t="n"/>
      <c r="D77" s="254" t="n"/>
      <c r="E77" s="254" t="n"/>
      <c r="F77" s="254" t="n"/>
    </row>
    <row r="78" ht="15.75" customHeight="1" s="179">
      <c r="A78" s="269" t="n"/>
      <c r="B78" s="270" t="n"/>
      <c r="C78" s="271" t="n"/>
      <c r="D78" s="254" t="n"/>
      <c r="E78" s="254" t="n"/>
      <c r="F78" s="254" t="n"/>
    </row>
    <row r="79" ht="15.75" customHeight="1" s="179">
      <c r="A79" s="269" t="n"/>
      <c r="B79" s="270" t="n"/>
      <c r="C79" s="271" t="n"/>
      <c r="D79" s="254" t="n"/>
      <c r="E79" s="254" t="n"/>
      <c r="F79" s="254" t="n"/>
    </row>
    <row r="80" ht="15.75" customHeight="1" s="179">
      <c r="A80" s="269" t="n"/>
      <c r="B80" s="270" t="n"/>
      <c r="C80" s="271" t="n"/>
      <c r="D80" s="254" t="n"/>
      <c r="E80" s="254" t="n"/>
      <c r="F80" s="254" t="n"/>
    </row>
    <row r="81" ht="15.75" customHeight="1" s="179">
      <c r="A81" s="269" t="n"/>
      <c r="B81" s="270" t="n"/>
      <c r="C81" s="271" t="n"/>
      <c r="D81" s="254" t="n"/>
      <c r="E81" s="254" t="n"/>
      <c r="F81" s="254" t="n"/>
    </row>
    <row r="82" ht="15.75" customHeight="1" s="179">
      <c r="A82" s="269" t="n"/>
      <c r="B82" s="270" t="n"/>
      <c r="C82" s="271" t="n"/>
      <c r="D82" s="254" t="n"/>
      <c r="E82" s="254" t="n"/>
      <c r="F82" s="254" t="n"/>
    </row>
    <row r="83" ht="15.75" customHeight="1" s="179">
      <c r="A83" s="269" t="n"/>
      <c r="B83" s="270" t="n"/>
      <c r="C83" s="271" t="n"/>
      <c r="D83" s="254" t="n"/>
      <c r="E83" s="254" t="n"/>
      <c r="F83" s="254" t="n"/>
    </row>
    <row r="84" ht="15.75" customHeight="1" s="179">
      <c r="A84" s="269" t="n"/>
      <c r="B84" s="270" t="n"/>
      <c r="C84" s="271" t="n"/>
      <c r="D84" s="254" t="n"/>
      <c r="E84" s="254" t="n"/>
      <c r="F84" s="254" t="n"/>
    </row>
    <row r="85" ht="15.75" customHeight="1" s="179">
      <c r="A85" s="269" t="n"/>
      <c r="B85" s="270" t="n"/>
      <c r="C85" s="271" t="n"/>
      <c r="D85" s="254" t="n"/>
      <c r="E85" s="254" t="n"/>
      <c r="F85" s="254" t="n"/>
    </row>
    <row r="86" ht="15.75" customHeight="1" s="179">
      <c r="A86" s="269" t="n"/>
      <c r="B86" s="270" t="n"/>
      <c r="C86" s="271" t="n"/>
      <c r="D86" s="254" t="n"/>
      <c r="E86" s="254" t="n"/>
      <c r="F86" s="254" t="n"/>
    </row>
    <row r="87" ht="15.75" customHeight="1" s="179">
      <c r="A87" s="269" t="n"/>
      <c r="B87" s="270" t="n"/>
      <c r="C87" s="271" t="n"/>
      <c r="D87" s="254" t="n"/>
      <c r="E87" s="254" t="n"/>
      <c r="F87" s="254" t="n"/>
    </row>
    <row r="88" ht="15.75" customHeight="1" s="179">
      <c r="A88" s="269" t="n"/>
      <c r="B88" s="270" t="n"/>
      <c r="C88" s="271" t="n"/>
      <c r="D88" s="254" t="n"/>
      <c r="E88" s="254" t="n"/>
      <c r="F88" s="254" t="n"/>
    </row>
    <row r="89" ht="15.75" customHeight="1" s="179">
      <c r="A89" s="269" t="n"/>
      <c r="B89" s="270" t="n"/>
      <c r="C89" s="271" t="n"/>
      <c r="D89" s="254" t="n"/>
      <c r="E89" s="254" t="n"/>
      <c r="F89" s="254" t="n"/>
    </row>
    <row r="90" ht="15.75" customHeight="1" s="179">
      <c r="A90" s="269" t="n"/>
      <c r="B90" s="270" t="n"/>
      <c r="C90" s="271" t="n"/>
      <c r="D90" s="254" t="n"/>
      <c r="E90" s="254" t="n"/>
      <c r="F90" s="254" t="n"/>
    </row>
    <row r="91" ht="15.75" customHeight="1" s="179">
      <c r="A91" s="269" t="n"/>
      <c r="B91" s="270" t="n"/>
      <c r="C91" s="271" t="n"/>
      <c r="D91" s="254" t="n"/>
      <c r="E91" s="254" t="n"/>
      <c r="F91" s="254" t="n"/>
    </row>
    <row r="92" ht="15.75" customHeight="1" s="179">
      <c r="A92" s="269" t="n"/>
      <c r="B92" s="270" t="n"/>
      <c r="C92" s="271" t="n"/>
      <c r="D92" s="254" t="n"/>
      <c r="E92" s="254" t="n"/>
      <c r="F92" s="254" t="n"/>
    </row>
    <row r="93" ht="15.75" customHeight="1" s="179">
      <c r="A93" s="269" t="n"/>
      <c r="B93" s="270" t="n"/>
      <c r="C93" s="271" t="n"/>
      <c r="D93" s="254" t="n"/>
      <c r="E93" s="254" t="n"/>
      <c r="F93" s="254" t="n"/>
    </row>
    <row r="94" ht="15.75" customHeight="1" s="179">
      <c r="A94" s="269" t="n"/>
      <c r="B94" s="270" t="n"/>
      <c r="C94" s="271" t="n"/>
      <c r="D94" s="254" t="n"/>
      <c r="E94" s="254" t="n"/>
      <c r="F94" s="254" t="n"/>
    </row>
    <row r="95" ht="15.75" customHeight="1" s="179">
      <c r="A95" s="269" t="n"/>
      <c r="B95" s="270" t="n"/>
      <c r="C95" s="271" t="n"/>
      <c r="D95" s="254" t="n"/>
      <c r="E95" s="254" t="n"/>
      <c r="F95" s="254" t="n"/>
    </row>
    <row r="96" ht="15.75" customHeight="1" s="179">
      <c r="A96" s="269" t="n"/>
      <c r="B96" s="270" t="n"/>
      <c r="C96" s="271" t="n"/>
      <c r="D96" s="254" t="n"/>
      <c r="E96" s="254" t="n"/>
      <c r="F96" s="254" t="n"/>
    </row>
    <row r="97" ht="15.75" customHeight="1" s="179">
      <c r="A97" s="269" t="n"/>
      <c r="B97" s="270" t="n"/>
      <c r="C97" s="271" t="n"/>
      <c r="D97" s="254" t="n"/>
      <c r="E97" s="254" t="n"/>
      <c r="F97" s="254" t="n"/>
    </row>
    <row r="98" ht="15.75" customHeight="1" s="179">
      <c r="A98" s="269" t="n"/>
      <c r="B98" s="270" t="n"/>
      <c r="C98" s="271" t="n"/>
      <c r="D98" s="254" t="n"/>
      <c r="E98" s="254" t="n"/>
      <c r="F98" s="254" t="n"/>
    </row>
    <row r="99" ht="15.75" customHeight="1" s="179">
      <c r="A99" s="269" t="n"/>
      <c r="B99" s="270" t="n"/>
      <c r="C99" s="271" t="n"/>
      <c r="D99" s="254" t="n"/>
      <c r="E99" s="254" t="n"/>
      <c r="F99" s="254" t="n"/>
    </row>
    <row r="100" ht="15.75" customHeight="1" s="179">
      <c r="A100" s="269" t="n"/>
      <c r="B100" s="270" t="n"/>
      <c r="C100" s="271" t="n"/>
      <c r="D100" s="254" t="n"/>
      <c r="E100" s="254" t="n"/>
      <c r="F100" s="254" t="n"/>
    </row>
    <row r="101" ht="15.75" customHeight="1" s="179">
      <c r="A101" s="269" t="n"/>
      <c r="B101" s="270" t="n"/>
      <c r="C101" s="271" t="n"/>
      <c r="D101" s="254" t="n"/>
      <c r="E101" s="254" t="n"/>
      <c r="F101" s="254" t="n"/>
    </row>
    <row r="102" ht="15.75" customHeight="1" s="179">
      <c r="A102" s="269" t="n"/>
      <c r="B102" s="270" t="n"/>
      <c r="C102" s="271" t="n"/>
      <c r="D102" s="254" t="n"/>
      <c r="E102" s="254" t="n"/>
      <c r="F102" s="254" t="n"/>
    </row>
    <row r="103" ht="15.75" customHeight="1" s="179">
      <c r="A103" s="269" t="n"/>
      <c r="B103" s="270" t="n"/>
      <c r="C103" s="271" t="n"/>
      <c r="D103" s="254" t="n"/>
      <c r="E103" s="254" t="n"/>
      <c r="F103" s="254" t="n"/>
    </row>
    <row r="104" ht="15.75" customHeight="1" s="179">
      <c r="A104" s="269" t="n"/>
      <c r="B104" s="270" t="n"/>
      <c r="C104" s="271" t="n"/>
      <c r="D104" s="254" t="n"/>
      <c r="E104" s="254" t="n"/>
      <c r="F104" s="254" t="n"/>
    </row>
    <row r="105" ht="15.75" customHeight="1" s="179">
      <c r="A105" s="269" t="n"/>
      <c r="B105" s="270" t="n"/>
      <c r="C105" s="271" t="n"/>
      <c r="D105" s="254" t="n"/>
      <c r="E105" s="254" t="n"/>
      <c r="F105" s="254" t="n"/>
    </row>
    <row r="106" ht="15.75" customHeight="1" s="179">
      <c r="A106" s="269" t="n"/>
      <c r="B106" s="270" t="n"/>
      <c r="C106" s="271" t="n"/>
      <c r="D106" s="254" t="n"/>
      <c r="E106" s="254" t="n"/>
      <c r="F106" s="254" t="n"/>
    </row>
    <row r="107" ht="15.75" customHeight="1" s="179">
      <c r="A107" s="269" t="n"/>
      <c r="B107" s="270" t="n"/>
      <c r="C107" s="271" t="n"/>
      <c r="D107" s="254" t="n"/>
      <c r="E107" s="254" t="n"/>
      <c r="F107" s="254" t="n"/>
    </row>
    <row r="108" ht="15.75" customHeight="1" s="179">
      <c r="A108" s="269" t="n"/>
      <c r="B108" s="270" t="n"/>
      <c r="C108" s="271" t="n"/>
      <c r="D108" s="254" t="n"/>
      <c r="E108" s="254" t="n"/>
      <c r="F108" s="254" t="n"/>
    </row>
    <row r="109" ht="15.75" customHeight="1" s="179">
      <c r="A109" s="269" t="n"/>
      <c r="B109" s="270" t="n"/>
      <c r="C109" s="271" t="n"/>
      <c r="D109" s="254" t="n"/>
      <c r="E109" s="254" t="n"/>
      <c r="F109" s="254" t="n"/>
    </row>
    <row r="110" ht="15.75" customHeight="1" s="179">
      <c r="A110" s="269" t="n"/>
      <c r="B110" s="270" t="n"/>
      <c r="C110" s="271" t="n"/>
      <c r="D110" s="254" t="n"/>
      <c r="E110" s="254" t="n"/>
      <c r="F110" s="254" t="n"/>
    </row>
    <row r="111" ht="15.75" customHeight="1" s="179">
      <c r="A111" s="269" t="n"/>
      <c r="B111" s="270" t="n"/>
      <c r="C111" s="271" t="n"/>
      <c r="D111" s="254" t="n"/>
      <c r="E111" s="254" t="n"/>
      <c r="F111" s="254" t="n"/>
    </row>
    <row r="112" ht="15.75" customHeight="1" s="179">
      <c r="A112" s="269" t="n"/>
      <c r="B112" s="270" t="n"/>
      <c r="C112" s="271" t="n"/>
      <c r="D112" s="254" t="n"/>
      <c r="E112" s="254" t="n"/>
      <c r="F112" s="254" t="n"/>
    </row>
    <row r="113" ht="15.75" customHeight="1" s="179">
      <c r="A113" s="269" t="n"/>
      <c r="B113" s="270" t="n"/>
      <c r="C113" s="271" t="n"/>
      <c r="D113" s="254" t="n"/>
      <c r="E113" s="254" t="n"/>
      <c r="F113" s="254" t="n"/>
    </row>
    <row r="114" ht="15.75" customHeight="1" s="179">
      <c r="A114" s="269" t="n"/>
      <c r="B114" s="270" t="n"/>
      <c r="C114" s="271" t="n"/>
      <c r="D114" s="254" t="n"/>
      <c r="E114" s="254" t="n"/>
      <c r="F114" s="254" t="n"/>
    </row>
    <row r="115" ht="15.75" customHeight="1" s="179">
      <c r="A115" s="269" t="n"/>
      <c r="B115" s="270" t="n"/>
      <c r="C115" s="271" t="n"/>
      <c r="D115" s="254" t="n"/>
      <c r="E115" s="254" t="n"/>
      <c r="F115" s="254" t="n"/>
    </row>
    <row r="116" ht="15.75" customHeight="1" s="179">
      <c r="A116" s="269" t="n"/>
      <c r="B116" s="270" t="n"/>
      <c r="C116" s="271" t="n"/>
      <c r="D116" s="254" t="n"/>
      <c r="E116" s="254" t="n"/>
      <c r="F116" s="254" t="n"/>
    </row>
    <row r="117" ht="15.75" customHeight="1" s="179">
      <c r="A117" s="269" t="n"/>
      <c r="B117" s="270" t="n"/>
      <c r="C117" s="271" t="n"/>
      <c r="D117" s="254" t="n"/>
      <c r="E117" s="254" t="n"/>
      <c r="F117" s="254" t="n"/>
    </row>
    <row r="118" ht="15.75" customHeight="1" s="179">
      <c r="A118" s="269" t="n"/>
      <c r="B118" s="270" t="n"/>
      <c r="C118" s="271" t="n"/>
      <c r="D118" s="254" t="n"/>
      <c r="E118" s="254" t="n"/>
      <c r="F118" s="254" t="n"/>
    </row>
    <row r="119" ht="15.75" customHeight="1" s="179">
      <c r="A119" s="269" t="n"/>
      <c r="B119" s="270" t="n"/>
      <c r="C119" s="271" t="n"/>
      <c r="D119" s="254" t="n"/>
      <c r="E119" s="254" t="n"/>
      <c r="F119" s="254" t="n"/>
    </row>
    <row r="120" ht="15.75" customHeight="1" s="179">
      <c r="A120" s="269" t="n"/>
      <c r="B120" s="270" t="n"/>
      <c r="C120" s="271" t="n"/>
      <c r="D120" s="254" t="n"/>
      <c r="E120" s="254" t="n"/>
      <c r="F120" s="254" t="n"/>
    </row>
    <row r="121" ht="15.75" customHeight="1" s="179">
      <c r="A121" s="269" t="n"/>
      <c r="B121" s="270" t="n"/>
      <c r="C121" s="271" t="n"/>
      <c r="D121" s="254" t="n"/>
      <c r="E121" s="254" t="n"/>
      <c r="F121" s="254" t="n"/>
    </row>
    <row r="122" ht="15.75" customHeight="1" s="179">
      <c r="A122" s="269" t="n"/>
      <c r="B122" s="270" t="n"/>
      <c r="C122" s="271" t="n"/>
      <c r="D122" s="254" t="n"/>
      <c r="E122" s="254" t="n"/>
      <c r="F122" s="254" t="n"/>
    </row>
    <row r="123" ht="15.75" customHeight="1" s="179">
      <c r="A123" s="269" t="n"/>
      <c r="B123" s="270" t="n"/>
      <c r="C123" s="271" t="n"/>
      <c r="D123" s="254" t="n"/>
      <c r="E123" s="254" t="n"/>
      <c r="F123" s="254" t="n"/>
    </row>
    <row r="124" ht="15.75" customHeight="1" s="179">
      <c r="A124" s="269" t="n"/>
      <c r="B124" s="270" t="n"/>
      <c r="C124" s="271" t="n"/>
      <c r="D124" s="254" t="n"/>
      <c r="E124" s="254" t="n"/>
      <c r="F124" s="254" t="n"/>
    </row>
    <row r="125" ht="15.75" customHeight="1" s="179">
      <c r="A125" s="269" t="n"/>
      <c r="B125" s="270" t="n"/>
      <c r="C125" s="271" t="n"/>
      <c r="D125" s="254" t="n"/>
      <c r="E125" s="254" t="n"/>
      <c r="F125" s="254" t="n"/>
    </row>
    <row r="126" ht="15.75" customHeight="1" s="179">
      <c r="A126" s="269" t="n"/>
      <c r="B126" s="270" t="n"/>
      <c r="C126" s="271" t="n"/>
      <c r="D126" s="254" t="n"/>
      <c r="E126" s="254" t="n"/>
      <c r="F126" s="254" t="n"/>
    </row>
    <row r="127" ht="15.75" customHeight="1" s="179">
      <c r="A127" s="269" t="n"/>
      <c r="B127" s="270" t="n"/>
      <c r="C127" s="271" t="n"/>
      <c r="D127" s="254" t="n"/>
      <c r="E127" s="254" t="n"/>
      <c r="F127" s="254" t="n"/>
    </row>
    <row r="128" ht="15.75" customHeight="1" s="179">
      <c r="A128" s="269" t="n"/>
      <c r="B128" s="270" t="n"/>
      <c r="C128" s="271" t="n"/>
      <c r="D128" s="254" t="n"/>
      <c r="E128" s="254" t="n"/>
      <c r="F128" s="254" t="n"/>
    </row>
    <row r="129" ht="15.75" customHeight="1" s="179">
      <c r="A129" s="269" t="n"/>
      <c r="B129" s="270" t="n"/>
      <c r="C129" s="271" t="n"/>
      <c r="D129" s="254" t="n"/>
      <c r="E129" s="254" t="n"/>
      <c r="F129" s="254" t="n"/>
    </row>
    <row r="130" ht="15.75" customHeight="1" s="179">
      <c r="A130" s="99" t="n"/>
      <c r="B130" s="99" t="n"/>
      <c r="C130" s="99" t="n"/>
      <c r="D130" s="99" t="n"/>
      <c r="E130" s="99" t="n"/>
      <c r="F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</row>
  </sheetData>
  <mergeCells count="6">
    <mergeCell ref="A2:F2"/>
    <mergeCell ref="A47:F47"/>
    <mergeCell ref="A38:E38"/>
    <mergeCell ref="A1:F1"/>
    <mergeCell ref="A4:F4"/>
    <mergeCell ref="A48:F48"/>
  </mergeCells>
  <dataValidations count="6">
    <dataValidation sqref="B6:B35" showDropDown="0" showInputMessage="0" showErrorMessage="0" allowBlank="1" type="list">
      <formula1>"대시보드,룰북,포지션,매매일지,뷰트래커,일별로그,기타"</formula1>
    </dataValidation>
    <dataValidation sqref="B40:B64" showDropDown="0" showInputMessage="0" showErrorMessage="0" allowBlank="1" type="list">
      <formula1>"경험,조언,심리,원칙,시장"</formula1>
    </dataValidation>
    <dataValidation sqref="F6:F35" showDropDown="0" showInputMessage="0" showErrorMessage="0" allowBlank="1" type="list">
      <formula1>"대기,반영중,완료,보류"</formula1>
    </dataValidation>
    <dataValidation sqref="E6:E35" showDropDown="0" showInputMessage="0" showErrorMessage="0" allowBlank="1" type="list">
      <formula1>"상,중,하"</formula1>
    </dataValidation>
    <dataValidation sqref="B50:B129" showDropDown="0" showInputMessage="0" showErrorMessage="0" allowBlank="1" type="list">
      <formula1>"1,2,3,4,5"</formula1>
    </dataValidation>
    <dataValidation sqref="C50:C129" showDropDown="0" showInputMessage="0" showErrorMessage="0" allowBlank="1" type="list">
      <formula1>"불안,공포,조급,탐욕,후회,분노,평온,감사,확신,무기력"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9" min="1" max="1"/>
    <col width="56" customWidth="1" style="179" min="2" max="2"/>
    <col width="25" customWidth="1" style="179" min="3" max="4"/>
    <col width="8.710000000000001" customWidth="1" style="179" min="5" max="6"/>
  </cols>
  <sheetData>
    <row r="1">
      <c r="A1" s="180" t="inlineStr">
        <is>
          <t>⑨ 사용법</t>
        </is>
      </c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</row>
    <row r="2">
      <c r="A2" s="99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>
      <c r="A3" s="181" t="inlineStr">
        <is>
          <t>■ 매일 (5분 이내) — 이것만 하면 됩니다</t>
        </is>
      </c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</row>
    <row r="4" ht="24" customHeight="1" s="179">
      <c r="A4" s="176" t="inlineStr">
        <is>
          <t>1</t>
        </is>
      </c>
      <c r="B4" s="281" t="inlineStr">
        <is>
          <t>00_대시보드: Ⅰ 신호등 + Ⅱ 기조 + 우측 차트만 훑는다. 손익은 보지 않는다. (1분)</t>
        </is>
      </c>
      <c r="C4" s="279" t="n"/>
      <c r="D4" s="27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24" customHeight="1" s="179">
      <c r="A5" s="176" t="inlineStr">
        <is>
          <t>2</t>
        </is>
      </c>
      <c r="B5" s="281" t="inlineStr">
        <is>
          <t>01_일별로그: 국장 총평가·국장 순자산 2칸 + 감정점수. 미장/ISA/예수금/실질Expo는 비워두면 전일 값이 이어집니다. (3분)</t>
        </is>
      </c>
      <c r="C5" s="279" t="n"/>
      <c r="D5" s="27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</row>
    <row r="6" ht="24" customHeight="1" s="179">
      <c r="A6" s="176" t="inlineStr">
        <is>
          <t>3</t>
        </is>
      </c>
      <c r="B6" s="281" t="inlineStr">
        <is>
          <t>거래한 날만: 04_매매일지에 의사결정 단위로 1~3줄 (필수 6칸만). (2분)</t>
        </is>
      </c>
      <c r="C6" s="279" t="n"/>
      <c r="D6" s="279" t="n"/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>
      <c r="A7" s="99" t="n"/>
      <c r="B7" s="99" t="n"/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>
      <c r="A8" s="181" t="inlineStr">
        <is>
          <t>■ 매수하고 싶어질 때 (1분)</t>
        </is>
      </c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 ht="24" customHeight="1" s="179">
      <c r="A9" s="176" t="inlineStr">
        <is>
          <t>4</t>
        </is>
      </c>
      <c r="B9" s="281" t="inlineStr">
        <is>
          <t>대시보드 Ⅶ 6문항을 소리 내어 읽는다. 하나라도 '아니오'면 내일 다시 온다.</t>
        </is>
      </c>
      <c r="C9" s="279" t="n"/>
      <c r="D9" s="279" t="n"/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 ht="27.75" customHeight="1" s="179">
      <c r="A10" s="25" t="n"/>
      <c r="B10" s="102" t="n"/>
      <c r="C10" s="99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 ht="27.75" customHeight="1" s="179">
      <c r="A11" s="292" t="inlineStr">
        <is>
          <t>■ 주 1회, 주말 (20분)</t>
        </is>
      </c>
      <c r="B11" s="279" t="n"/>
      <c r="C11" s="279" t="n"/>
      <c r="D11" s="27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 ht="24" customHeight="1" s="179">
      <c r="A12" s="176" t="inlineStr">
        <is>
          <t>5</t>
        </is>
      </c>
      <c r="B12" s="281" t="inlineStr">
        <is>
          <t>03_포지션 전체 갱신 (현재가·예수금·신용) — 신호등이 최신화된다.</t>
        </is>
      </c>
      <c r="C12" s="279" t="n"/>
      <c r="D12" s="27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 ht="24" customHeight="1" s="179">
      <c r="A13" s="176" t="inlineStr">
        <is>
          <t>6</t>
        </is>
      </c>
      <c r="B13" s="281" t="inlineStr">
        <is>
          <t>05_뷰트래커: 3소스 뷰 기록 + 기조 카드 갱신 + 무효화 조건 점검.</t>
        </is>
      </c>
      <c r="C13" s="279" t="n"/>
      <c r="D13" s="27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 ht="24" customHeight="1" s="179">
      <c r="A14" s="176" t="inlineStr">
        <is>
          <t>7</t>
        </is>
      </c>
      <c r="B14" s="281" t="inlineStr">
        <is>
          <t>룰북 체크리스트 W1~W4 확인일 갱신.</t>
        </is>
      </c>
      <c r="C14" s="279" t="n"/>
      <c r="D14" s="279" t="n"/>
      <c r="E14" s="99" t="n"/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 ht="27.75" customHeight="1" s="179">
      <c r="A15" s="25" t="n"/>
      <c r="B15" s="102" t="n"/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 ht="27.75" customHeight="1" s="179">
      <c r="A16" s="292" t="inlineStr">
        <is>
          <t>■ 월 1회 (20분)</t>
        </is>
      </c>
      <c r="B16" s="279" t="n"/>
      <c r="C16" s="279" t="n"/>
      <c r="D16" s="279" t="n"/>
      <c r="E16" s="99" t="n"/>
      <c r="F16" s="99" t="n"/>
      <c r="G16" s="99" t="n"/>
      <c r="H16" s="99" t="n"/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 ht="24" customHeight="1" s="179">
      <c r="A17" s="176" t="inlineStr">
        <is>
          <t>8</t>
        </is>
      </c>
      <c r="B17" s="281" t="inlineStr">
        <is>
          <t>09_CF: 신용이자 + 해외 실현이익 입력 → 대시보드 Ⅴ 실질손익 확인.</t>
        </is>
      </c>
      <c r="C17" s="279" t="n"/>
      <c r="D17" s="27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 ht="24" customHeight="1" s="179">
      <c r="A18" s="176" t="inlineStr">
        <is>
          <t>9</t>
        </is>
      </c>
      <c r="B18" s="281" t="inlineStr">
        <is>
          <t>06_월간결산 준수율 + 04_매매일지 감정태그 집계 + M1~M4 갱신.</t>
        </is>
      </c>
      <c r="C18" s="279" t="n"/>
      <c r="D18" s="279" t="n"/>
      <c r="E18" s="99" t="n"/>
      <c r="F18" s="99" t="n"/>
      <c r="G18" s="99" t="n"/>
      <c r="H18" s="99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>
      <c r="A19" s="99" t="n"/>
      <c r="B19" s="99" t="n"/>
      <c r="C19" s="99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>
      <c r="A20" s="181" t="inlineStr">
        <is>
          <t>■ 설계 원칙</t>
        </is>
      </c>
      <c r="E20" s="99" t="n"/>
      <c r="F20" s="99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24" customHeight="1" s="179">
      <c r="A21" s="176" t="inlineStr">
        <is>
          <t>A</t>
        </is>
      </c>
      <c r="B21" s="281" t="inlineStr">
        <is>
          <t>손익이 아니라 리스크가 첫 화면이다. 규칙은 산문이 아니라 숫자다.</t>
        </is>
      </c>
      <c r="C21" s="279" t="n"/>
      <c r="D21" s="27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24" customHeight="1" s="179">
      <c r="A22" s="176" t="inlineStr">
        <is>
          <t>B</t>
        </is>
      </c>
      <c r="B22" s="281" t="inlineStr">
        <is>
          <t>매일의 부담을 5분 아래로 — 부담이 크면 시스템은 버려진다.</t>
        </is>
      </c>
      <c r="C22" s="279" t="n"/>
      <c r="D22" s="279" t="n"/>
      <c r="E22" s="99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24" customHeight="1" s="179">
      <c r="A23" s="176" t="inlineStr">
        <is>
          <t>C</t>
        </is>
      </c>
      <c r="B23" s="281" t="inlineStr">
        <is>
          <t>자동화는 입력되는 데이터까지만. 기록 안 될 데이터에 기댄 규칙은 가짜 자동화다.</t>
        </is>
      </c>
      <c r="C23" s="279" t="n"/>
      <c r="D23" s="27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24" customHeight="1" s="179">
      <c r="A24" s="176" t="inlineStr">
        <is>
          <t>D</t>
        </is>
      </c>
      <c r="B24" s="281" t="inlineStr">
        <is>
          <t>레버ETF 합산 20% Cap (R18). 본주가 번 돈을 레버ETF가 태우는 구조를 끊는다.</t>
        </is>
      </c>
      <c r="C24" s="279" t="n"/>
      <c r="D24" s="27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5.75" customHeight="1" s="179">
      <c r="A25" s="99" t="n"/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5.75" customHeight="1" s="179">
      <c r="A26" s="181" t="inlineStr">
        <is>
          <t>■ 주의</t>
        </is>
      </c>
      <c r="E26" s="99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24" customHeight="1" s="179">
      <c r="A27" s="176" t="inlineStr">
        <is>
          <t>!</t>
        </is>
      </c>
      <c r="B27" s="281" t="inlineStr">
        <is>
          <t>기록·측정 도구이며 투자 자문이 아닙니다. 기준값은 전부 본인이 정합니다.</t>
        </is>
      </c>
      <c r="C27" s="279" t="n"/>
      <c r="D27" s="279" t="n"/>
      <c r="E27" s="99" t="n"/>
      <c r="F27" s="99" t="n"/>
      <c r="G27" s="99" t="n"/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24" customHeight="1" s="179">
      <c r="A28" s="176" t="inlineStr">
        <is>
          <t>!</t>
        </is>
      </c>
      <c r="B28" s="281" t="inlineStr">
        <is>
          <t>양도세는 단순 추정입니다. 실제 신고·포지션 처리는 세무·증권 전문가와 상의하세요.</t>
        </is>
      </c>
      <c r="C28" s="279" t="n"/>
      <c r="D28" s="279" t="n"/>
      <c r="E28" s="99" t="n"/>
      <c r="F28" s="99" t="n"/>
      <c r="G28" s="99" t="n"/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5.75" customHeight="1" s="179">
      <c r="A29" s="99" t="n"/>
      <c r="B29" s="99" t="n"/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5.75" customHeight="1" s="179">
      <c r="A30" s="178" t="n"/>
      <c r="B30" s="99" t="n"/>
      <c r="C30" s="99" t="n"/>
      <c r="D30" s="99" t="n"/>
      <c r="E30" s="99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27.75" customHeight="1" s="179">
      <c r="A31" s="25" t="n"/>
      <c r="B31" s="102" t="n"/>
      <c r="C31" s="99" t="n"/>
      <c r="D31" s="99" t="n"/>
      <c r="E31" s="99" t="n"/>
      <c r="F31" s="99" t="n"/>
      <c r="G31" s="99" t="n"/>
      <c r="H31" s="99" t="n"/>
      <c r="I31" s="99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27.75" customHeight="1" s="179">
      <c r="A32" s="25" t="n"/>
      <c r="B32" s="102" t="n"/>
      <c r="C32" s="99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27.75" customHeight="1" s="179">
      <c r="A33" s="25" t="n"/>
      <c r="B33" s="102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5.75" customHeight="1" s="179">
      <c r="A34" s="99" t="n"/>
      <c r="B34" s="99" t="n"/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5.75" customHeight="1" s="179">
      <c r="A35" s="99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5.75" customHeight="1" s="179">
      <c r="A36" s="99" t="n"/>
      <c r="B36" s="99" t="n"/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5.75" customHeight="1" s="179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5.75" customHeight="1" s="179">
      <c r="A38" s="99" t="n"/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5.75" customHeight="1" s="179">
      <c r="A39" s="99" t="n"/>
      <c r="B39" s="99" t="n"/>
      <c r="C39" s="99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5.75" customHeight="1" s="179">
      <c r="A40" s="99" t="n"/>
      <c r="B40" s="99" t="n"/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5.75" customHeight="1" s="179">
      <c r="A41" s="99" t="n"/>
      <c r="B41" s="99" t="n"/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5.75" customHeight="1" s="179">
      <c r="A42" s="99" t="n"/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5.75" customHeight="1" s="179">
      <c r="A43" s="99" t="n"/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5.75" customHeight="1" s="179">
      <c r="A44" s="9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5.75" customHeight="1" s="179">
      <c r="A45" s="9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5.75" customHeight="1" s="179">
      <c r="A46" s="9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5.75" customHeight="1" s="179">
      <c r="A47" s="9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5.75" customHeight="1" s="179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5.75" customHeight="1" s="179">
      <c r="A49" s="9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5.75" customHeight="1" s="179">
      <c r="A50" s="9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5.75" customHeight="1" s="179">
      <c r="A51" s="9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5.75" customHeight="1" s="179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5.75" customHeight="1" s="179">
      <c r="A53" s="9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5.75" customHeight="1" s="179">
      <c r="A54" s="9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5.75" customHeight="1" s="179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5.75" customHeight="1" s="179">
      <c r="A56" s="9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5.75" customHeight="1" s="179">
      <c r="A57" s="9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5.75" customHeight="1" s="179">
      <c r="A58" s="9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5.75" customHeight="1" s="179">
      <c r="A59" s="9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5.75" customHeight="1" s="179">
      <c r="A60" s="9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5.75" customHeight="1" s="179">
      <c r="A61" s="9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5.75" customHeight="1" s="179">
      <c r="A62" s="9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5.75" customHeight="1" s="179">
      <c r="A63" s="9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5.75" customHeight="1" s="179">
      <c r="A64" s="9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5.75" customHeight="1" s="179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5.75" customHeight="1" s="179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5.75" customHeight="1" s="179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5.75" customHeight="1" s="179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5.75" customHeight="1" s="17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5.75" customHeight="1" s="179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5.75" customHeight="1" s="179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5.75" customHeight="1" s="179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5.75" customHeight="1" s="179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5.75" customHeight="1" s="179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5.75" customHeight="1" s="179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5.75" customHeight="1" s="179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5.75" customHeight="1" s="179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5.75" customHeight="1" s="179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5.75" customHeight="1" s="179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5.75" customHeight="1" s="179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5.75" customHeight="1" s="179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5.75" customHeight="1" s="179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5.75" customHeight="1" s="179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5.75" customHeight="1" s="179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5.75" customHeight="1" s="179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5.75" customHeight="1" s="179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5.75" customHeight="1" s="179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5.75" customHeight="1" s="179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5.75" customHeight="1" s="179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5.75" customHeight="1" s="179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5.75" customHeight="1" s="179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5.75" customHeight="1" s="179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5.75" customHeight="1" s="179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5.75" customHeight="1" s="179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5.75" customHeight="1" s="179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5.75" customHeight="1" s="179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5.75" customHeight="1" s="179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5.75" customHeight="1" s="179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5.75" customHeight="1" s="179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5.75" customHeight="1" s="179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5.75" customHeight="1" s="179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5.75" customHeight="1" s="179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5.75" customHeight="1" s="179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5.75" customHeight="1" s="179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5.75" customHeight="1" s="179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5.75" customHeight="1" s="179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5.75" customHeight="1" s="179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5.75" customHeight="1" s="179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5.75" customHeight="1" s="179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5.75" customHeight="1" s="179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5.75" customHeight="1" s="179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5.75" customHeight="1" s="179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5.75" customHeight="1" s="179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5.75" customHeight="1" s="179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5.75" customHeight="1" s="179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5.75" customHeight="1" s="179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5.75" customHeight="1" s="179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5.75" customHeight="1" s="179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5.75" customHeight="1" s="179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5.75" customHeight="1" s="179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5.75" customHeight="1" s="179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5.75" customHeight="1" s="179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5.75" customHeight="1" s="179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5.75" customHeight="1" s="179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5.75" customHeight="1" s="179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5.75" customHeight="1" s="179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5.75" customHeight="1" s="179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5.75" customHeight="1" s="179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5.75" customHeight="1" s="179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5.75" customHeight="1" s="179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5.75" customHeight="1" s="179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5.75" customHeight="1" s="179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5.75" customHeight="1" s="179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5.75" customHeight="1" s="179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5.75" customHeight="1" s="179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5.75" customHeight="1" s="179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5.75" customHeight="1" s="179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5.75" customHeight="1" s="179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5.75" customHeight="1" s="179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5.75" customHeight="1" s="179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5.75" customHeight="1" s="179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5.75" customHeight="1" s="179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5.75" customHeight="1" s="179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5.75" customHeight="1" s="179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5.75" customHeight="1" s="179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5.75" customHeight="1" s="179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5.75" customHeight="1" s="179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5.75" customHeight="1" s="179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5.75" customHeight="1" s="179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5.75" customHeight="1" s="179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5.75" customHeight="1" s="179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5.75" customHeight="1" s="179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5.75" customHeight="1" s="179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5.75" customHeight="1" s="179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5.75" customHeight="1" s="179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5.75" customHeight="1" s="179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5.75" customHeight="1" s="179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5.75" customHeight="1" s="179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5.75" customHeight="1" s="179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5.75" customHeight="1" s="179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5.75" customHeight="1" s="179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5.75" customHeight="1" s="179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5.75" customHeight="1" s="179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5.75" customHeight="1" s="179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5.75" customHeight="1" s="179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5.75" customHeight="1" s="179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5.75" customHeight="1" s="179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5.75" customHeight="1" s="179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5.75" customHeight="1" s="179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5.75" customHeight="1" s="179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5.75" customHeight="1" s="179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5.75" customHeight="1" s="179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5.75" customHeight="1" s="179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5.75" customHeight="1" s="179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5.75" customHeight="1" s="179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5.75" customHeight="1" s="179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5.75" customHeight="1" s="179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5.75" customHeight="1" s="179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5.75" customHeight="1" s="179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5.75" customHeight="1" s="179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5.75" customHeight="1" s="179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5.75" customHeight="1" s="179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5.75" customHeight="1" s="179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5.75" customHeight="1" s="179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5.75" customHeight="1" s="179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5.75" customHeight="1" s="179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5.75" customHeight="1" s="179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5.75" customHeight="1" s="179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5.75" customHeight="1" s="179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5.75" customHeight="1" s="179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5.75" customHeight="1" s="179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5.75" customHeight="1" s="179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5.75" customHeight="1" s="179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5.75" customHeight="1" s="179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5.75" customHeight="1" s="179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5.75" customHeight="1" s="179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5.75" customHeight="1" s="179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5.75" customHeight="1" s="179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5.75" customHeight="1" s="179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5.75" customHeight="1" s="179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5.75" customHeight="1" s="179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5.75" customHeight="1" s="179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5.75" customHeight="1" s="179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5.75" customHeight="1" s="179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5.75" customHeight="1" s="179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5.75" customHeight="1" s="179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5.75" customHeight="1" s="179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5.75" customHeight="1" s="179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5.75" customHeight="1" s="17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5.75" customHeight="1" s="179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5.75" customHeight="1" s="179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5.75" customHeight="1" s="179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5.75" customHeight="1" s="179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5.75" customHeight="1" s="179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5.75" customHeight="1" s="179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5.75" customHeight="1" s="179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5.75" customHeight="1" s="179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5.75" customHeight="1" s="179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5.75" customHeight="1" s="179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5.75" customHeight="1" s="179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5.75" customHeight="1" s="179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5.75" customHeight="1" s="179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5.75" customHeight="1" s="179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5.75" customHeight="1" s="179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5.75" customHeight="1" s="179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5.75" customHeight="1" s="179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5.75" customHeight="1" s="179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5.75" customHeight="1" s="179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5.75" customHeight="1" s="179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5.75" customHeight="1" s="179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5.75" customHeight="1" s="179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179">
      <c r="A232" s="9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5.75" customHeight="1" s="179">
      <c r="A233" s="9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5.75" customHeight="1" s="179">
      <c r="A234" s="9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5.75" customHeight="1" s="179">
      <c r="A235" s="9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5.75" customHeight="1" s="179">
      <c r="A236" s="9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5.75" customHeight="1" s="179">
      <c r="A237" s="9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5.75" customHeight="1" s="179">
      <c r="A238" s="9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5.75" customHeight="1" s="179">
      <c r="A239" s="9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5.75" customHeight="1" s="179">
      <c r="A240" s="9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5.75" customHeight="1" s="179">
      <c r="A241" s="9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5.75" customHeight="1" s="179">
      <c r="A242" s="9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5.75" customHeight="1" s="179">
      <c r="A243" s="9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179">
      <c r="A244" s="99" t="n"/>
      <c r="B244" s="99" t="n"/>
      <c r="C244" s="99" t="n"/>
      <c r="D244" s="99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</row>
    <row r="245" ht="15.75" customHeight="1" s="179">
      <c r="A245" s="99" t="n"/>
      <c r="B245" s="99" t="n"/>
      <c r="C245" s="99" t="n"/>
      <c r="D245" s="99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</row>
    <row r="246" ht="15.75" customHeight="1" s="179">
      <c r="A246" s="99" t="n"/>
      <c r="B246" s="99" t="n"/>
      <c r="C246" s="99" t="n"/>
      <c r="D246" s="99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</row>
    <row r="247" ht="15.75" customHeight="1" s="179">
      <c r="A247" s="99" t="n"/>
      <c r="B247" s="99" t="n"/>
      <c r="C247" s="99" t="n"/>
      <c r="D247" s="99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</row>
    <row r="248" ht="15.75" customHeight="1" s="179">
      <c r="A248" s="99" t="n"/>
      <c r="B248" s="99" t="n"/>
      <c r="C248" s="99" t="n"/>
      <c r="D248" s="99" t="n"/>
      <c r="E248" s="99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</row>
    <row r="249" ht="15.75" customHeight="1" s="179">
      <c r="A249" s="99" t="n"/>
      <c r="B249" s="99" t="n"/>
      <c r="C249" s="99" t="n"/>
      <c r="D249" s="99" t="n"/>
      <c r="E249" s="99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</row>
    <row r="250" ht="15.75" customHeight="1" s="179">
      <c r="A250" s="99" t="n"/>
      <c r="B250" s="99" t="n"/>
      <c r="C250" s="99" t="n"/>
      <c r="D250" s="99" t="n"/>
      <c r="E250" s="99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</row>
    <row r="251" ht="15.75" customHeight="1" s="179">
      <c r="A251" s="99" t="n"/>
      <c r="B251" s="99" t="n"/>
      <c r="C251" s="99" t="n"/>
      <c r="D251" s="99" t="n"/>
      <c r="E251" s="99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</row>
    <row r="252" ht="15.75" customHeight="1" s="179">
      <c r="A252" s="99" t="n"/>
      <c r="B252" s="99" t="n"/>
      <c r="C252" s="99" t="n"/>
      <c r="D252" s="99" t="n"/>
      <c r="E252" s="99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</row>
    <row r="253" ht="15.75" customHeight="1" s="179">
      <c r="A253" s="99" t="n"/>
      <c r="B253" s="99" t="n"/>
      <c r="C253" s="99" t="n"/>
      <c r="D253" s="99" t="n"/>
      <c r="E253" s="99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</row>
    <row r="254" ht="15.75" customHeight="1" s="179">
      <c r="A254" s="99" t="n"/>
      <c r="B254" s="99" t="n"/>
      <c r="C254" s="99" t="n"/>
      <c r="D254" s="99" t="n"/>
      <c r="E254" s="99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</row>
    <row r="255" ht="15.75" customHeight="1" s="179">
      <c r="A255" s="99" t="n"/>
      <c r="B255" s="99" t="n"/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</row>
    <row r="256" ht="15.75" customHeight="1" s="179">
      <c r="A256" s="99" t="n"/>
      <c r="B256" s="99" t="n"/>
      <c r="C256" s="99" t="n"/>
      <c r="D256" s="99" t="n"/>
      <c r="E256" s="99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</row>
    <row r="257" ht="15.75" customHeight="1" s="179">
      <c r="A257" s="99" t="n"/>
      <c r="B257" s="99" t="n"/>
      <c r="C257" s="99" t="n"/>
      <c r="D257" s="99" t="n"/>
      <c r="E257" s="99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</row>
    <row r="258" ht="15.75" customHeight="1" s="179">
      <c r="A258" s="99" t="n"/>
      <c r="B258" s="99" t="n"/>
      <c r="C258" s="99" t="n"/>
      <c r="D258" s="99" t="n"/>
      <c r="E258" s="99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</row>
    <row r="259" ht="15.75" customHeight="1" s="179">
      <c r="A259" s="99" t="n"/>
      <c r="B259" s="99" t="n"/>
      <c r="C259" s="99" t="n"/>
      <c r="D259" s="99" t="n"/>
      <c r="E259" s="99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</row>
    <row r="260" ht="15.75" customHeight="1" s="179">
      <c r="A260" s="99" t="n"/>
      <c r="B260" s="99" t="n"/>
      <c r="C260" s="99" t="n"/>
      <c r="D260" s="99" t="n"/>
      <c r="E260" s="99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</row>
    <row r="261" ht="15.75" customHeight="1" s="179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</row>
    <row r="262" ht="15.75" customHeight="1" s="179">
      <c r="A262" s="99" t="n"/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</row>
    <row r="263" ht="15.75" customHeight="1" s="179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</row>
    <row r="264" ht="15.75" customHeight="1" s="179">
      <c r="A264" s="99" t="n"/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</row>
    <row r="265" ht="15.75" customHeight="1" s="179">
      <c r="A265" s="99" t="n"/>
      <c r="B265" s="99" t="n"/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</row>
    <row r="266" ht="15.75" customHeight="1" s="179">
      <c r="A266" s="99" t="n"/>
      <c r="B266" s="99" t="n"/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</row>
    <row r="267" ht="15.75" customHeight="1" s="179">
      <c r="A267" s="99" t="n"/>
      <c r="B267" s="99" t="n"/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</row>
    <row r="268" ht="15.75" customHeight="1" s="179">
      <c r="A268" s="99" t="n"/>
      <c r="B268" s="99" t="n"/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</row>
    <row r="269" ht="15.75" customHeight="1" s="179">
      <c r="A269" s="99" t="n"/>
      <c r="B269" s="99" t="n"/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</row>
    <row r="270" ht="15.75" customHeight="1" s="179">
      <c r="A270" s="99" t="n"/>
      <c r="B270" s="99" t="n"/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</row>
    <row r="271" ht="15.75" customHeight="1" s="179">
      <c r="A271" s="99" t="n"/>
      <c r="B271" s="99" t="n"/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</row>
    <row r="272" ht="15.75" customHeight="1" s="179">
      <c r="A272" s="99" t="n"/>
      <c r="B272" s="99" t="n"/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</row>
    <row r="273" ht="15.75" customHeight="1" s="179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</row>
    <row r="274" ht="15.75" customHeight="1" s="179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</row>
    <row r="275" ht="15.75" customHeight="1" s="179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</row>
    <row r="276" ht="15.75" customHeight="1" s="179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</row>
    <row r="277" ht="15.75" customHeight="1" s="179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</row>
    <row r="278" ht="15.75" customHeight="1" s="179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</row>
    <row r="279" ht="15.75" customHeight="1" s="1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</row>
    <row r="280" ht="15.75" customHeight="1" s="179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</row>
    <row r="281" ht="15.75" customHeight="1" s="179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</row>
    <row r="282" ht="15.75" customHeight="1" s="179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</row>
    <row r="283" ht="15.75" customHeight="1" s="179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</row>
    <row r="284" ht="15.75" customHeight="1" s="179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</row>
    <row r="285" ht="15.75" customHeight="1" s="179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</row>
    <row r="286" ht="15.75" customHeight="1" s="179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</row>
    <row r="287" ht="15.75" customHeight="1" s="179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</row>
    <row r="288" ht="15.75" customHeight="1" s="179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</row>
    <row r="289" ht="15.75" customHeight="1" s="17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</row>
    <row r="290" ht="15.75" customHeight="1" s="179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</row>
    <row r="291" ht="15.75" customHeight="1" s="179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</row>
    <row r="292" ht="15.75" customHeight="1" s="179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</row>
    <row r="293" ht="15.75" customHeight="1" s="179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</row>
    <row r="294" ht="15.75" customHeight="1" s="179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</row>
    <row r="295" ht="15.75" customHeight="1" s="179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</row>
    <row r="296" ht="15.75" customHeight="1" s="179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</row>
    <row r="297" ht="15.75" customHeight="1" s="179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</row>
    <row r="298" ht="15.75" customHeight="1" s="179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</row>
    <row r="299" ht="15.75" customHeight="1" s="17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</row>
    <row r="300" ht="15.75" customHeight="1" s="179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</row>
    <row r="301" ht="15.75" customHeight="1" s="179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</row>
    <row r="302" ht="15.75" customHeight="1" s="179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</row>
    <row r="303" ht="15.75" customHeight="1" s="179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</row>
    <row r="304" ht="15.75" customHeight="1" s="179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</row>
    <row r="305" ht="15.75" customHeight="1" s="179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</row>
    <row r="306" ht="15.75" customHeight="1" s="179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</row>
    <row r="307" ht="15.75" customHeight="1" s="179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</row>
    <row r="308" ht="15.75" customHeight="1" s="179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</row>
    <row r="309" ht="15.75" customHeight="1" s="17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</row>
    <row r="310" ht="15.75" customHeight="1" s="179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</row>
    <row r="311" ht="15.75" customHeight="1" s="179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</row>
    <row r="312" ht="15.75" customHeight="1" s="179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</row>
    <row r="313" ht="15.75" customHeight="1" s="179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</row>
    <row r="314" ht="15.75" customHeight="1" s="179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</row>
    <row r="315" ht="15.75" customHeight="1" s="179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</row>
    <row r="316" ht="15.75" customHeight="1" s="179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</row>
    <row r="317" ht="15.75" customHeight="1" s="179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</row>
    <row r="318" ht="15.75" customHeight="1" s="179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</row>
    <row r="319" ht="15.75" customHeight="1" s="17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</row>
    <row r="320" ht="15.75" customHeight="1" s="179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</row>
    <row r="321" ht="15.75" customHeight="1" s="179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</row>
    <row r="322" ht="15.75" customHeight="1" s="179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</row>
    <row r="323" ht="15.75" customHeight="1" s="179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</row>
    <row r="324" ht="15.75" customHeight="1" s="179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</row>
    <row r="325" ht="15.75" customHeight="1" s="179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</row>
    <row r="326" ht="15.75" customHeight="1" s="179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</row>
    <row r="327" ht="15.75" customHeight="1" s="179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</row>
    <row r="328" ht="15.75" customHeight="1" s="179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</row>
    <row r="329" ht="15.75" customHeight="1" s="17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</row>
    <row r="330" ht="15.75" customHeight="1" s="179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</row>
    <row r="331" ht="15.75" customHeight="1" s="179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</row>
    <row r="332" ht="15.75" customHeight="1" s="179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</row>
    <row r="333" ht="15.75" customHeight="1" s="179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</row>
    <row r="334" ht="15.75" customHeight="1" s="179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</row>
    <row r="335" ht="15.75" customHeight="1" s="179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</row>
    <row r="336" ht="15.75" customHeight="1" s="179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</row>
    <row r="337" ht="15.75" customHeight="1" s="179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</row>
    <row r="338" ht="15.75" customHeight="1" s="179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</row>
    <row r="339" ht="15.75" customHeight="1" s="17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</row>
    <row r="340" ht="15.75" customHeight="1" s="179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</row>
    <row r="341" ht="15.75" customHeight="1" s="179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</row>
    <row r="342" ht="15.75" customHeight="1" s="179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</row>
    <row r="343" ht="15.75" customHeight="1" s="179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</row>
    <row r="344" ht="15.75" customHeight="1" s="179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</row>
    <row r="345" ht="15.75" customHeight="1" s="179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</row>
    <row r="346" ht="15.75" customHeight="1" s="179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</row>
    <row r="347" ht="15.75" customHeight="1" s="179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</row>
    <row r="348" ht="15.75" customHeight="1" s="179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</row>
    <row r="349" ht="15.75" customHeight="1" s="17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</row>
    <row r="350" ht="15.75" customHeight="1" s="179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</row>
    <row r="351" ht="15.75" customHeight="1" s="179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</row>
    <row r="352" ht="15.75" customHeight="1" s="179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</row>
    <row r="353" ht="15.75" customHeight="1" s="179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</row>
    <row r="354" ht="15.75" customHeight="1" s="179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</row>
    <row r="355" ht="15.75" customHeight="1" s="179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</row>
    <row r="356" ht="15.75" customHeight="1" s="179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</row>
    <row r="357" ht="15.75" customHeight="1" s="179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</row>
    <row r="358" ht="15.75" customHeight="1" s="179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</row>
    <row r="359" ht="15.75" customHeight="1" s="17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</row>
    <row r="360" ht="15.75" customHeight="1" s="179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</row>
    <row r="361" ht="15.75" customHeight="1" s="179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</row>
    <row r="362" ht="15.75" customHeight="1" s="179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</row>
    <row r="363" ht="15.75" customHeight="1" s="179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</row>
    <row r="364" ht="15.75" customHeight="1" s="179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</row>
    <row r="365" ht="15.75" customHeight="1" s="179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</row>
    <row r="366" ht="15.75" customHeight="1" s="179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</row>
    <row r="367" ht="15.75" customHeight="1" s="179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</row>
    <row r="368" ht="15.75" customHeight="1" s="179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</row>
    <row r="369" ht="15.75" customHeight="1" s="17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</row>
    <row r="370" ht="15.75" customHeight="1" s="179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</row>
    <row r="371" ht="15.75" customHeight="1" s="179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</row>
    <row r="372" ht="15.75" customHeight="1" s="179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</row>
    <row r="373" ht="15.75" customHeight="1" s="179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</row>
    <row r="374" ht="15.75" customHeight="1" s="179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</row>
    <row r="375" ht="15.75" customHeight="1" s="179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</row>
    <row r="376" ht="15.75" customHeight="1" s="179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</row>
    <row r="377" ht="15.75" customHeight="1" s="179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</row>
    <row r="378" ht="15.75" customHeight="1" s="179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</row>
    <row r="379" ht="15.75" customHeight="1" s="1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</row>
    <row r="380" ht="15.75" customHeight="1" s="179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</row>
    <row r="381" ht="15.75" customHeight="1" s="179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</row>
    <row r="382" ht="15.75" customHeight="1" s="179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</row>
    <row r="383" ht="15.75" customHeight="1" s="179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</row>
    <row r="384" ht="15.75" customHeight="1" s="179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</row>
    <row r="385" ht="15.75" customHeight="1" s="179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</row>
    <row r="386" ht="15.75" customHeight="1" s="179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</row>
    <row r="387" ht="15.75" customHeight="1" s="179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</row>
    <row r="388" ht="15.75" customHeight="1" s="179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</row>
    <row r="389" ht="15.75" customHeight="1" s="17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</row>
    <row r="390" ht="15.75" customHeight="1" s="179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</row>
    <row r="391" ht="15.75" customHeight="1" s="179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</row>
    <row r="392" ht="15.75" customHeight="1" s="179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</row>
    <row r="393" ht="15.75" customHeight="1" s="179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</row>
    <row r="394" ht="15.75" customHeight="1" s="179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</row>
    <row r="395" ht="15.75" customHeight="1" s="179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</row>
    <row r="396" ht="15.75" customHeight="1" s="179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</row>
    <row r="397" ht="15.75" customHeight="1" s="179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</row>
    <row r="398" ht="15.75" customHeight="1" s="179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</row>
    <row r="399" ht="15.75" customHeight="1" s="17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</row>
    <row r="400" ht="15.75" customHeight="1" s="179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</row>
    <row r="401" ht="15.75" customHeight="1" s="179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</row>
    <row r="402" ht="15.75" customHeight="1" s="179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</row>
    <row r="403" ht="15.75" customHeight="1" s="179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</row>
    <row r="404" ht="15.75" customHeight="1" s="179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</row>
    <row r="405" ht="15.75" customHeight="1" s="179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</row>
    <row r="406" ht="15.75" customHeight="1" s="179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</row>
    <row r="407" ht="15.75" customHeight="1" s="179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</row>
    <row r="408" ht="15.75" customHeight="1" s="179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</row>
    <row r="409" ht="15.75" customHeight="1" s="17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</row>
    <row r="410" ht="15.75" customHeight="1" s="179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</row>
    <row r="411" ht="15.75" customHeight="1" s="179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</row>
    <row r="412" ht="15.75" customHeight="1" s="179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</row>
    <row r="413" ht="15.75" customHeight="1" s="179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</row>
    <row r="414" ht="15.75" customHeight="1" s="179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</row>
    <row r="415" ht="15.75" customHeight="1" s="179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</row>
    <row r="416" ht="15.75" customHeight="1" s="179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</row>
    <row r="417" ht="15.75" customHeight="1" s="179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</row>
    <row r="418" ht="15.75" customHeight="1" s="179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</row>
    <row r="419" ht="15.75" customHeight="1" s="17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</row>
    <row r="420" ht="15.75" customHeight="1" s="179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</row>
    <row r="421" ht="15.75" customHeight="1" s="179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</row>
    <row r="422" ht="15.75" customHeight="1" s="179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</row>
    <row r="423" ht="15.75" customHeight="1" s="179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</row>
    <row r="424" ht="15.75" customHeight="1" s="179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</row>
    <row r="425" ht="15.75" customHeight="1" s="179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</row>
    <row r="426" ht="15.75" customHeight="1" s="179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</row>
    <row r="427" ht="15.75" customHeight="1" s="179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</row>
    <row r="428" ht="15.75" customHeight="1" s="179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</row>
    <row r="429" ht="15.75" customHeight="1" s="17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</row>
    <row r="430" ht="15.75" customHeight="1" s="179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</row>
    <row r="431" ht="15.75" customHeight="1" s="179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</row>
    <row r="432" ht="15.75" customHeight="1" s="179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</row>
    <row r="433" ht="15.75" customHeight="1" s="179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</row>
    <row r="434" ht="15.75" customHeight="1" s="179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</row>
    <row r="435" ht="15.75" customHeight="1" s="179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</row>
    <row r="436" ht="15.75" customHeight="1" s="179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</row>
    <row r="437" ht="15.75" customHeight="1" s="179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</row>
    <row r="438" ht="15.75" customHeight="1" s="179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</row>
    <row r="439" ht="15.75" customHeight="1" s="17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</row>
    <row r="440" ht="15.75" customHeight="1" s="179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</row>
    <row r="441" ht="15.75" customHeight="1" s="179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</row>
    <row r="442" ht="15.75" customHeight="1" s="179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</row>
    <row r="443" ht="15.75" customHeight="1" s="179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</row>
    <row r="444" ht="15.75" customHeight="1" s="179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</row>
    <row r="445" ht="15.75" customHeight="1" s="179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</row>
    <row r="446" ht="15.75" customHeight="1" s="179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</row>
    <row r="447" ht="15.75" customHeight="1" s="179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</row>
    <row r="448" ht="15.75" customHeight="1" s="179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</row>
    <row r="449" ht="15.75" customHeight="1" s="17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</row>
    <row r="450" ht="15.75" customHeight="1" s="179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</row>
    <row r="451" ht="15.75" customHeight="1" s="179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</row>
    <row r="452" ht="15.75" customHeight="1" s="179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</row>
    <row r="453" ht="15.75" customHeight="1" s="179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</row>
    <row r="454" ht="15.75" customHeight="1" s="179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</row>
    <row r="455" ht="15.75" customHeight="1" s="179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</row>
    <row r="456" ht="15.75" customHeight="1" s="179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</row>
    <row r="457" ht="15.75" customHeight="1" s="179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</row>
    <row r="458" ht="15.75" customHeight="1" s="179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</row>
    <row r="459" ht="15.75" customHeight="1" s="17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</row>
    <row r="460" ht="15.75" customHeight="1" s="179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</row>
    <row r="461" ht="15.75" customHeight="1" s="179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</row>
    <row r="462" ht="15.75" customHeight="1" s="179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</row>
    <row r="463" ht="15.75" customHeight="1" s="179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</row>
    <row r="464" ht="15.75" customHeight="1" s="179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</row>
    <row r="465" ht="15.75" customHeight="1" s="179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</row>
    <row r="466" ht="15.75" customHeight="1" s="179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</row>
    <row r="467" ht="15.75" customHeight="1" s="179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</row>
    <row r="468" ht="15.75" customHeight="1" s="179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</row>
    <row r="469" ht="15.75" customHeight="1" s="17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</row>
    <row r="470" ht="15.75" customHeight="1" s="179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</row>
    <row r="471" ht="15.75" customHeight="1" s="179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</row>
    <row r="472" ht="15.75" customHeight="1" s="179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</row>
    <row r="473" ht="15.75" customHeight="1" s="179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</row>
    <row r="474" ht="15.75" customHeight="1" s="179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</row>
    <row r="475" ht="15.75" customHeight="1" s="179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</row>
    <row r="476" ht="15.75" customHeight="1" s="179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</row>
    <row r="477" ht="15.75" customHeight="1" s="179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</row>
    <row r="478" ht="15.75" customHeight="1" s="179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</row>
    <row r="479" ht="15.75" customHeight="1" s="1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</row>
    <row r="480" ht="15.75" customHeight="1" s="179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</row>
    <row r="481" ht="15.75" customHeight="1" s="179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</row>
    <row r="482" ht="15.75" customHeight="1" s="179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</row>
    <row r="483" ht="15.75" customHeight="1" s="179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</row>
    <row r="484" ht="15.75" customHeight="1" s="179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</row>
    <row r="485" ht="15.75" customHeight="1" s="179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</row>
    <row r="486" ht="15.75" customHeight="1" s="179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</row>
    <row r="487" ht="15.75" customHeight="1" s="179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</row>
    <row r="488" ht="15.75" customHeight="1" s="179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</row>
    <row r="489" ht="15.75" customHeight="1" s="17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</row>
    <row r="490" ht="15.75" customHeight="1" s="179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</row>
    <row r="491" ht="15.75" customHeight="1" s="179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</row>
    <row r="492" ht="15.75" customHeight="1" s="179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</row>
    <row r="493" ht="15.75" customHeight="1" s="179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</row>
    <row r="494" ht="15.75" customHeight="1" s="179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</row>
    <row r="495" ht="15.75" customHeight="1" s="179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</row>
    <row r="496" ht="15.75" customHeight="1" s="179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</row>
    <row r="497" ht="15.75" customHeight="1" s="179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</row>
    <row r="498" ht="15.75" customHeight="1" s="179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</row>
    <row r="499" ht="15.75" customHeight="1" s="17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</row>
    <row r="500" ht="15.75" customHeight="1" s="179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</row>
    <row r="501" ht="15.75" customHeight="1" s="179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</row>
    <row r="502" ht="15.75" customHeight="1" s="179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</row>
    <row r="503" ht="15.75" customHeight="1" s="179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</row>
    <row r="504" ht="15.75" customHeight="1" s="179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</row>
    <row r="505" ht="15.75" customHeight="1" s="179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</row>
    <row r="506" ht="15.75" customHeight="1" s="179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</row>
    <row r="507" ht="15.75" customHeight="1" s="179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</row>
    <row r="508" ht="15.75" customHeight="1" s="179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</row>
    <row r="509" ht="15.75" customHeight="1" s="17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</row>
    <row r="510" ht="15.75" customHeight="1" s="179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</row>
    <row r="511" ht="15.75" customHeight="1" s="179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</row>
    <row r="512" ht="15.75" customHeight="1" s="179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</row>
    <row r="513" ht="15.75" customHeight="1" s="179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</row>
    <row r="514" ht="15.75" customHeight="1" s="179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</row>
    <row r="515" ht="15.75" customHeight="1" s="179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</row>
    <row r="516" ht="15.75" customHeight="1" s="179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</row>
    <row r="517" ht="15.75" customHeight="1" s="179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</row>
    <row r="518" ht="15.75" customHeight="1" s="179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</row>
    <row r="519" ht="15.75" customHeight="1" s="17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</row>
    <row r="520" ht="15.75" customHeight="1" s="179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</row>
    <row r="521" ht="15.75" customHeight="1" s="179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</row>
    <row r="522" ht="15.75" customHeight="1" s="179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</row>
    <row r="523" ht="15.75" customHeight="1" s="179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</row>
    <row r="524" ht="15.75" customHeight="1" s="179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</row>
    <row r="525" ht="15.75" customHeight="1" s="179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</row>
    <row r="526" ht="15.75" customHeight="1" s="179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</row>
    <row r="527" ht="15.75" customHeight="1" s="179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</row>
    <row r="528" ht="15.75" customHeight="1" s="179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</row>
    <row r="529" ht="15.75" customHeight="1" s="17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</row>
    <row r="530" ht="15.75" customHeight="1" s="179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</row>
    <row r="531" ht="15.75" customHeight="1" s="179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</row>
    <row r="532" ht="15.75" customHeight="1" s="179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</row>
    <row r="533" ht="15.75" customHeight="1" s="179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</row>
    <row r="534" ht="15.75" customHeight="1" s="179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</row>
    <row r="535" ht="15.75" customHeight="1" s="179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</row>
    <row r="536" ht="15.75" customHeight="1" s="179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</row>
    <row r="537" ht="15.75" customHeight="1" s="179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</row>
    <row r="538" ht="15.75" customHeight="1" s="179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</row>
    <row r="539" ht="15.75" customHeight="1" s="17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</row>
    <row r="540" ht="15.75" customHeight="1" s="179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</row>
    <row r="541" ht="15.75" customHeight="1" s="179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</row>
    <row r="542" ht="15.75" customHeight="1" s="179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</row>
    <row r="543" ht="15.75" customHeight="1" s="179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</row>
    <row r="544" ht="15.75" customHeight="1" s="179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</row>
    <row r="545" ht="15.75" customHeight="1" s="179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</row>
    <row r="546" ht="15.75" customHeight="1" s="179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</row>
    <row r="547" ht="15.75" customHeight="1" s="179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</row>
    <row r="548" ht="15.75" customHeight="1" s="179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</row>
    <row r="549" ht="15.75" customHeight="1" s="17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</row>
    <row r="550" ht="15.75" customHeight="1" s="179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</row>
    <row r="551" ht="15.75" customHeight="1" s="179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</row>
    <row r="552" ht="15.75" customHeight="1" s="179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</row>
    <row r="553" ht="15.75" customHeight="1" s="179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</row>
    <row r="554" ht="15.75" customHeight="1" s="179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</row>
    <row r="555" ht="15.75" customHeight="1" s="179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</row>
    <row r="556" ht="15.75" customHeight="1" s="179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</row>
    <row r="557" ht="15.75" customHeight="1" s="179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</row>
    <row r="558" ht="15.75" customHeight="1" s="179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</row>
    <row r="559" ht="15.75" customHeight="1" s="17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</row>
    <row r="560" ht="15.75" customHeight="1" s="179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</row>
    <row r="561" ht="15.75" customHeight="1" s="179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</row>
    <row r="562" ht="15.75" customHeight="1" s="179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</row>
    <row r="563" ht="15.75" customHeight="1" s="179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</row>
    <row r="564" ht="15.75" customHeight="1" s="179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</row>
    <row r="565" ht="15.75" customHeight="1" s="179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</row>
    <row r="566" ht="15.75" customHeight="1" s="179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</row>
    <row r="567" ht="15.75" customHeight="1" s="179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</row>
    <row r="568" ht="15.75" customHeight="1" s="179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</row>
    <row r="569" ht="15.75" customHeight="1" s="17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</row>
    <row r="570" ht="15.75" customHeight="1" s="179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</row>
    <row r="571" ht="15.75" customHeight="1" s="179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</row>
    <row r="572" ht="15.75" customHeight="1" s="179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</row>
    <row r="573" ht="15.75" customHeight="1" s="179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</row>
    <row r="574" ht="15.75" customHeight="1" s="179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</row>
    <row r="575" ht="15.75" customHeight="1" s="179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</row>
    <row r="576" ht="15.75" customHeight="1" s="179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</row>
    <row r="577" ht="15.75" customHeight="1" s="179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</row>
    <row r="578" ht="15.75" customHeight="1" s="179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</row>
    <row r="579" ht="15.75" customHeight="1" s="1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</row>
    <row r="580" ht="15.75" customHeight="1" s="179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</row>
    <row r="581" ht="15.75" customHeight="1" s="179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</row>
    <row r="582" ht="15.75" customHeight="1" s="179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</row>
    <row r="583" ht="15.75" customHeight="1" s="179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</row>
    <row r="584" ht="15.75" customHeight="1" s="179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</row>
    <row r="585" ht="15.75" customHeight="1" s="179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</row>
    <row r="586" ht="15.75" customHeight="1" s="179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</row>
    <row r="587" ht="15.75" customHeight="1" s="179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</row>
    <row r="588" ht="15.75" customHeight="1" s="179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</row>
    <row r="589" ht="15.75" customHeight="1" s="17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</row>
    <row r="590" ht="15.75" customHeight="1" s="179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</row>
    <row r="591" ht="15.75" customHeight="1" s="179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</row>
    <row r="592" ht="15.75" customHeight="1" s="179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</row>
    <row r="593" ht="15.75" customHeight="1" s="179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</row>
    <row r="594" ht="15.75" customHeight="1" s="179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</row>
    <row r="595" ht="15.75" customHeight="1" s="179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</row>
    <row r="596" ht="15.75" customHeight="1" s="179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</row>
    <row r="597" ht="15.75" customHeight="1" s="179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</row>
    <row r="598" ht="15.75" customHeight="1" s="179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</row>
    <row r="599" ht="15.75" customHeight="1" s="17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</row>
    <row r="600" ht="15.75" customHeight="1" s="179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</row>
    <row r="601" ht="15.75" customHeight="1" s="179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</row>
    <row r="602" ht="15.75" customHeight="1" s="179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</row>
    <row r="603" ht="15.75" customHeight="1" s="179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</row>
    <row r="604" ht="15.75" customHeight="1" s="179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</row>
    <row r="605" ht="15.75" customHeight="1" s="179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</row>
    <row r="606" ht="15.75" customHeight="1" s="179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</row>
    <row r="607" ht="15.75" customHeight="1" s="179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</row>
    <row r="608" ht="15.75" customHeight="1" s="179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</row>
    <row r="609" ht="15.75" customHeight="1" s="17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</row>
    <row r="610" ht="15.75" customHeight="1" s="179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</row>
    <row r="611" ht="15.75" customHeight="1" s="179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</row>
    <row r="612" ht="15.75" customHeight="1" s="179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</row>
    <row r="613" ht="15.75" customHeight="1" s="179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</row>
    <row r="614" ht="15.75" customHeight="1" s="179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</row>
    <row r="615" ht="15.75" customHeight="1" s="179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</row>
    <row r="616" ht="15.75" customHeight="1" s="179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</row>
    <row r="617" ht="15.75" customHeight="1" s="179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</row>
    <row r="618" ht="15.75" customHeight="1" s="179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</row>
    <row r="619" ht="15.75" customHeight="1" s="17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</row>
    <row r="620" ht="15.75" customHeight="1" s="179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</row>
    <row r="621" ht="15.75" customHeight="1" s="179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</row>
    <row r="622" ht="15.75" customHeight="1" s="179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</row>
    <row r="623" ht="15.75" customHeight="1" s="179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</row>
    <row r="624" ht="15.75" customHeight="1" s="179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</row>
    <row r="625" ht="15.75" customHeight="1" s="179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</row>
    <row r="626" ht="15.75" customHeight="1" s="179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</row>
    <row r="627" ht="15.75" customHeight="1" s="179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</row>
    <row r="628" ht="15.75" customHeight="1" s="179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</row>
    <row r="629" ht="15.75" customHeight="1" s="17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</row>
    <row r="630" ht="15.75" customHeight="1" s="179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</row>
    <row r="631" ht="15.75" customHeight="1" s="179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</row>
    <row r="632" ht="15.75" customHeight="1" s="179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</row>
    <row r="633" ht="15.75" customHeight="1" s="179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</row>
    <row r="634" ht="15.75" customHeight="1" s="179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</row>
    <row r="635" ht="15.75" customHeight="1" s="179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</row>
    <row r="636" ht="15.75" customHeight="1" s="179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</row>
    <row r="637" ht="15.75" customHeight="1" s="179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</row>
    <row r="638" ht="15.75" customHeight="1" s="179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</row>
    <row r="639" ht="15.75" customHeight="1" s="17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</row>
    <row r="640" ht="15.75" customHeight="1" s="179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</row>
    <row r="641" ht="15.75" customHeight="1" s="179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</row>
    <row r="642" ht="15.75" customHeight="1" s="179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</row>
    <row r="643" ht="15.75" customHeight="1" s="179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</row>
    <row r="644" ht="15.75" customHeight="1" s="179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</row>
    <row r="645" ht="15.75" customHeight="1" s="179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</row>
    <row r="646" ht="15.75" customHeight="1" s="179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</row>
    <row r="647" ht="15.75" customHeight="1" s="179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</row>
    <row r="648" ht="15.75" customHeight="1" s="179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</row>
    <row r="649" ht="15.75" customHeight="1" s="17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</row>
    <row r="650" ht="15.75" customHeight="1" s="179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</row>
    <row r="651" ht="15.75" customHeight="1" s="179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</row>
    <row r="652" ht="15.75" customHeight="1" s="179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</row>
    <row r="653" ht="15.75" customHeight="1" s="179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</row>
    <row r="654" ht="15.75" customHeight="1" s="179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</row>
    <row r="655" ht="15.75" customHeight="1" s="179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</row>
    <row r="656" ht="15.75" customHeight="1" s="179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</row>
    <row r="657" ht="15.75" customHeight="1" s="179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</row>
    <row r="658" ht="15.75" customHeight="1" s="179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</row>
    <row r="659" ht="15.75" customHeight="1" s="17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</row>
    <row r="660" ht="15.75" customHeight="1" s="179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</row>
    <row r="661" ht="15.75" customHeight="1" s="179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</row>
    <row r="662" ht="15.75" customHeight="1" s="179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</row>
    <row r="663" ht="15.75" customHeight="1" s="179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</row>
    <row r="664" ht="15.75" customHeight="1" s="179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</row>
    <row r="665" ht="15.75" customHeight="1" s="179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</row>
    <row r="666" ht="15.75" customHeight="1" s="179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</row>
    <row r="667" ht="15.75" customHeight="1" s="179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</row>
    <row r="668" ht="15.75" customHeight="1" s="179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</row>
    <row r="669" ht="15.75" customHeight="1" s="17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</row>
    <row r="670" ht="15.75" customHeight="1" s="179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</row>
    <row r="671" ht="15.75" customHeight="1" s="179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</row>
    <row r="672" ht="15.75" customHeight="1" s="179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</row>
    <row r="673" ht="15.75" customHeight="1" s="179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</row>
    <row r="674" ht="15.75" customHeight="1" s="179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</row>
    <row r="675" ht="15.75" customHeight="1" s="179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</row>
    <row r="676" ht="15.75" customHeight="1" s="179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</row>
    <row r="677" ht="15.75" customHeight="1" s="179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</row>
    <row r="678" ht="15.75" customHeight="1" s="179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</row>
    <row r="679" ht="15.75" customHeight="1" s="1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</row>
    <row r="680" ht="15.75" customHeight="1" s="179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</row>
    <row r="681" ht="15.75" customHeight="1" s="179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</row>
    <row r="682" ht="15.75" customHeight="1" s="179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</row>
    <row r="683" ht="15.75" customHeight="1" s="179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</row>
    <row r="684" ht="15.75" customHeight="1" s="179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</row>
    <row r="685" ht="15.75" customHeight="1" s="179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</row>
    <row r="686" ht="15.75" customHeight="1" s="179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</row>
    <row r="687" ht="15.75" customHeight="1" s="179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</row>
    <row r="688" ht="15.75" customHeight="1" s="179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</row>
    <row r="689" ht="15.75" customHeight="1" s="17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</row>
    <row r="690" ht="15.75" customHeight="1" s="179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</row>
    <row r="691" ht="15.75" customHeight="1" s="179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</row>
    <row r="692" ht="15.75" customHeight="1" s="179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</row>
    <row r="693" ht="15.75" customHeight="1" s="179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</row>
    <row r="694" ht="15.75" customHeight="1" s="179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</row>
    <row r="695" ht="15.75" customHeight="1" s="179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</row>
    <row r="696" ht="15.75" customHeight="1" s="179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</row>
    <row r="697" ht="15.75" customHeight="1" s="179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</row>
    <row r="698" ht="15.75" customHeight="1" s="179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</row>
    <row r="699" ht="15.75" customHeight="1" s="17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</row>
    <row r="700" ht="15.75" customHeight="1" s="179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</row>
    <row r="701" ht="15.75" customHeight="1" s="179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</row>
    <row r="702" ht="15.75" customHeight="1" s="179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</row>
    <row r="703" ht="15.75" customHeight="1" s="179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</row>
    <row r="704" ht="15.75" customHeight="1" s="179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</row>
    <row r="705" ht="15.75" customHeight="1" s="179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</row>
    <row r="706" ht="15.75" customHeight="1" s="179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</row>
    <row r="707" ht="15.75" customHeight="1" s="179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</row>
    <row r="708" ht="15.75" customHeight="1" s="179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</row>
    <row r="709" ht="15.75" customHeight="1" s="17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</row>
    <row r="710" ht="15.75" customHeight="1" s="179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</row>
    <row r="711" ht="15.75" customHeight="1" s="179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</row>
    <row r="712" ht="15.75" customHeight="1" s="179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</row>
    <row r="713" ht="15.75" customHeight="1" s="179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</row>
    <row r="714" ht="15.75" customHeight="1" s="179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</row>
    <row r="715" ht="15.75" customHeight="1" s="179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</row>
    <row r="716" ht="15.75" customHeight="1" s="179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</row>
    <row r="717" ht="15.75" customHeight="1" s="179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</row>
    <row r="718" ht="15.75" customHeight="1" s="179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</row>
    <row r="719" ht="15.75" customHeight="1" s="17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</row>
    <row r="720" ht="15.75" customHeight="1" s="179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</row>
    <row r="721" ht="15.75" customHeight="1" s="179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</row>
    <row r="722" ht="15.75" customHeight="1" s="179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</row>
    <row r="723" ht="15.75" customHeight="1" s="179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</row>
    <row r="724" ht="15.75" customHeight="1" s="179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</row>
    <row r="725" ht="15.75" customHeight="1" s="179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</row>
    <row r="726" ht="15.75" customHeight="1" s="179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</row>
    <row r="727" ht="15.75" customHeight="1" s="179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</row>
    <row r="728" ht="15.75" customHeight="1" s="179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</row>
    <row r="729" ht="15.75" customHeight="1" s="17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</row>
    <row r="730" ht="15.75" customHeight="1" s="179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</row>
    <row r="731" ht="15.75" customHeight="1" s="179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</row>
    <row r="732" ht="15.75" customHeight="1" s="179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</row>
    <row r="733" ht="15.75" customHeight="1" s="179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</row>
    <row r="734" ht="15.75" customHeight="1" s="179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</row>
    <row r="735" ht="15.75" customHeight="1" s="179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</row>
    <row r="736" ht="15.75" customHeight="1" s="179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</row>
    <row r="737" ht="15.75" customHeight="1" s="179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</row>
    <row r="738" ht="15.75" customHeight="1" s="179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</row>
    <row r="739" ht="15.75" customHeight="1" s="17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</row>
    <row r="740" ht="15.75" customHeight="1" s="179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</row>
    <row r="741" ht="15.75" customHeight="1" s="179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</row>
    <row r="742" ht="15.75" customHeight="1" s="179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</row>
    <row r="743" ht="15.75" customHeight="1" s="179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</row>
    <row r="744" ht="15.75" customHeight="1" s="179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</row>
    <row r="745" ht="15.75" customHeight="1" s="179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</row>
    <row r="746" ht="15.75" customHeight="1" s="179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</row>
    <row r="747" ht="15.75" customHeight="1" s="179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</row>
    <row r="748" ht="15.75" customHeight="1" s="179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</row>
    <row r="749" ht="15.75" customHeight="1" s="17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</row>
    <row r="750" ht="15.75" customHeight="1" s="179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</row>
    <row r="751" ht="15.75" customHeight="1" s="179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</row>
    <row r="752" ht="15.75" customHeight="1" s="179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</row>
    <row r="753" ht="15.75" customHeight="1" s="179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</row>
    <row r="754" ht="15.75" customHeight="1" s="179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</row>
    <row r="755" ht="15.75" customHeight="1" s="179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</row>
    <row r="756" ht="15.75" customHeight="1" s="179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</row>
    <row r="757" ht="15.75" customHeight="1" s="179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</row>
    <row r="758" ht="15.75" customHeight="1" s="179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</row>
    <row r="759" ht="15.75" customHeight="1" s="17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</row>
    <row r="760" ht="15.75" customHeight="1" s="179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</row>
    <row r="761" ht="15.75" customHeight="1" s="179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</row>
    <row r="762" ht="15.75" customHeight="1" s="179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</row>
    <row r="763" ht="15.75" customHeight="1" s="179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</row>
    <row r="764" ht="15.75" customHeight="1" s="179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</row>
    <row r="765" ht="15.75" customHeight="1" s="179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</row>
    <row r="766" ht="15.75" customHeight="1" s="179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</row>
    <row r="767" ht="15.75" customHeight="1" s="179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</row>
    <row r="768" ht="15.75" customHeight="1" s="179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</row>
    <row r="769" ht="15.75" customHeight="1" s="17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</row>
    <row r="770" ht="15.75" customHeight="1" s="179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</row>
    <row r="771" ht="15.75" customHeight="1" s="179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</row>
    <row r="772" ht="15.75" customHeight="1" s="179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</row>
    <row r="773" ht="15.75" customHeight="1" s="179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</row>
    <row r="774" ht="15.75" customHeight="1" s="179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</row>
    <row r="775" ht="15.75" customHeight="1" s="179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</row>
    <row r="776" ht="15.75" customHeight="1" s="179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</row>
    <row r="777" ht="15.75" customHeight="1" s="179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</row>
    <row r="778" ht="15.75" customHeight="1" s="179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</row>
    <row r="779" ht="15.75" customHeight="1" s="1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</row>
    <row r="780" ht="15.75" customHeight="1" s="179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</row>
    <row r="781" ht="15.75" customHeight="1" s="179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</row>
    <row r="782" ht="15.75" customHeight="1" s="179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</row>
    <row r="783" ht="15.75" customHeight="1" s="179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</row>
    <row r="784" ht="15.75" customHeight="1" s="179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</row>
    <row r="785" ht="15.75" customHeight="1" s="179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</row>
    <row r="786" ht="15.75" customHeight="1" s="179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</row>
    <row r="787" ht="15.75" customHeight="1" s="179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</row>
    <row r="788" ht="15.75" customHeight="1" s="179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</row>
    <row r="789" ht="15.75" customHeight="1" s="17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</row>
    <row r="790" ht="15.75" customHeight="1" s="179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</row>
    <row r="791" ht="15.75" customHeight="1" s="179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</row>
    <row r="792" ht="15.75" customHeight="1" s="179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</row>
    <row r="793" ht="15.75" customHeight="1" s="179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</row>
    <row r="794" ht="15.75" customHeight="1" s="179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</row>
    <row r="795" ht="15.75" customHeight="1" s="179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</row>
    <row r="796" ht="15.75" customHeight="1" s="179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</row>
    <row r="797" ht="15.75" customHeight="1" s="179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</row>
    <row r="798" ht="15.75" customHeight="1" s="179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</row>
    <row r="799" ht="15.75" customHeight="1" s="17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</row>
    <row r="800" ht="15.75" customHeight="1" s="179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</row>
    <row r="801" ht="15.75" customHeight="1" s="179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</row>
    <row r="802" ht="15.75" customHeight="1" s="179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</row>
    <row r="803" ht="15.75" customHeight="1" s="179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</row>
    <row r="804" ht="15.75" customHeight="1" s="179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</row>
    <row r="805" ht="15.75" customHeight="1" s="179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</row>
    <row r="806" ht="15.75" customHeight="1" s="179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</row>
    <row r="807" ht="15.75" customHeight="1" s="179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</row>
    <row r="808" ht="15.75" customHeight="1" s="179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</row>
    <row r="809" ht="15.75" customHeight="1" s="17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</row>
    <row r="810" ht="15.75" customHeight="1" s="179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</row>
    <row r="811" ht="15.75" customHeight="1" s="179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</row>
    <row r="812" ht="15.75" customHeight="1" s="179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</row>
    <row r="813" ht="15.75" customHeight="1" s="179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</row>
    <row r="814" ht="15.75" customHeight="1" s="179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</row>
    <row r="815" ht="15.75" customHeight="1" s="179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</row>
    <row r="816" ht="15.75" customHeight="1" s="179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</row>
    <row r="817" ht="15.75" customHeight="1" s="179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</row>
    <row r="818" ht="15.75" customHeight="1" s="179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</row>
    <row r="819" ht="15.75" customHeight="1" s="17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</row>
    <row r="820" ht="15.75" customHeight="1" s="179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</row>
    <row r="821" ht="15.75" customHeight="1" s="179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</row>
    <row r="822" ht="15.75" customHeight="1" s="179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</row>
    <row r="823" ht="15.75" customHeight="1" s="179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</row>
    <row r="824" ht="15.75" customHeight="1" s="179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</row>
    <row r="825" ht="15.75" customHeight="1" s="179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</row>
    <row r="826" ht="15.75" customHeight="1" s="179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</row>
    <row r="827" ht="15.75" customHeight="1" s="179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</row>
    <row r="828" ht="15.75" customHeight="1" s="179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</row>
    <row r="829" ht="15.75" customHeight="1" s="17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</row>
    <row r="830" ht="15.75" customHeight="1" s="179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</row>
    <row r="831" ht="15.75" customHeight="1" s="179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</row>
    <row r="832" ht="15.75" customHeight="1" s="179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</row>
    <row r="833" ht="15.75" customHeight="1" s="179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</row>
    <row r="834" ht="15.75" customHeight="1" s="179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</row>
    <row r="835" ht="15.75" customHeight="1" s="179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</row>
    <row r="836" ht="15.75" customHeight="1" s="179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</row>
    <row r="837" ht="15.75" customHeight="1" s="179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</row>
    <row r="838" ht="15.75" customHeight="1" s="179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</row>
    <row r="839" ht="15.75" customHeight="1" s="17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</row>
    <row r="840" ht="15.75" customHeight="1" s="179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</row>
    <row r="841" ht="15.75" customHeight="1" s="179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</row>
    <row r="842" ht="15.75" customHeight="1" s="179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</row>
    <row r="843" ht="15.75" customHeight="1" s="179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</row>
    <row r="844" ht="15.75" customHeight="1" s="179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</row>
    <row r="845" ht="15.75" customHeight="1" s="179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</row>
    <row r="846" ht="15.75" customHeight="1" s="179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</row>
    <row r="847" ht="15.75" customHeight="1" s="179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</row>
    <row r="848" ht="15.75" customHeight="1" s="179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</row>
    <row r="849" ht="15.75" customHeight="1" s="17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</row>
    <row r="850" ht="15.75" customHeight="1" s="179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</row>
    <row r="851" ht="15.75" customHeight="1" s="179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</row>
    <row r="852" ht="15.75" customHeight="1" s="179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</row>
    <row r="853" ht="15.75" customHeight="1" s="179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</row>
    <row r="854" ht="15.75" customHeight="1" s="179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</row>
    <row r="855" ht="15.75" customHeight="1" s="179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</row>
    <row r="856" ht="15.75" customHeight="1" s="179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</row>
    <row r="857" ht="15.75" customHeight="1" s="179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</row>
    <row r="858" ht="15.75" customHeight="1" s="179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</row>
    <row r="859" ht="15.75" customHeight="1" s="17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</row>
    <row r="860" ht="15.75" customHeight="1" s="179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</row>
    <row r="861" ht="15.75" customHeight="1" s="179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</row>
    <row r="862" ht="15.75" customHeight="1" s="179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</row>
    <row r="863" ht="15.75" customHeight="1" s="179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</row>
    <row r="864" ht="15.75" customHeight="1" s="179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</row>
    <row r="865" ht="15.75" customHeight="1" s="179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</row>
    <row r="866" ht="15.75" customHeight="1" s="179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</row>
    <row r="867" ht="15.75" customHeight="1" s="179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</row>
    <row r="868" ht="15.75" customHeight="1" s="179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</row>
    <row r="869" ht="15.75" customHeight="1" s="17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</row>
    <row r="870" ht="15.75" customHeight="1" s="179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</row>
    <row r="871" ht="15.75" customHeight="1" s="179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</row>
    <row r="872" ht="15.75" customHeight="1" s="179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</row>
    <row r="873" ht="15.75" customHeight="1" s="179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</row>
    <row r="874" ht="15.75" customHeight="1" s="179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</row>
    <row r="875" ht="15.75" customHeight="1" s="179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</row>
    <row r="876" ht="15.75" customHeight="1" s="179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</row>
    <row r="877" ht="15.75" customHeight="1" s="179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</row>
    <row r="878" ht="15.75" customHeight="1" s="179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</row>
    <row r="879" ht="15.75" customHeight="1" s="1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</row>
    <row r="880" ht="15.75" customHeight="1" s="179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</row>
    <row r="881" ht="15.75" customHeight="1" s="179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</row>
    <row r="882" ht="15.75" customHeight="1" s="179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</row>
    <row r="883" ht="15.75" customHeight="1" s="179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</row>
    <row r="884" ht="15.75" customHeight="1" s="179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</row>
    <row r="885" ht="15.75" customHeight="1" s="179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</row>
    <row r="886" ht="15.75" customHeight="1" s="179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</row>
    <row r="887" ht="15.75" customHeight="1" s="179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</row>
    <row r="888" ht="15.75" customHeight="1" s="179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</row>
    <row r="889" ht="15.75" customHeight="1" s="17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</row>
    <row r="890" ht="15.75" customHeight="1" s="179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</row>
    <row r="891" ht="15.75" customHeight="1" s="179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</row>
    <row r="892" ht="15.75" customHeight="1" s="179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</row>
    <row r="893" ht="15.75" customHeight="1" s="179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</row>
    <row r="894" ht="15.75" customHeight="1" s="179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</row>
    <row r="895" ht="15.75" customHeight="1" s="179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</row>
    <row r="896" ht="15.75" customHeight="1" s="179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</row>
    <row r="897" ht="15.75" customHeight="1" s="179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</row>
    <row r="898" ht="15.75" customHeight="1" s="179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</row>
    <row r="899" ht="15.75" customHeight="1" s="17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</row>
    <row r="900" ht="15.75" customHeight="1" s="179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</row>
    <row r="901" ht="15.75" customHeight="1" s="179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</row>
    <row r="902" ht="15.75" customHeight="1" s="179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</row>
    <row r="903" ht="15.75" customHeight="1" s="179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</row>
    <row r="904" ht="15.75" customHeight="1" s="179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</row>
    <row r="905" ht="15.75" customHeight="1" s="179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</row>
    <row r="906" ht="15.75" customHeight="1" s="179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</row>
    <row r="907" ht="15.75" customHeight="1" s="179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</row>
    <row r="908" ht="15.75" customHeight="1" s="179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</row>
    <row r="909" ht="15.75" customHeight="1" s="17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</row>
    <row r="910" ht="15.75" customHeight="1" s="179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</row>
    <row r="911" ht="15.75" customHeight="1" s="179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</row>
    <row r="912" ht="15.75" customHeight="1" s="179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</row>
    <row r="913" ht="15.75" customHeight="1" s="179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</row>
    <row r="914" ht="15.75" customHeight="1" s="179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</row>
    <row r="915" ht="15.75" customHeight="1" s="179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</row>
    <row r="916" ht="15.75" customHeight="1" s="179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</row>
    <row r="917" ht="15.75" customHeight="1" s="179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</row>
    <row r="918" ht="15.75" customHeight="1" s="179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</row>
    <row r="919" ht="15.75" customHeight="1" s="17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</row>
    <row r="920" ht="15.75" customHeight="1" s="179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</row>
    <row r="921" ht="15.75" customHeight="1" s="179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</row>
    <row r="922" ht="15.75" customHeight="1" s="179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</row>
    <row r="923" ht="15.75" customHeight="1" s="179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</row>
    <row r="924" ht="15.75" customHeight="1" s="179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</row>
    <row r="925" ht="15.75" customHeight="1" s="179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</row>
    <row r="926" ht="15.75" customHeight="1" s="179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</row>
    <row r="927" ht="15.75" customHeight="1" s="179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</row>
    <row r="928" ht="15.75" customHeight="1" s="179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</row>
    <row r="929" ht="15.75" customHeight="1" s="17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</row>
    <row r="930" ht="15.75" customHeight="1" s="179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</row>
    <row r="931" ht="15.75" customHeight="1" s="179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</row>
    <row r="932" ht="15.75" customHeight="1" s="179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</row>
    <row r="933" ht="15.75" customHeight="1" s="179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</row>
    <row r="934" ht="15.75" customHeight="1" s="179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</row>
    <row r="935" ht="15.75" customHeight="1" s="179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</row>
    <row r="936" ht="15.75" customHeight="1" s="179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</row>
    <row r="937" ht="15.75" customHeight="1" s="179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</row>
    <row r="938" ht="15.75" customHeight="1" s="179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</row>
    <row r="939" ht="15.75" customHeight="1" s="17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</row>
    <row r="940" ht="15.75" customHeight="1" s="179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</row>
    <row r="941" ht="15.75" customHeight="1" s="179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</row>
    <row r="942" ht="15.75" customHeight="1" s="179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</row>
    <row r="943" ht="15.75" customHeight="1" s="179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</row>
    <row r="944" ht="15.75" customHeight="1" s="179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</row>
    <row r="945" ht="15.75" customHeight="1" s="179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</row>
    <row r="946" ht="15.75" customHeight="1" s="179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</row>
    <row r="947" ht="15.75" customHeight="1" s="179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</row>
    <row r="948" ht="15.75" customHeight="1" s="179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</row>
    <row r="949" ht="15.75" customHeight="1" s="17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</row>
    <row r="950" ht="15.75" customHeight="1" s="179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</row>
    <row r="951" ht="15.75" customHeight="1" s="179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</row>
    <row r="952" ht="15.75" customHeight="1" s="179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</row>
    <row r="953" ht="15.75" customHeight="1" s="179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</row>
    <row r="954" ht="15.75" customHeight="1" s="179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</row>
    <row r="955" ht="15.75" customHeight="1" s="179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</row>
    <row r="956" ht="15.75" customHeight="1" s="179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</row>
    <row r="957" ht="15.75" customHeight="1" s="179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</row>
    <row r="958" ht="15.75" customHeight="1" s="179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</row>
    <row r="959" ht="15.75" customHeight="1" s="17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</row>
    <row r="960" ht="15.75" customHeight="1" s="179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</row>
    <row r="961" ht="15.75" customHeight="1" s="179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</row>
    <row r="962" ht="15.75" customHeight="1" s="179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</row>
    <row r="963" ht="15.75" customHeight="1" s="179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</row>
    <row r="964" ht="15.75" customHeight="1" s="179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</row>
    <row r="965" ht="15.75" customHeight="1" s="179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</row>
    <row r="966" ht="15.75" customHeight="1" s="179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</row>
    <row r="967" ht="15.75" customHeight="1" s="179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</row>
    <row r="968" ht="15.75" customHeight="1" s="179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</row>
    <row r="969" ht="15.75" customHeight="1" s="17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</row>
    <row r="970" ht="15.75" customHeight="1" s="179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</row>
    <row r="971" ht="15.75" customHeight="1" s="179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</row>
    <row r="972" ht="15.75" customHeight="1" s="179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</row>
    <row r="973" ht="15.75" customHeight="1" s="179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</row>
    <row r="974" ht="15.75" customHeight="1" s="179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</row>
    <row r="975" ht="15.75" customHeight="1" s="179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</row>
    <row r="976" ht="15.75" customHeight="1" s="179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</row>
    <row r="977" ht="15.75" customHeight="1" s="179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</row>
    <row r="978" ht="15.75" customHeight="1" s="179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</row>
    <row r="979" ht="15.75" customHeight="1" s="1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</row>
    <row r="980" ht="15.75" customHeight="1" s="179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</row>
    <row r="981" ht="15.75" customHeight="1" s="179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</row>
    <row r="982" ht="15.75" customHeight="1" s="179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</row>
    <row r="983" ht="15.75" customHeight="1" s="179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</row>
    <row r="984" ht="15.75" customHeight="1" s="179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</row>
    <row r="985" ht="15.75" customHeight="1" s="179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</row>
    <row r="986" ht="15.75" customHeight="1" s="179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</row>
    <row r="987" ht="15.75" customHeight="1" s="179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</row>
    <row r="988" ht="15.75" customHeight="1" s="179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</row>
    <row r="989" ht="15.75" customHeight="1" s="17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</row>
    <row r="990" ht="15.75" customHeight="1" s="179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</row>
    <row r="991" ht="15.75" customHeight="1" s="179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</row>
    <row r="992" ht="15.75" customHeight="1" s="179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</row>
    <row r="993" ht="15.75" customHeight="1" s="179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</row>
    <row r="994" ht="15.75" customHeight="1" s="179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</row>
    <row r="995" ht="15.75" customHeight="1" s="179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</row>
    <row r="996" ht="15.75" customHeight="1" s="179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</row>
    <row r="997" ht="15.75" customHeight="1" s="179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</row>
    <row r="998" ht="15.75" customHeight="1" s="179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</row>
    <row r="999" ht="15.75" customHeight="1" s="17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</row>
    <row r="1000" ht="15.75" customHeight="1" s="179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</row>
  </sheetData>
  <mergeCells count="22">
    <mergeCell ref="B14:D14"/>
    <mergeCell ref="A8:D8"/>
    <mergeCell ref="B23:D23"/>
    <mergeCell ref="A20:D20"/>
    <mergeCell ref="B17:D17"/>
    <mergeCell ref="B13:D13"/>
    <mergeCell ref="B28:D28"/>
    <mergeCell ref="B9:D9"/>
    <mergeCell ref="A11:D11"/>
    <mergeCell ref="B6:D6"/>
    <mergeCell ref="B24:D24"/>
    <mergeCell ref="A1:D1"/>
    <mergeCell ref="B5:D5"/>
    <mergeCell ref="B4:D4"/>
    <mergeCell ref="A16:D16"/>
    <mergeCell ref="B22:D22"/>
    <mergeCell ref="A3:D3"/>
    <mergeCell ref="A26:D26"/>
    <mergeCell ref="B27:D27"/>
    <mergeCell ref="B18:D18"/>
    <mergeCell ref="B21:D21"/>
    <mergeCell ref="B12:D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2026-08-02T23:13:36Z</dcterms:created>
  <dcterms:modified xsi:type="dcterms:W3CDTF">2026-08-09T08:07:39Z</dcterms:modified>
</cp:coreProperties>
</file>